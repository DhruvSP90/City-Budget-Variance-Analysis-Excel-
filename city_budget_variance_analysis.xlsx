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dhruvpatel/Downloads/"/>
    </mc:Choice>
  </mc:AlternateContent>
  <xr:revisionPtr revIDLastSave="0" documentId="13_ncr:1_{4696B827-A258-A341-9D2F-5E33BFE80265}" xr6:coauthVersionLast="47" xr6:coauthVersionMax="47" xr10:uidLastSave="{00000000-0000-0000-0000-000000000000}"/>
  <bookViews>
    <workbookView xWindow="0" yWindow="0" windowWidth="28800" windowHeight="18000" tabRatio="500" xr2:uid="{00000000-000D-0000-FFFF-FFFF00000000}"/>
  </bookViews>
  <sheets>
    <sheet name="Overview" sheetId="1" r:id="rId1"/>
    <sheet name="Division Summary" sheetId="2" r:id="rId2"/>
    <sheet name="Department Summary" sheetId="3" r:id="rId3"/>
    <sheet name="Top Variances" sheetId="4" r:id="rId4"/>
    <sheet name="Data" sheetId="5" r:id="rId5"/>
  </sheets>
  <definedNames>
    <definedName name="_xlnm._FilterDatabase" localSheetId="4" hidden="1">Data!$A$1:$S$1534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1534" i="5" l="1"/>
  <c r="P1534" i="5"/>
  <c r="R1534" i="5" s="1"/>
  <c r="N1534" i="5"/>
  <c r="M1534" i="5"/>
  <c r="P1533" i="5"/>
  <c r="M1533" i="5"/>
  <c r="P1532" i="5"/>
  <c r="M1532" i="5"/>
  <c r="P1531" i="5"/>
  <c r="M1531" i="5"/>
  <c r="P1530" i="5"/>
  <c r="M1530" i="5"/>
  <c r="P1529" i="5"/>
  <c r="M1529" i="5"/>
  <c r="Q1528" i="5"/>
  <c r="P1528" i="5"/>
  <c r="R1528" i="5" s="1"/>
  <c r="M1528" i="5"/>
  <c r="Q1527" i="5"/>
  <c r="P1527" i="5"/>
  <c r="R1527" i="5" s="1"/>
  <c r="M1527" i="5"/>
  <c r="Q1526" i="5"/>
  <c r="P1526" i="5"/>
  <c r="R1526" i="5" s="1"/>
  <c r="M1526" i="5"/>
  <c r="P1525" i="5"/>
  <c r="M1525" i="5"/>
  <c r="P1524" i="5"/>
  <c r="M1524" i="5"/>
  <c r="P1523" i="5"/>
  <c r="M1523" i="5"/>
  <c r="P1522" i="5"/>
  <c r="M1522" i="5"/>
  <c r="P1521" i="5"/>
  <c r="M1521" i="5"/>
  <c r="P1520" i="5"/>
  <c r="N1520" i="5"/>
  <c r="M1520" i="5"/>
  <c r="P1519" i="5"/>
  <c r="N1519" i="5"/>
  <c r="M1519" i="5"/>
  <c r="P1518" i="5"/>
  <c r="N1518" i="5"/>
  <c r="M1518" i="5"/>
  <c r="Q1517" i="5"/>
  <c r="P1517" i="5"/>
  <c r="R1517" i="5" s="1"/>
  <c r="N1517" i="5"/>
  <c r="M1517" i="5"/>
  <c r="P1516" i="5"/>
  <c r="M1516" i="5"/>
  <c r="P1515" i="5"/>
  <c r="M1515" i="5"/>
  <c r="P1514" i="5"/>
  <c r="M1514" i="5"/>
  <c r="P1513" i="5"/>
  <c r="M1513" i="5"/>
  <c r="P1512" i="5"/>
  <c r="M1512" i="5"/>
  <c r="P1511" i="5"/>
  <c r="M1511" i="5"/>
  <c r="P1510" i="5"/>
  <c r="M1510" i="5"/>
  <c r="Q1509" i="5"/>
  <c r="P1509" i="5"/>
  <c r="R1509" i="5" s="1"/>
  <c r="M1509" i="5"/>
  <c r="P1508" i="5"/>
  <c r="M1508" i="5"/>
  <c r="Q1507" i="5"/>
  <c r="P1507" i="5"/>
  <c r="R1507" i="5" s="1"/>
  <c r="M1507" i="5"/>
  <c r="Q1506" i="5"/>
  <c r="P1506" i="5"/>
  <c r="R1506" i="5" s="1"/>
  <c r="M1506" i="5"/>
  <c r="Q1505" i="5"/>
  <c r="P1505" i="5"/>
  <c r="R1505" i="5" s="1"/>
  <c r="M1505" i="5"/>
  <c r="Q1504" i="5"/>
  <c r="P1504" i="5"/>
  <c r="R1504" i="5" s="1"/>
  <c r="M1504" i="5"/>
  <c r="Q1503" i="5"/>
  <c r="P1503" i="5"/>
  <c r="R1503" i="5" s="1"/>
  <c r="N1503" i="5"/>
  <c r="M1503" i="5"/>
  <c r="P1502" i="5"/>
  <c r="M1502" i="5"/>
  <c r="P1501" i="5"/>
  <c r="M1501" i="5"/>
  <c r="P1500" i="5"/>
  <c r="M1500" i="5"/>
  <c r="P1499" i="5"/>
  <c r="M1499" i="5"/>
  <c r="P1498" i="5"/>
  <c r="M1498" i="5"/>
  <c r="P1497" i="5"/>
  <c r="M1497" i="5"/>
  <c r="P1496" i="5"/>
  <c r="M1496" i="5"/>
  <c r="P1495" i="5"/>
  <c r="M1495" i="5"/>
  <c r="P1494" i="5"/>
  <c r="M1494" i="5"/>
  <c r="P1493" i="5"/>
  <c r="M1493" i="5"/>
  <c r="P1492" i="5"/>
  <c r="M1492" i="5"/>
  <c r="P1491" i="5"/>
  <c r="M1491" i="5"/>
  <c r="P1490" i="5"/>
  <c r="M1490" i="5"/>
  <c r="P1489" i="5"/>
  <c r="M1489" i="5"/>
  <c r="P1488" i="5"/>
  <c r="M1488" i="5"/>
  <c r="P1487" i="5"/>
  <c r="M1487" i="5"/>
  <c r="Q1486" i="5"/>
  <c r="P1486" i="5"/>
  <c r="R1486" i="5" s="1"/>
  <c r="N1486" i="5"/>
  <c r="M1486" i="5"/>
  <c r="P1485" i="5"/>
  <c r="M1485" i="5"/>
  <c r="P1484" i="5"/>
  <c r="M1484" i="5"/>
  <c r="P1483" i="5"/>
  <c r="M1483" i="5"/>
  <c r="Q1482" i="5"/>
  <c r="P1482" i="5"/>
  <c r="R1482" i="5" s="1"/>
  <c r="M1482" i="5"/>
  <c r="P1481" i="5"/>
  <c r="M1481" i="5"/>
  <c r="P1480" i="5"/>
  <c r="M1480" i="5"/>
  <c r="Q1479" i="5"/>
  <c r="P1479" i="5"/>
  <c r="R1479" i="5" s="1"/>
  <c r="M1479" i="5"/>
  <c r="Q1478" i="5"/>
  <c r="P1478" i="5"/>
  <c r="R1478" i="5" s="1"/>
  <c r="M1478" i="5"/>
  <c r="Q1477" i="5"/>
  <c r="P1477" i="5"/>
  <c r="R1477" i="5" s="1"/>
  <c r="M1477" i="5"/>
  <c r="P1476" i="5"/>
  <c r="M1476" i="5"/>
  <c r="P1475" i="5"/>
  <c r="M1475" i="5"/>
  <c r="P1474" i="5"/>
  <c r="M1474" i="5"/>
  <c r="Q1473" i="5"/>
  <c r="P1473" i="5"/>
  <c r="R1473" i="5" s="1"/>
  <c r="N1473" i="5"/>
  <c r="M1473" i="5"/>
  <c r="P1472" i="5"/>
  <c r="M1472" i="5"/>
  <c r="P1471" i="5"/>
  <c r="M1471" i="5"/>
  <c r="P1470" i="5"/>
  <c r="M1470" i="5"/>
  <c r="P1469" i="5"/>
  <c r="M1469" i="5"/>
  <c r="Q1468" i="5"/>
  <c r="P1468" i="5"/>
  <c r="R1468" i="5" s="1"/>
  <c r="N1468" i="5"/>
  <c r="M1468" i="5"/>
  <c r="P1467" i="5"/>
  <c r="M1467" i="5"/>
  <c r="P1466" i="5"/>
  <c r="M1466" i="5"/>
  <c r="P1465" i="5"/>
  <c r="M1465" i="5"/>
  <c r="P1464" i="5"/>
  <c r="M1464" i="5"/>
  <c r="P1463" i="5"/>
  <c r="M1463" i="5"/>
  <c r="P1462" i="5"/>
  <c r="M1462" i="5"/>
  <c r="P1461" i="5"/>
  <c r="M1461" i="5"/>
  <c r="P1460" i="5"/>
  <c r="M1460" i="5"/>
  <c r="Q1459" i="5"/>
  <c r="P1459" i="5"/>
  <c r="R1459" i="5" s="1"/>
  <c r="M1459" i="5"/>
  <c r="Q1458" i="5"/>
  <c r="P1458" i="5"/>
  <c r="R1458" i="5" s="1"/>
  <c r="M1458" i="5"/>
  <c r="Q1457" i="5"/>
  <c r="P1457" i="5"/>
  <c r="R1457" i="5" s="1"/>
  <c r="M1457" i="5"/>
  <c r="P1456" i="5"/>
  <c r="M1456" i="5"/>
  <c r="P1455" i="5"/>
  <c r="M1455" i="5"/>
  <c r="P1454" i="5"/>
  <c r="M1454" i="5"/>
  <c r="P1453" i="5"/>
  <c r="M1453" i="5"/>
  <c r="P1452" i="5"/>
  <c r="M1452" i="5"/>
  <c r="P1451" i="5"/>
  <c r="M1451" i="5"/>
  <c r="P1450" i="5"/>
  <c r="M1450" i="5"/>
  <c r="P1449" i="5"/>
  <c r="N1449" i="5"/>
  <c r="M1449" i="5"/>
  <c r="P1448" i="5"/>
  <c r="M1448" i="5"/>
  <c r="P1447" i="5"/>
  <c r="M1447" i="5"/>
  <c r="P1446" i="5"/>
  <c r="M1446" i="5"/>
  <c r="P1445" i="5"/>
  <c r="M1445" i="5"/>
  <c r="P1444" i="5"/>
  <c r="M1444" i="5"/>
  <c r="P1443" i="5"/>
  <c r="M1443" i="5"/>
  <c r="P1442" i="5"/>
  <c r="M1442" i="5"/>
  <c r="P1441" i="5"/>
  <c r="M1441" i="5"/>
  <c r="P1440" i="5"/>
  <c r="M1440" i="5"/>
  <c r="Q1439" i="5"/>
  <c r="P1439" i="5"/>
  <c r="R1439" i="5" s="1"/>
  <c r="M1439" i="5"/>
  <c r="P1438" i="5"/>
  <c r="M1438" i="5"/>
  <c r="P1437" i="5"/>
  <c r="M1437" i="5"/>
  <c r="Q1436" i="5"/>
  <c r="P1436" i="5"/>
  <c r="R1436" i="5" s="1"/>
  <c r="M1436" i="5"/>
  <c r="Q1435" i="5"/>
  <c r="P1435" i="5"/>
  <c r="R1435" i="5" s="1"/>
  <c r="M1435" i="5"/>
  <c r="Q1434" i="5"/>
  <c r="P1434" i="5"/>
  <c r="R1434" i="5" s="1"/>
  <c r="M1434" i="5"/>
  <c r="P1433" i="5"/>
  <c r="M1433" i="5"/>
  <c r="P1432" i="5"/>
  <c r="M1432" i="5"/>
  <c r="Q1431" i="5"/>
  <c r="P1431" i="5"/>
  <c r="R1431" i="5" s="1"/>
  <c r="N1431" i="5"/>
  <c r="M1431" i="5"/>
  <c r="P1430" i="5"/>
  <c r="M1430" i="5"/>
  <c r="P1429" i="5"/>
  <c r="N1429" i="5"/>
  <c r="M1429" i="5"/>
  <c r="P1428" i="5"/>
  <c r="M1428" i="5"/>
  <c r="Q1427" i="5"/>
  <c r="P1427" i="5"/>
  <c r="R1427" i="5" s="1"/>
  <c r="N1427" i="5"/>
  <c r="M1427" i="5"/>
  <c r="P1426" i="5"/>
  <c r="N1426" i="5"/>
  <c r="M1426" i="5"/>
  <c r="P1425" i="5"/>
  <c r="M1425" i="5"/>
  <c r="P1424" i="5"/>
  <c r="M1424" i="5"/>
  <c r="P1423" i="5"/>
  <c r="M1423" i="5"/>
  <c r="P1422" i="5"/>
  <c r="M1422" i="5"/>
  <c r="P1421" i="5"/>
  <c r="M1421" i="5"/>
  <c r="P1420" i="5"/>
  <c r="M1420" i="5"/>
  <c r="Q1419" i="5"/>
  <c r="P1419" i="5"/>
  <c r="R1419" i="5" s="1"/>
  <c r="N1419" i="5"/>
  <c r="M1419" i="5"/>
  <c r="P1418" i="5"/>
  <c r="M1418" i="5"/>
  <c r="P1417" i="5"/>
  <c r="M1417" i="5"/>
  <c r="P1416" i="5"/>
  <c r="M1416" i="5"/>
  <c r="Q1415" i="5"/>
  <c r="P1415" i="5"/>
  <c r="R1415" i="5" s="1"/>
  <c r="M1415" i="5"/>
  <c r="P1414" i="5"/>
  <c r="M1414" i="5"/>
  <c r="P1413" i="5"/>
  <c r="M1413" i="5"/>
  <c r="Q1412" i="5"/>
  <c r="P1412" i="5"/>
  <c r="R1412" i="5" s="1"/>
  <c r="M1412" i="5"/>
  <c r="Q1411" i="5"/>
  <c r="P1411" i="5"/>
  <c r="R1411" i="5" s="1"/>
  <c r="M1411" i="5"/>
  <c r="Q1410" i="5"/>
  <c r="P1410" i="5"/>
  <c r="R1410" i="5" s="1"/>
  <c r="M1410" i="5"/>
  <c r="Q1409" i="5"/>
  <c r="P1409" i="5"/>
  <c r="R1409" i="5" s="1"/>
  <c r="N1409" i="5"/>
  <c r="M1409" i="5"/>
  <c r="P1408" i="5"/>
  <c r="M1408" i="5"/>
  <c r="P1407" i="5"/>
  <c r="N1407" i="5"/>
  <c r="M1407" i="5"/>
  <c r="Q1406" i="5"/>
  <c r="P1406" i="5"/>
  <c r="R1406" i="5" s="1"/>
  <c r="N1406" i="5"/>
  <c r="M1406" i="5"/>
  <c r="P1405" i="5"/>
  <c r="M1405" i="5"/>
  <c r="P1404" i="5"/>
  <c r="N1404" i="5"/>
  <c r="M1404" i="5"/>
  <c r="Q1403" i="5"/>
  <c r="P1403" i="5"/>
  <c r="R1403" i="5" s="1"/>
  <c r="N1403" i="5"/>
  <c r="M1403" i="5"/>
  <c r="P1402" i="5"/>
  <c r="M1402" i="5"/>
  <c r="Q1401" i="5"/>
  <c r="P1401" i="5"/>
  <c r="R1401" i="5" s="1"/>
  <c r="M1401" i="5"/>
  <c r="P1400" i="5"/>
  <c r="N1400" i="5"/>
  <c r="M1400" i="5"/>
  <c r="P1399" i="5"/>
  <c r="N1399" i="5"/>
  <c r="M1399" i="5"/>
  <c r="P1398" i="5"/>
  <c r="N1398" i="5"/>
  <c r="M1398" i="5"/>
  <c r="P1397" i="5"/>
  <c r="M1397" i="5"/>
  <c r="P1396" i="5"/>
  <c r="N1396" i="5"/>
  <c r="M1396" i="5"/>
  <c r="P1395" i="5"/>
  <c r="M1395" i="5"/>
  <c r="P1394" i="5"/>
  <c r="M1394" i="5"/>
  <c r="P1393" i="5"/>
  <c r="M1393" i="5"/>
  <c r="P1392" i="5"/>
  <c r="M1392" i="5"/>
  <c r="P1391" i="5"/>
  <c r="M1391" i="5"/>
  <c r="Q1390" i="5"/>
  <c r="P1390" i="5"/>
  <c r="R1390" i="5" s="1"/>
  <c r="N1390" i="5"/>
  <c r="M1390" i="5"/>
  <c r="P1389" i="5"/>
  <c r="M1389" i="5"/>
  <c r="P1388" i="5"/>
  <c r="M1388" i="5"/>
  <c r="Q1387" i="5"/>
  <c r="P1387" i="5"/>
  <c r="R1387" i="5" s="1"/>
  <c r="M1387" i="5"/>
  <c r="Q1386" i="5"/>
  <c r="P1386" i="5"/>
  <c r="R1386" i="5" s="1"/>
  <c r="M1386" i="5"/>
  <c r="Q1385" i="5"/>
  <c r="P1385" i="5"/>
  <c r="R1385" i="5" s="1"/>
  <c r="M1385" i="5"/>
  <c r="Q1384" i="5"/>
  <c r="P1384" i="5"/>
  <c r="R1384" i="5" s="1"/>
  <c r="M1384" i="5"/>
  <c r="P1383" i="5"/>
  <c r="M1383" i="5"/>
  <c r="P1382" i="5"/>
  <c r="N1382" i="5"/>
  <c r="M1382" i="5"/>
  <c r="Q1381" i="5"/>
  <c r="P1381" i="5"/>
  <c r="R1381" i="5" s="1"/>
  <c r="N1381" i="5"/>
  <c r="M1381" i="5"/>
  <c r="P1380" i="5"/>
  <c r="M1380" i="5"/>
  <c r="P1379" i="5"/>
  <c r="N1379" i="5"/>
  <c r="M1379" i="5"/>
  <c r="P1378" i="5"/>
  <c r="N1378" i="5"/>
  <c r="M1378" i="5"/>
  <c r="P1377" i="5"/>
  <c r="M1377" i="5"/>
  <c r="Q1376" i="5"/>
  <c r="P1376" i="5"/>
  <c r="R1376" i="5" s="1"/>
  <c r="N1376" i="5"/>
  <c r="M1376" i="5"/>
  <c r="P1375" i="5"/>
  <c r="M1375" i="5"/>
  <c r="P1374" i="5"/>
  <c r="M1374" i="5"/>
  <c r="P1373" i="5"/>
  <c r="M1373" i="5"/>
  <c r="P1372" i="5"/>
  <c r="M1372" i="5"/>
  <c r="P1371" i="5"/>
  <c r="M1371" i="5"/>
  <c r="Q1370" i="5"/>
  <c r="P1370" i="5"/>
  <c r="R1370" i="5" s="1"/>
  <c r="M1370" i="5"/>
  <c r="P1369" i="5"/>
  <c r="M1369" i="5"/>
  <c r="P1368" i="5"/>
  <c r="M1368" i="5"/>
  <c r="Q1367" i="5"/>
  <c r="P1367" i="5"/>
  <c r="R1367" i="5" s="1"/>
  <c r="M1367" i="5"/>
  <c r="Q1366" i="5"/>
  <c r="P1366" i="5"/>
  <c r="R1366" i="5" s="1"/>
  <c r="M1366" i="5"/>
  <c r="Q1365" i="5"/>
  <c r="P1365" i="5"/>
  <c r="R1365" i="5" s="1"/>
  <c r="M1365" i="5"/>
  <c r="Q1364" i="5"/>
  <c r="P1364" i="5"/>
  <c r="R1364" i="5" s="1"/>
  <c r="M1364" i="5"/>
  <c r="P1363" i="5"/>
  <c r="M1363" i="5"/>
  <c r="Q1362" i="5"/>
  <c r="P1362" i="5"/>
  <c r="R1362" i="5" s="1"/>
  <c r="N1362" i="5"/>
  <c r="M1362" i="5"/>
  <c r="P1361" i="5"/>
  <c r="M1361" i="5"/>
  <c r="P1360" i="5"/>
  <c r="M1360" i="5"/>
  <c r="P1359" i="5"/>
  <c r="M1359" i="5"/>
  <c r="Q1358" i="5"/>
  <c r="P1358" i="5"/>
  <c r="R1358" i="5" s="1"/>
  <c r="N1358" i="5"/>
  <c r="M1358" i="5"/>
  <c r="P1357" i="5"/>
  <c r="N1357" i="5"/>
  <c r="M1357" i="5"/>
  <c r="P1356" i="5"/>
  <c r="N1356" i="5"/>
  <c r="M1356" i="5"/>
  <c r="P1355" i="5"/>
  <c r="N1355" i="5"/>
  <c r="M1355" i="5"/>
  <c r="P1354" i="5"/>
  <c r="M1354" i="5"/>
  <c r="Q1353" i="5"/>
  <c r="P1353" i="5"/>
  <c r="R1353" i="5" s="1"/>
  <c r="N1353" i="5"/>
  <c r="M1353" i="5"/>
  <c r="P1352" i="5"/>
  <c r="M1352" i="5"/>
  <c r="P1351" i="5"/>
  <c r="M1351" i="5"/>
  <c r="Q1350" i="5"/>
  <c r="P1350" i="5"/>
  <c r="R1350" i="5" s="1"/>
  <c r="N1350" i="5"/>
  <c r="M1350" i="5"/>
  <c r="P1349" i="5"/>
  <c r="M1349" i="5"/>
  <c r="P1348" i="5"/>
  <c r="M1348" i="5"/>
  <c r="P1347" i="5"/>
  <c r="M1347" i="5"/>
  <c r="P1346" i="5"/>
  <c r="M1346" i="5"/>
  <c r="P1345" i="5"/>
  <c r="M1345" i="5"/>
  <c r="Q1344" i="5"/>
  <c r="P1344" i="5"/>
  <c r="R1344" i="5" s="1"/>
  <c r="M1344" i="5"/>
  <c r="Q1343" i="5"/>
  <c r="P1343" i="5"/>
  <c r="R1343" i="5" s="1"/>
  <c r="M1343" i="5"/>
  <c r="Q1342" i="5"/>
  <c r="P1342" i="5"/>
  <c r="R1342" i="5" s="1"/>
  <c r="M1342" i="5"/>
  <c r="P1341" i="5"/>
  <c r="M1341" i="5"/>
  <c r="P1340" i="5"/>
  <c r="M1340" i="5"/>
  <c r="P1339" i="5"/>
  <c r="M1339" i="5"/>
  <c r="P1338" i="5"/>
  <c r="M1338" i="5"/>
  <c r="P1337" i="5"/>
  <c r="M1337" i="5"/>
  <c r="P1336" i="5"/>
  <c r="M1336" i="5"/>
  <c r="P1335" i="5"/>
  <c r="N1335" i="5"/>
  <c r="M1335" i="5"/>
  <c r="Q1334" i="5"/>
  <c r="P1334" i="5"/>
  <c r="R1334" i="5" s="1"/>
  <c r="N1334" i="5"/>
  <c r="M1334" i="5"/>
  <c r="P1333" i="5"/>
  <c r="M1333" i="5"/>
  <c r="P1332" i="5"/>
  <c r="M1332" i="5"/>
  <c r="Q1331" i="5"/>
  <c r="P1331" i="5"/>
  <c r="R1331" i="5" s="1"/>
  <c r="M1331" i="5"/>
  <c r="P1330" i="5"/>
  <c r="M1330" i="5"/>
  <c r="Q1329" i="5"/>
  <c r="P1329" i="5"/>
  <c r="R1329" i="5" s="1"/>
  <c r="M1329" i="5"/>
  <c r="Q1328" i="5"/>
  <c r="P1328" i="5"/>
  <c r="R1328" i="5" s="1"/>
  <c r="M1328" i="5"/>
  <c r="P1327" i="5"/>
  <c r="M1327" i="5"/>
  <c r="P1326" i="5"/>
  <c r="M1326" i="5"/>
  <c r="P1325" i="5"/>
  <c r="M1325" i="5"/>
  <c r="P1324" i="5"/>
  <c r="M1324" i="5"/>
  <c r="P1323" i="5"/>
  <c r="M1323" i="5"/>
  <c r="S1322" i="5"/>
  <c r="P1322" i="5"/>
  <c r="O1322" i="5"/>
  <c r="N1322" i="5"/>
  <c r="M1322" i="5"/>
  <c r="Q1321" i="5"/>
  <c r="P1321" i="5"/>
  <c r="R1321" i="5" s="1"/>
  <c r="M1321" i="5"/>
  <c r="P1320" i="5"/>
  <c r="M1320" i="5"/>
  <c r="Q1319" i="5"/>
  <c r="P1319" i="5"/>
  <c r="R1319" i="5" s="1"/>
  <c r="M1319" i="5"/>
  <c r="Q1318" i="5"/>
  <c r="P1318" i="5"/>
  <c r="R1318" i="5" s="1"/>
  <c r="M1318" i="5"/>
  <c r="Q1317" i="5"/>
  <c r="P1317" i="5"/>
  <c r="R1317" i="5" s="1"/>
  <c r="M1317" i="5"/>
  <c r="Q1316" i="5"/>
  <c r="P1316" i="5"/>
  <c r="R1316" i="5" s="1"/>
  <c r="M1316" i="5"/>
  <c r="P1315" i="5"/>
  <c r="M1315" i="5"/>
  <c r="P1314" i="5"/>
  <c r="N1314" i="5"/>
  <c r="M1314" i="5"/>
  <c r="P1313" i="5"/>
  <c r="M1313" i="5"/>
  <c r="Q1312" i="5"/>
  <c r="P1312" i="5"/>
  <c r="R1312" i="5" s="1"/>
  <c r="M1312" i="5"/>
  <c r="Q1311" i="5"/>
  <c r="P1311" i="5"/>
  <c r="R1311" i="5" s="1"/>
  <c r="N1311" i="5"/>
  <c r="M1311" i="5"/>
  <c r="P1310" i="5"/>
  <c r="M1310" i="5"/>
  <c r="P1309" i="5"/>
  <c r="M1309" i="5"/>
  <c r="Q1308" i="5"/>
  <c r="P1308" i="5"/>
  <c r="R1308" i="5" s="1"/>
  <c r="N1308" i="5"/>
  <c r="M1308" i="5"/>
  <c r="P1307" i="5"/>
  <c r="M1307" i="5"/>
  <c r="P1306" i="5"/>
  <c r="M1306" i="5"/>
  <c r="Q1305" i="5"/>
  <c r="P1305" i="5"/>
  <c r="R1305" i="5" s="1"/>
  <c r="N1305" i="5"/>
  <c r="M1305" i="5"/>
  <c r="Q1304" i="5"/>
  <c r="P1304" i="5"/>
  <c r="R1304" i="5" s="1"/>
  <c r="M1304" i="5"/>
  <c r="P1303" i="5"/>
  <c r="M1303" i="5"/>
  <c r="Q1302" i="5"/>
  <c r="P1302" i="5"/>
  <c r="R1302" i="5" s="1"/>
  <c r="M1302" i="5"/>
  <c r="P1301" i="5"/>
  <c r="M1301" i="5"/>
  <c r="P1300" i="5"/>
  <c r="M1300" i="5"/>
  <c r="Q1299" i="5"/>
  <c r="P1299" i="5"/>
  <c r="R1299" i="5" s="1"/>
  <c r="M1299" i="5"/>
  <c r="P1298" i="5"/>
  <c r="M1298" i="5"/>
  <c r="P1297" i="5"/>
  <c r="M1297" i="5"/>
  <c r="P1296" i="5"/>
  <c r="M1296" i="5"/>
  <c r="Q1295" i="5"/>
  <c r="P1295" i="5"/>
  <c r="R1295" i="5" s="1"/>
  <c r="M1295" i="5"/>
  <c r="P1294" i="5"/>
  <c r="M1294" i="5"/>
  <c r="P1293" i="5"/>
  <c r="M1293" i="5"/>
  <c r="Q1292" i="5"/>
  <c r="P1292" i="5"/>
  <c r="R1292" i="5" s="1"/>
  <c r="M1292" i="5"/>
  <c r="Q1291" i="5"/>
  <c r="P1291" i="5"/>
  <c r="R1291" i="5" s="1"/>
  <c r="M1291" i="5"/>
  <c r="Q1290" i="5"/>
  <c r="P1290" i="5"/>
  <c r="R1290" i="5" s="1"/>
  <c r="M1290" i="5"/>
  <c r="P1289" i="5"/>
  <c r="M1289" i="5"/>
  <c r="P1288" i="5"/>
  <c r="M1288" i="5"/>
  <c r="P1287" i="5"/>
  <c r="M1287" i="5"/>
  <c r="P1286" i="5"/>
  <c r="M1286" i="5"/>
  <c r="P1285" i="5"/>
  <c r="M1285" i="5"/>
  <c r="Q1284" i="5"/>
  <c r="P1284" i="5"/>
  <c r="R1284" i="5" s="1"/>
  <c r="N1284" i="5"/>
  <c r="M1284" i="5"/>
  <c r="P1283" i="5"/>
  <c r="M1283" i="5"/>
  <c r="P1282" i="5"/>
  <c r="M1282" i="5"/>
  <c r="Q1281" i="5"/>
  <c r="P1281" i="5"/>
  <c r="R1281" i="5" s="1"/>
  <c r="M1281" i="5"/>
  <c r="P1280" i="5"/>
  <c r="N1280" i="5"/>
  <c r="M1280" i="5"/>
  <c r="Q1279" i="5"/>
  <c r="P1279" i="5"/>
  <c r="R1279" i="5" s="1"/>
  <c r="N1279" i="5"/>
  <c r="M1279" i="5"/>
  <c r="P1278" i="5"/>
  <c r="M1278" i="5"/>
  <c r="P1277" i="5"/>
  <c r="M1277" i="5"/>
  <c r="P1276" i="5"/>
  <c r="N1276" i="5"/>
  <c r="M1276" i="5"/>
  <c r="P1275" i="5"/>
  <c r="M1275" i="5"/>
  <c r="P1274" i="5"/>
  <c r="N1274" i="5"/>
  <c r="M1274" i="5"/>
  <c r="Q1273" i="5"/>
  <c r="P1273" i="5"/>
  <c r="R1273" i="5" s="1"/>
  <c r="N1273" i="5"/>
  <c r="M1273" i="5"/>
  <c r="P1272" i="5"/>
  <c r="M1272" i="5"/>
  <c r="P1271" i="5"/>
  <c r="M1271" i="5"/>
  <c r="P1270" i="5"/>
  <c r="M1270" i="5"/>
  <c r="P1269" i="5"/>
  <c r="M1269" i="5"/>
  <c r="P1268" i="5"/>
  <c r="M1268" i="5"/>
  <c r="P1267" i="5"/>
  <c r="M1267" i="5"/>
  <c r="P1266" i="5"/>
  <c r="M1266" i="5"/>
  <c r="Q1265" i="5"/>
  <c r="P1265" i="5"/>
  <c r="R1265" i="5" s="1"/>
  <c r="M1265" i="5"/>
  <c r="P1264" i="5"/>
  <c r="M1264" i="5"/>
  <c r="Q1263" i="5"/>
  <c r="P1263" i="5"/>
  <c r="R1263" i="5" s="1"/>
  <c r="M1263" i="5"/>
  <c r="Q1262" i="5"/>
  <c r="P1262" i="5"/>
  <c r="R1262" i="5" s="1"/>
  <c r="M1262" i="5"/>
  <c r="Q1261" i="5"/>
  <c r="P1261" i="5"/>
  <c r="R1261" i="5" s="1"/>
  <c r="M1261" i="5"/>
  <c r="Q1260" i="5"/>
  <c r="P1260" i="5"/>
  <c r="R1260" i="5" s="1"/>
  <c r="M1260" i="5"/>
  <c r="P1259" i="5"/>
  <c r="M1259" i="5"/>
  <c r="P1258" i="5"/>
  <c r="M1258" i="5"/>
  <c r="P1257" i="5"/>
  <c r="M1257" i="5"/>
  <c r="P1256" i="5"/>
  <c r="M1256" i="5"/>
  <c r="P1255" i="5"/>
  <c r="M1255" i="5"/>
  <c r="Q1254" i="5"/>
  <c r="P1254" i="5"/>
  <c r="R1254" i="5" s="1"/>
  <c r="M1254" i="5"/>
  <c r="P1253" i="5"/>
  <c r="M1253" i="5"/>
  <c r="P1252" i="5"/>
  <c r="M1252" i="5"/>
  <c r="P1251" i="5"/>
  <c r="M1251" i="5"/>
  <c r="Q1250" i="5"/>
  <c r="P1250" i="5"/>
  <c r="R1250" i="5" s="1"/>
  <c r="N1250" i="5"/>
  <c r="M1250" i="5"/>
  <c r="P1249" i="5"/>
  <c r="M1249" i="5"/>
  <c r="Q1248" i="5"/>
  <c r="P1248" i="5"/>
  <c r="R1248" i="5" s="1"/>
  <c r="N1248" i="5"/>
  <c r="M1248" i="5"/>
  <c r="P1247" i="5"/>
  <c r="M1247" i="5"/>
  <c r="P1246" i="5"/>
  <c r="M1246" i="5"/>
  <c r="Q1245" i="5"/>
  <c r="P1245" i="5"/>
  <c r="R1245" i="5" s="1"/>
  <c r="M1245" i="5"/>
  <c r="Q1244" i="5"/>
  <c r="P1244" i="5"/>
  <c r="R1244" i="5" s="1"/>
  <c r="M1244" i="5"/>
  <c r="P1243" i="5"/>
  <c r="M1243" i="5"/>
  <c r="P1242" i="5"/>
  <c r="M1242" i="5"/>
  <c r="P1241" i="5"/>
  <c r="M1241" i="5"/>
  <c r="Q1240" i="5"/>
  <c r="P1240" i="5"/>
  <c r="R1240" i="5" s="1"/>
  <c r="N1240" i="5"/>
  <c r="M1240" i="5"/>
  <c r="P1239" i="5"/>
  <c r="M1239" i="5"/>
  <c r="P1238" i="5"/>
  <c r="M1238" i="5"/>
  <c r="Q1237" i="5"/>
  <c r="P1237" i="5"/>
  <c r="R1237" i="5" s="1"/>
  <c r="N1237" i="5"/>
  <c r="M1237" i="5"/>
  <c r="P1236" i="5"/>
  <c r="M1236" i="5"/>
  <c r="P1235" i="5"/>
  <c r="M1235" i="5"/>
  <c r="P1234" i="5"/>
  <c r="M1234" i="5"/>
  <c r="P1233" i="5"/>
  <c r="M1233" i="5"/>
  <c r="Q1232" i="5"/>
  <c r="P1232" i="5"/>
  <c r="R1232" i="5" s="1"/>
  <c r="M1232" i="5"/>
  <c r="P1231" i="5"/>
  <c r="M1231" i="5"/>
  <c r="P1230" i="5"/>
  <c r="M1230" i="5"/>
  <c r="P1229" i="5"/>
  <c r="M1229" i="5"/>
  <c r="Q1228" i="5"/>
  <c r="P1228" i="5"/>
  <c r="R1228" i="5" s="1"/>
  <c r="M1228" i="5"/>
  <c r="P1227" i="5"/>
  <c r="M1227" i="5"/>
  <c r="Q1226" i="5"/>
  <c r="P1226" i="5"/>
  <c r="R1226" i="5" s="1"/>
  <c r="M1226" i="5"/>
  <c r="Q1225" i="5"/>
  <c r="P1225" i="5"/>
  <c r="R1225" i="5" s="1"/>
  <c r="M1225" i="5"/>
  <c r="P1224" i="5"/>
  <c r="M1224" i="5"/>
  <c r="P1223" i="5"/>
  <c r="M1223" i="5"/>
  <c r="P1222" i="5"/>
  <c r="M1222" i="5"/>
  <c r="P1221" i="5"/>
  <c r="M1221" i="5"/>
  <c r="P1220" i="5"/>
  <c r="M1220" i="5"/>
  <c r="P1219" i="5"/>
  <c r="M1219" i="5"/>
  <c r="P1218" i="5"/>
  <c r="M1218" i="5"/>
  <c r="P1217" i="5"/>
  <c r="M1217" i="5"/>
  <c r="P1216" i="5"/>
  <c r="M1216" i="5"/>
  <c r="Q1215" i="5"/>
  <c r="P1215" i="5"/>
  <c r="R1215" i="5" s="1"/>
  <c r="N1215" i="5"/>
  <c r="M1215" i="5"/>
  <c r="P1214" i="5"/>
  <c r="M1214" i="5"/>
  <c r="P1213" i="5"/>
  <c r="M1213" i="5"/>
  <c r="P1212" i="5"/>
  <c r="M1212" i="5"/>
  <c r="P1211" i="5"/>
  <c r="M1211" i="5"/>
  <c r="Q1210" i="5"/>
  <c r="P1210" i="5"/>
  <c r="R1210" i="5" s="1"/>
  <c r="N1210" i="5"/>
  <c r="M1210" i="5"/>
  <c r="P1209" i="5"/>
  <c r="M1209" i="5"/>
  <c r="P1208" i="5"/>
  <c r="N1208" i="5"/>
  <c r="M1208" i="5"/>
  <c r="P1207" i="5"/>
  <c r="M1207" i="5"/>
  <c r="P1206" i="5"/>
  <c r="M1206" i="5"/>
  <c r="P1205" i="5"/>
  <c r="M1205" i="5"/>
  <c r="Q1204" i="5"/>
  <c r="P1204" i="5"/>
  <c r="R1204" i="5" s="1"/>
  <c r="N1204" i="5"/>
  <c r="M1204" i="5"/>
  <c r="P1203" i="5"/>
  <c r="M1203" i="5"/>
  <c r="P1202" i="5"/>
  <c r="M1202" i="5"/>
  <c r="Q1201" i="5"/>
  <c r="P1201" i="5"/>
  <c r="R1201" i="5" s="1"/>
  <c r="M1201" i="5"/>
  <c r="P1200" i="5"/>
  <c r="M1200" i="5"/>
  <c r="Q1199" i="5"/>
  <c r="P1199" i="5"/>
  <c r="R1199" i="5" s="1"/>
  <c r="M1199" i="5"/>
  <c r="Q1198" i="5"/>
  <c r="P1198" i="5"/>
  <c r="R1198" i="5" s="1"/>
  <c r="N1198" i="5"/>
  <c r="M1198" i="5"/>
  <c r="Q1197" i="5"/>
  <c r="P1197" i="5"/>
  <c r="R1197" i="5" s="1"/>
  <c r="N1197" i="5"/>
  <c r="M1197" i="5"/>
  <c r="P1196" i="5"/>
  <c r="M1196" i="5"/>
  <c r="P1195" i="5"/>
  <c r="M1195" i="5"/>
  <c r="P1194" i="5"/>
  <c r="M1194" i="5"/>
  <c r="P1193" i="5"/>
  <c r="M1193" i="5"/>
  <c r="P1192" i="5"/>
  <c r="M1192" i="5"/>
  <c r="P1191" i="5"/>
  <c r="M1191" i="5"/>
  <c r="P1190" i="5"/>
  <c r="M1190" i="5"/>
  <c r="P1189" i="5"/>
  <c r="M1189" i="5"/>
  <c r="P1188" i="5"/>
  <c r="M1188" i="5"/>
  <c r="P1187" i="5"/>
  <c r="M1187" i="5"/>
  <c r="Q1186" i="5"/>
  <c r="P1186" i="5"/>
  <c r="R1186" i="5" s="1"/>
  <c r="M1186" i="5"/>
  <c r="P1185" i="5"/>
  <c r="M1185" i="5"/>
  <c r="P1184" i="5"/>
  <c r="M1184" i="5"/>
  <c r="P1183" i="5"/>
  <c r="M1183" i="5"/>
  <c r="Q1182" i="5"/>
  <c r="P1182" i="5"/>
  <c r="R1182" i="5" s="1"/>
  <c r="M1182" i="5"/>
  <c r="P1181" i="5"/>
  <c r="M1181" i="5"/>
  <c r="Q1180" i="5"/>
  <c r="P1180" i="5"/>
  <c r="R1180" i="5" s="1"/>
  <c r="M1180" i="5"/>
  <c r="P1179" i="5"/>
  <c r="M1179" i="5"/>
  <c r="P1178" i="5"/>
  <c r="M1178" i="5"/>
  <c r="Q1177" i="5"/>
  <c r="P1177" i="5"/>
  <c r="R1177" i="5" s="1"/>
  <c r="M1177" i="5"/>
  <c r="Q1176" i="5"/>
  <c r="P1176" i="5"/>
  <c r="R1176" i="5" s="1"/>
  <c r="M1176" i="5"/>
  <c r="P1175" i="5"/>
  <c r="M1175" i="5"/>
  <c r="P1174" i="5"/>
  <c r="M1174" i="5"/>
  <c r="P1173" i="5"/>
  <c r="M1173" i="5"/>
  <c r="P1172" i="5"/>
  <c r="M1172" i="5"/>
  <c r="P1171" i="5"/>
  <c r="M1171" i="5"/>
  <c r="P1170" i="5"/>
  <c r="M1170" i="5"/>
  <c r="P1169" i="5"/>
  <c r="M1169" i="5"/>
  <c r="P1168" i="5"/>
  <c r="N1168" i="5"/>
  <c r="M1168" i="5"/>
  <c r="P1167" i="5"/>
  <c r="M1167" i="5"/>
  <c r="P1166" i="5"/>
  <c r="M1166" i="5"/>
  <c r="Q1165" i="5"/>
  <c r="P1165" i="5"/>
  <c r="R1165" i="5" s="1"/>
  <c r="N1165" i="5"/>
  <c r="M1165" i="5"/>
  <c r="P1164" i="5"/>
  <c r="M1164" i="5"/>
  <c r="P1163" i="5"/>
  <c r="M1163" i="5"/>
  <c r="P1162" i="5"/>
  <c r="M1162" i="5"/>
  <c r="P1161" i="5"/>
  <c r="M1161" i="5"/>
  <c r="P1160" i="5"/>
  <c r="M1160" i="5"/>
  <c r="P1159" i="5"/>
  <c r="M1159" i="5"/>
  <c r="P1158" i="5"/>
  <c r="M1158" i="5"/>
  <c r="P1157" i="5"/>
  <c r="M1157" i="5"/>
  <c r="Q1156" i="5"/>
  <c r="P1156" i="5"/>
  <c r="R1156" i="5" s="1"/>
  <c r="N1156" i="5"/>
  <c r="M1156" i="5"/>
  <c r="P1155" i="5"/>
  <c r="M1155" i="5"/>
  <c r="P1154" i="5"/>
  <c r="M1154" i="5"/>
  <c r="P1153" i="5"/>
  <c r="M1153" i="5"/>
  <c r="P1152" i="5"/>
  <c r="M1152" i="5"/>
  <c r="P1151" i="5"/>
  <c r="M1151" i="5"/>
  <c r="P1150" i="5"/>
  <c r="M1150" i="5"/>
  <c r="Q1149" i="5"/>
  <c r="P1149" i="5"/>
  <c r="R1149" i="5" s="1"/>
  <c r="N1149" i="5"/>
  <c r="M1149" i="5"/>
  <c r="Q1148" i="5"/>
  <c r="P1148" i="5"/>
  <c r="R1148" i="5" s="1"/>
  <c r="N1148" i="5"/>
  <c r="M1148" i="5"/>
  <c r="Q1147" i="5"/>
  <c r="P1147" i="5"/>
  <c r="R1147" i="5" s="1"/>
  <c r="N1147" i="5"/>
  <c r="M1147" i="5"/>
  <c r="P1146" i="5"/>
  <c r="M1146" i="5"/>
  <c r="P1145" i="5"/>
  <c r="M1145" i="5"/>
  <c r="Q1144" i="5"/>
  <c r="P1144" i="5"/>
  <c r="R1144" i="5" s="1"/>
  <c r="N1144" i="5"/>
  <c r="M1144" i="5"/>
  <c r="P1143" i="5"/>
  <c r="M1143" i="5"/>
  <c r="P1142" i="5"/>
  <c r="M1142" i="5"/>
  <c r="P1141" i="5"/>
  <c r="M1141" i="5"/>
  <c r="Q1140" i="5"/>
  <c r="P1140" i="5"/>
  <c r="R1140" i="5" s="1"/>
  <c r="N1140" i="5"/>
  <c r="M1140" i="5"/>
  <c r="Q1139" i="5"/>
  <c r="P1139" i="5"/>
  <c r="R1139" i="5" s="1"/>
  <c r="N1139" i="5"/>
  <c r="M1139" i="5"/>
  <c r="P1138" i="5"/>
  <c r="M1138" i="5"/>
  <c r="P1137" i="5"/>
  <c r="M1137" i="5"/>
  <c r="P1136" i="5"/>
  <c r="M1136" i="5"/>
  <c r="P1135" i="5"/>
  <c r="M1135" i="5"/>
  <c r="P1134" i="5"/>
  <c r="M1134" i="5"/>
  <c r="P1133" i="5"/>
  <c r="M1133" i="5"/>
  <c r="Q1132" i="5"/>
  <c r="P1132" i="5"/>
  <c r="R1132" i="5" s="1"/>
  <c r="N1132" i="5"/>
  <c r="M1132" i="5"/>
  <c r="P1131" i="5"/>
  <c r="M1131" i="5"/>
  <c r="P1130" i="5"/>
  <c r="M1130" i="5"/>
  <c r="P1129" i="5"/>
  <c r="M1129" i="5"/>
  <c r="P1128" i="5"/>
  <c r="M1128" i="5"/>
  <c r="P1127" i="5"/>
  <c r="M1127" i="5"/>
  <c r="Q1126" i="5"/>
  <c r="P1126" i="5"/>
  <c r="R1126" i="5" s="1"/>
  <c r="N1126" i="5"/>
  <c r="M1126" i="5"/>
  <c r="P1125" i="5"/>
  <c r="M1125" i="5"/>
  <c r="P1124" i="5"/>
  <c r="M1124" i="5"/>
  <c r="Q1123" i="5"/>
  <c r="P1123" i="5"/>
  <c r="R1123" i="5" s="1"/>
  <c r="N1123" i="5"/>
  <c r="M1123" i="5"/>
  <c r="P1122" i="5"/>
  <c r="M1122" i="5"/>
  <c r="P1121" i="5"/>
  <c r="M1121" i="5"/>
  <c r="P1120" i="5"/>
  <c r="M1120" i="5"/>
  <c r="P1119" i="5"/>
  <c r="M1119" i="5"/>
  <c r="Q1118" i="5"/>
  <c r="P1118" i="5"/>
  <c r="R1118" i="5" s="1"/>
  <c r="M1118" i="5"/>
  <c r="P1117" i="5"/>
  <c r="M1117" i="5"/>
  <c r="P1116" i="5"/>
  <c r="M1116" i="5"/>
  <c r="P1115" i="5"/>
  <c r="M1115" i="5"/>
  <c r="P1114" i="5"/>
  <c r="M1114" i="5"/>
  <c r="P1113" i="5"/>
  <c r="M1113" i="5"/>
  <c r="Q1112" i="5"/>
  <c r="P1112" i="5"/>
  <c r="R1112" i="5" s="1"/>
  <c r="M1112" i="5"/>
  <c r="P1111" i="5"/>
  <c r="M1111" i="5"/>
  <c r="Q1110" i="5"/>
  <c r="P1110" i="5"/>
  <c r="R1110" i="5" s="1"/>
  <c r="M1110" i="5"/>
  <c r="S1109" i="5"/>
  <c r="P1109" i="5"/>
  <c r="O1109" i="5"/>
  <c r="N1109" i="5"/>
  <c r="M1109" i="5"/>
  <c r="Q1108" i="5"/>
  <c r="P1108" i="5"/>
  <c r="R1108" i="5" s="1"/>
  <c r="N1108" i="5"/>
  <c r="M1108" i="5"/>
  <c r="Q1107" i="5"/>
  <c r="P1107" i="5"/>
  <c r="R1107" i="5" s="1"/>
  <c r="M1107" i="5"/>
  <c r="Q1106" i="5"/>
  <c r="P1106" i="5"/>
  <c r="R1106" i="5" s="1"/>
  <c r="M1106" i="5"/>
  <c r="Q1105" i="5"/>
  <c r="P1105" i="5"/>
  <c r="R1105" i="5" s="1"/>
  <c r="M1105" i="5"/>
  <c r="Q1104" i="5"/>
  <c r="P1104" i="5"/>
  <c r="R1104" i="5" s="1"/>
  <c r="N1104" i="5"/>
  <c r="M1104" i="5"/>
  <c r="P1103" i="5"/>
  <c r="M1103" i="5"/>
  <c r="P1102" i="5"/>
  <c r="M1102" i="5"/>
  <c r="P1101" i="5"/>
  <c r="M1101" i="5"/>
  <c r="P1100" i="5"/>
  <c r="M1100" i="5"/>
  <c r="P1099" i="5"/>
  <c r="M1099" i="5"/>
  <c r="Q1098" i="5"/>
  <c r="P1098" i="5"/>
  <c r="R1098" i="5" s="1"/>
  <c r="N1098" i="5"/>
  <c r="M1098" i="5"/>
  <c r="P1097" i="5"/>
  <c r="M1097" i="5"/>
  <c r="P1096" i="5"/>
  <c r="M1096" i="5"/>
  <c r="Q1095" i="5"/>
  <c r="P1095" i="5"/>
  <c r="R1095" i="5" s="1"/>
  <c r="N1095" i="5"/>
  <c r="M1095" i="5"/>
  <c r="P1094" i="5"/>
  <c r="M1094" i="5"/>
  <c r="P1093" i="5"/>
  <c r="M1093" i="5"/>
  <c r="P1092" i="5"/>
  <c r="N1092" i="5"/>
  <c r="M1092" i="5"/>
  <c r="P1091" i="5"/>
  <c r="M1091" i="5"/>
  <c r="P1090" i="5"/>
  <c r="M1090" i="5"/>
  <c r="P1089" i="5"/>
  <c r="M1089" i="5"/>
  <c r="P1088" i="5"/>
  <c r="M1088" i="5"/>
  <c r="P1087" i="5"/>
  <c r="M1087" i="5"/>
  <c r="P1086" i="5"/>
  <c r="M1086" i="5"/>
  <c r="P1085" i="5"/>
  <c r="M1085" i="5"/>
  <c r="Q1084" i="5"/>
  <c r="P1084" i="5"/>
  <c r="R1084" i="5" s="1"/>
  <c r="M1084" i="5"/>
  <c r="P1083" i="5"/>
  <c r="M1083" i="5"/>
  <c r="Q1082" i="5"/>
  <c r="P1082" i="5"/>
  <c r="R1082" i="5" s="1"/>
  <c r="M1082" i="5"/>
  <c r="Q1081" i="5"/>
  <c r="P1081" i="5"/>
  <c r="R1081" i="5" s="1"/>
  <c r="M1081" i="5"/>
  <c r="P1080" i="5"/>
  <c r="M1080" i="5"/>
  <c r="Q1079" i="5"/>
  <c r="P1079" i="5"/>
  <c r="R1079" i="5" s="1"/>
  <c r="N1079" i="5"/>
  <c r="M1079" i="5"/>
  <c r="P1078" i="5"/>
  <c r="M1078" i="5"/>
  <c r="P1077" i="5"/>
  <c r="M1077" i="5"/>
  <c r="P1076" i="5"/>
  <c r="M1076" i="5"/>
  <c r="P1075" i="5"/>
  <c r="M1075" i="5"/>
  <c r="P1074" i="5"/>
  <c r="M1074" i="5"/>
  <c r="P1073" i="5"/>
  <c r="M1073" i="5"/>
  <c r="P1072" i="5"/>
  <c r="M1072" i="5"/>
  <c r="P1071" i="5"/>
  <c r="M1071" i="5"/>
  <c r="P1070" i="5"/>
  <c r="M1070" i="5"/>
  <c r="P1069" i="5"/>
  <c r="M1069" i="5"/>
  <c r="P1068" i="5"/>
  <c r="M1068" i="5"/>
  <c r="P1067" i="5"/>
  <c r="M1067" i="5"/>
  <c r="P1066" i="5"/>
  <c r="M1066" i="5"/>
  <c r="P1065" i="5"/>
  <c r="M1065" i="5"/>
  <c r="P1064" i="5"/>
  <c r="M1064" i="5"/>
  <c r="P1063" i="5"/>
  <c r="M1063" i="5"/>
  <c r="Q1062" i="5"/>
  <c r="P1062" i="5"/>
  <c r="R1062" i="5" s="1"/>
  <c r="M1062" i="5"/>
  <c r="Q1061" i="5"/>
  <c r="P1061" i="5"/>
  <c r="R1061" i="5" s="1"/>
  <c r="M1061" i="5"/>
  <c r="P1060" i="5"/>
  <c r="M1060" i="5"/>
  <c r="P1059" i="5"/>
  <c r="M1059" i="5"/>
  <c r="P1058" i="5"/>
  <c r="M1058" i="5"/>
  <c r="P1057" i="5"/>
  <c r="M1057" i="5"/>
  <c r="P1056" i="5"/>
  <c r="M1056" i="5"/>
  <c r="Q1055" i="5"/>
  <c r="P1055" i="5"/>
  <c r="R1055" i="5" s="1"/>
  <c r="M1055" i="5"/>
  <c r="Q1054" i="5"/>
  <c r="P1054" i="5"/>
  <c r="R1054" i="5" s="1"/>
  <c r="M1054" i="5"/>
  <c r="Q1053" i="5"/>
  <c r="P1053" i="5"/>
  <c r="R1053" i="5" s="1"/>
  <c r="M1053" i="5"/>
  <c r="P1052" i="5"/>
  <c r="M1052" i="5"/>
  <c r="P1051" i="5"/>
  <c r="M1051" i="5"/>
  <c r="P1050" i="5"/>
  <c r="M1050" i="5"/>
  <c r="Q1049" i="5"/>
  <c r="P1049" i="5"/>
  <c r="R1049" i="5" s="1"/>
  <c r="N1049" i="5"/>
  <c r="M1049" i="5"/>
  <c r="P1048" i="5"/>
  <c r="N1048" i="5"/>
  <c r="M1048" i="5"/>
  <c r="P1047" i="5"/>
  <c r="N1047" i="5"/>
  <c r="M1047" i="5"/>
  <c r="P1046" i="5"/>
  <c r="N1046" i="5"/>
  <c r="M1046" i="5"/>
  <c r="P1045" i="5"/>
  <c r="M1045" i="5"/>
  <c r="P1044" i="5"/>
  <c r="M1044" i="5"/>
  <c r="P1043" i="5"/>
  <c r="M1043" i="5"/>
  <c r="P1042" i="5"/>
  <c r="M1042" i="5"/>
  <c r="P1041" i="5"/>
  <c r="M1041" i="5"/>
  <c r="P1040" i="5"/>
  <c r="M1040" i="5"/>
  <c r="P1039" i="5"/>
  <c r="M1039" i="5"/>
  <c r="P1038" i="5"/>
  <c r="M1038" i="5"/>
  <c r="P1037" i="5"/>
  <c r="M1037" i="5"/>
  <c r="Q1036" i="5"/>
  <c r="P1036" i="5"/>
  <c r="R1036" i="5" s="1"/>
  <c r="M1036" i="5"/>
  <c r="Q1035" i="5"/>
  <c r="P1035" i="5"/>
  <c r="R1035" i="5" s="1"/>
  <c r="M1035" i="5"/>
  <c r="Q1034" i="5"/>
  <c r="P1034" i="5"/>
  <c r="R1034" i="5" s="1"/>
  <c r="M1034" i="5"/>
  <c r="P1033" i="5"/>
  <c r="M1033" i="5"/>
  <c r="P1032" i="5"/>
  <c r="M1032" i="5"/>
  <c r="P1031" i="5"/>
  <c r="M1031" i="5"/>
  <c r="P1030" i="5"/>
  <c r="M1030" i="5"/>
  <c r="P1029" i="5"/>
  <c r="M1029" i="5"/>
  <c r="P1028" i="5"/>
  <c r="M1028" i="5"/>
  <c r="P1027" i="5"/>
  <c r="M1027" i="5"/>
  <c r="P1026" i="5"/>
  <c r="M1026" i="5"/>
  <c r="P1025" i="5"/>
  <c r="M1025" i="5"/>
  <c r="P1024" i="5"/>
  <c r="M1024" i="5"/>
  <c r="Q1023" i="5"/>
  <c r="P1023" i="5"/>
  <c r="R1023" i="5" s="1"/>
  <c r="M1023" i="5"/>
  <c r="Q1022" i="5"/>
  <c r="P1022" i="5"/>
  <c r="R1022" i="5" s="1"/>
  <c r="M1022" i="5"/>
  <c r="Q1021" i="5"/>
  <c r="P1021" i="5"/>
  <c r="R1021" i="5" s="1"/>
  <c r="M1021" i="5"/>
  <c r="Q1020" i="5"/>
  <c r="P1020" i="5"/>
  <c r="R1020" i="5" s="1"/>
  <c r="M1020" i="5"/>
  <c r="P1019" i="5"/>
  <c r="M1019" i="5"/>
  <c r="P1018" i="5"/>
  <c r="M1018" i="5"/>
  <c r="P1017" i="5"/>
  <c r="M1017" i="5"/>
  <c r="Q1016" i="5"/>
  <c r="P1016" i="5"/>
  <c r="R1016" i="5" s="1"/>
  <c r="N1016" i="5"/>
  <c r="M1016" i="5"/>
  <c r="P1015" i="5"/>
  <c r="M1015" i="5"/>
  <c r="P1014" i="5"/>
  <c r="M1014" i="5"/>
  <c r="P1013" i="5"/>
  <c r="M1013" i="5"/>
  <c r="P1012" i="5"/>
  <c r="M1012" i="5"/>
  <c r="P1011" i="5"/>
  <c r="M1011" i="5"/>
  <c r="P1010" i="5"/>
  <c r="M1010" i="5"/>
  <c r="P1009" i="5"/>
  <c r="M1009" i="5"/>
  <c r="P1008" i="5"/>
  <c r="M1008" i="5"/>
  <c r="P1007" i="5"/>
  <c r="M1007" i="5"/>
  <c r="P1006" i="5"/>
  <c r="M1006" i="5"/>
  <c r="Q1005" i="5"/>
  <c r="P1005" i="5"/>
  <c r="R1005" i="5" s="1"/>
  <c r="M1005" i="5"/>
  <c r="Q1004" i="5"/>
  <c r="P1004" i="5"/>
  <c r="R1004" i="5" s="1"/>
  <c r="N1004" i="5"/>
  <c r="M1004" i="5"/>
  <c r="Q1003" i="5"/>
  <c r="P1003" i="5"/>
  <c r="R1003" i="5" s="1"/>
  <c r="M1003" i="5"/>
  <c r="Q1002" i="5"/>
  <c r="P1002" i="5"/>
  <c r="R1002" i="5" s="1"/>
  <c r="M1002" i="5"/>
  <c r="P1001" i="5"/>
  <c r="M1001" i="5"/>
  <c r="P1000" i="5"/>
  <c r="M1000" i="5"/>
  <c r="Q999" i="5"/>
  <c r="P999" i="5"/>
  <c r="R999" i="5" s="1"/>
  <c r="N999" i="5"/>
  <c r="M999" i="5"/>
  <c r="P998" i="5"/>
  <c r="M998" i="5"/>
  <c r="P997" i="5"/>
  <c r="M997" i="5"/>
  <c r="P996" i="5"/>
  <c r="M996" i="5"/>
  <c r="P995" i="5"/>
  <c r="M995" i="5"/>
  <c r="P994" i="5"/>
  <c r="M994" i="5"/>
  <c r="P993" i="5"/>
  <c r="M993" i="5"/>
  <c r="P992" i="5"/>
  <c r="M992" i="5"/>
  <c r="P991" i="5"/>
  <c r="M991" i="5"/>
  <c r="P990" i="5"/>
  <c r="M990" i="5"/>
  <c r="P989" i="5"/>
  <c r="M989" i="5"/>
  <c r="P988" i="5"/>
  <c r="M988" i="5"/>
  <c r="Q987" i="5"/>
  <c r="P987" i="5"/>
  <c r="R987" i="5" s="1"/>
  <c r="N987" i="5"/>
  <c r="M987" i="5"/>
  <c r="P986" i="5"/>
  <c r="M986" i="5"/>
  <c r="Q985" i="5"/>
  <c r="P985" i="5"/>
  <c r="R985" i="5" s="1"/>
  <c r="M985" i="5"/>
  <c r="Q984" i="5"/>
  <c r="P984" i="5"/>
  <c r="R984" i="5" s="1"/>
  <c r="M984" i="5"/>
  <c r="Q983" i="5"/>
  <c r="P983" i="5"/>
  <c r="R983" i="5" s="1"/>
  <c r="M983" i="5"/>
  <c r="Q982" i="5"/>
  <c r="P982" i="5"/>
  <c r="R982" i="5" s="1"/>
  <c r="M982" i="5"/>
  <c r="P981" i="5"/>
  <c r="M981" i="5"/>
  <c r="P980" i="5"/>
  <c r="M980" i="5"/>
  <c r="P979" i="5"/>
  <c r="M979" i="5"/>
  <c r="P978" i="5"/>
  <c r="M978" i="5"/>
  <c r="P977" i="5"/>
  <c r="M977" i="5"/>
  <c r="P976" i="5"/>
  <c r="M976" i="5"/>
  <c r="Q975" i="5"/>
  <c r="P975" i="5"/>
  <c r="R975" i="5" s="1"/>
  <c r="M975" i="5"/>
  <c r="P974" i="5"/>
  <c r="M974" i="5"/>
  <c r="Q973" i="5"/>
  <c r="P973" i="5"/>
  <c r="R973" i="5" s="1"/>
  <c r="N973" i="5"/>
  <c r="M973" i="5"/>
  <c r="P972" i="5"/>
  <c r="M972" i="5"/>
  <c r="P971" i="5"/>
  <c r="M971" i="5"/>
  <c r="P970" i="5"/>
  <c r="M970" i="5"/>
  <c r="P969" i="5"/>
  <c r="M969" i="5"/>
  <c r="P968" i="5"/>
  <c r="M968" i="5"/>
  <c r="P967" i="5"/>
  <c r="M967" i="5"/>
  <c r="Q966" i="5"/>
  <c r="P966" i="5"/>
  <c r="R966" i="5" s="1"/>
  <c r="N966" i="5"/>
  <c r="M966" i="5"/>
  <c r="P965" i="5"/>
  <c r="M965" i="5"/>
  <c r="P964" i="5"/>
  <c r="M964" i="5"/>
  <c r="P963" i="5"/>
  <c r="M963" i="5"/>
  <c r="P962" i="5"/>
  <c r="M962" i="5"/>
  <c r="P961" i="5"/>
  <c r="M961" i="5"/>
  <c r="Q960" i="5"/>
  <c r="P960" i="5"/>
  <c r="R960" i="5" s="1"/>
  <c r="N960" i="5"/>
  <c r="M960" i="5"/>
  <c r="P959" i="5"/>
  <c r="M959" i="5"/>
  <c r="P958" i="5"/>
  <c r="M958" i="5"/>
  <c r="P957" i="5"/>
  <c r="M957" i="5"/>
  <c r="P956" i="5"/>
  <c r="M956" i="5"/>
  <c r="Q955" i="5"/>
  <c r="P955" i="5"/>
  <c r="R955" i="5" s="1"/>
  <c r="M955" i="5"/>
  <c r="P954" i="5"/>
  <c r="M954" i="5"/>
  <c r="Q953" i="5"/>
  <c r="P953" i="5"/>
  <c r="R953" i="5" s="1"/>
  <c r="M953" i="5"/>
  <c r="Q952" i="5"/>
  <c r="P952" i="5"/>
  <c r="R952" i="5" s="1"/>
  <c r="M952" i="5"/>
  <c r="Q951" i="5"/>
  <c r="P951" i="5"/>
  <c r="R951" i="5" s="1"/>
  <c r="M951" i="5"/>
  <c r="Q950" i="5"/>
  <c r="P950" i="5"/>
  <c r="R950" i="5" s="1"/>
  <c r="M950" i="5"/>
  <c r="P949" i="5"/>
  <c r="M949" i="5"/>
  <c r="P948" i="5"/>
  <c r="M948" i="5"/>
  <c r="P947" i="5"/>
  <c r="M947" i="5"/>
  <c r="P946" i="5"/>
  <c r="M946" i="5"/>
  <c r="P945" i="5"/>
  <c r="M945" i="5"/>
  <c r="P944" i="5"/>
  <c r="M944" i="5"/>
  <c r="P943" i="5"/>
  <c r="M943" i="5"/>
  <c r="P942" i="5"/>
  <c r="M942" i="5"/>
  <c r="P941" i="5"/>
  <c r="M941" i="5"/>
  <c r="P940" i="5"/>
  <c r="M940" i="5"/>
  <c r="P939" i="5"/>
  <c r="M939" i="5"/>
  <c r="Q938" i="5"/>
  <c r="P938" i="5"/>
  <c r="R938" i="5" s="1"/>
  <c r="N938" i="5"/>
  <c r="M938" i="5"/>
  <c r="P937" i="5"/>
  <c r="M937" i="5"/>
  <c r="P936" i="5"/>
  <c r="M936" i="5"/>
  <c r="P935" i="5"/>
  <c r="M935" i="5"/>
  <c r="P934" i="5"/>
  <c r="M934" i="5"/>
  <c r="P933" i="5"/>
  <c r="M933" i="5"/>
  <c r="P932" i="5"/>
  <c r="M932" i="5"/>
  <c r="P931" i="5"/>
  <c r="M931" i="5"/>
  <c r="P930" i="5"/>
  <c r="M930" i="5"/>
  <c r="P929" i="5"/>
  <c r="M929" i="5"/>
  <c r="P928" i="5"/>
  <c r="M928" i="5"/>
  <c r="Q927" i="5"/>
  <c r="P927" i="5"/>
  <c r="R927" i="5" s="1"/>
  <c r="M927" i="5"/>
  <c r="Q926" i="5"/>
  <c r="P926" i="5"/>
  <c r="R926" i="5" s="1"/>
  <c r="N926" i="5"/>
  <c r="M926" i="5"/>
  <c r="Q925" i="5"/>
  <c r="P925" i="5"/>
  <c r="R925" i="5" s="1"/>
  <c r="M925" i="5"/>
  <c r="Q924" i="5"/>
  <c r="P924" i="5"/>
  <c r="R924" i="5" s="1"/>
  <c r="M924" i="5"/>
  <c r="P923" i="5"/>
  <c r="M923" i="5"/>
  <c r="P922" i="5"/>
  <c r="M922" i="5"/>
  <c r="P921" i="5"/>
  <c r="N921" i="5"/>
  <c r="M921" i="5"/>
  <c r="P920" i="5"/>
  <c r="M920" i="5"/>
  <c r="P919" i="5"/>
  <c r="M919" i="5"/>
  <c r="Q918" i="5"/>
  <c r="P918" i="5"/>
  <c r="R918" i="5" s="1"/>
  <c r="N918" i="5"/>
  <c r="M918" i="5"/>
  <c r="Q917" i="5"/>
  <c r="P917" i="5"/>
  <c r="R917" i="5" s="1"/>
  <c r="N917" i="5"/>
  <c r="M917" i="5"/>
  <c r="P916" i="5"/>
  <c r="M916" i="5"/>
  <c r="P915" i="5"/>
  <c r="M915" i="5"/>
  <c r="P914" i="5"/>
  <c r="M914" i="5"/>
  <c r="P913" i="5"/>
  <c r="M913" i="5"/>
  <c r="P912" i="5"/>
  <c r="M912" i="5"/>
  <c r="Q911" i="5"/>
  <c r="P911" i="5"/>
  <c r="R911" i="5" s="1"/>
  <c r="M911" i="5"/>
  <c r="P910" i="5"/>
  <c r="M910" i="5"/>
  <c r="P909" i="5"/>
  <c r="M909" i="5"/>
  <c r="Q908" i="5"/>
  <c r="P908" i="5"/>
  <c r="R908" i="5" s="1"/>
  <c r="M908" i="5"/>
  <c r="Q907" i="5"/>
  <c r="P907" i="5"/>
  <c r="R907" i="5" s="1"/>
  <c r="M907" i="5"/>
  <c r="Q906" i="5"/>
  <c r="P906" i="5"/>
  <c r="R906" i="5" s="1"/>
  <c r="M906" i="5"/>
  <c r="Q905" i="5"/>
  <c r="P905" i="5"/>
  <c r="R905" i="5" s="1"/>
  <c r="M905" i="5"/>
  <c r="P904" i="5"/>
  <c r="M904" i="5"/>
  <c r="P903" i="5"/>
  <c r="M903" i="5"/>
  <c r="P902" i="5"/>
  <c r="M902" i="5"/>
  <c r="Q901" i="5"/>
  <c r="P901" i="5"/>
  <c r="R901" i="5" s="1"/>
  <c r="N901" i="5"/>
  <c r="M901" i="5"/>
  <c r="P900" i="5"/>
  <c r="M900" i="5"/>
  <c r="Q899" i="5"/>
  <c r="P899" i="5"/>
  <c r="R899" i="5" s="1"/>
  <c r="N899" i="5"/>
  <c r="M899" i="5"/>
  <c r="P898" i="5"/>
  <c r="M898" i="5"/>
  <c r="P897" i="5"/>
  <c r="M897" i="5"/>
  <c r="S896" i="5"/>
  <c r="P896" i="5"/>
  <c r="O896" i="5"/>
  <c r="M896" i="5"/>
  <c r="N896" i="5" s="1"/>
  <c r="P895" i="5"/>
  <c r="M895" i="5"/>
  <c r="P894" i="5"/>
  <c r="M894" i="5"/>
  <c r="P893" i="5"/>
  <c r="M893" i="5"/>
  <c r="P892" i="5"/>
  <c r="M892" i="5"/>
  <c r="P891" i="5"/>
  <c r="M891" i="5"/>
  <c r="P890" i="5"/>
  <c r="M890" i="5"/>
  <c r="P889" i="5"/>
  <c r="M889" i="5"/>
  <c r="P888" i="5"/>
  <c r="M888" i="5"/>
  <c r="Q887" i="5"/>
  <c r="P887" i="5"/>
  <c r="R887" i="5" s="1"/>
  <c r="M887" i="5"/>
  <c r="Q886" i="5"/>
  <c r="P886" i="5"/>
  <c r="R886" i="5" s="1"/>
  <c r="M886" i="5"/>
  <c r="Q885" i="5"/>
  <c r="P885" i="5"/>
  <c r="R885" i="5" s="1"/>
  <c r="M885" i="5"/>
  <c r="Q884" i="5"/>
  <c r="P884" i="5"/>
  <c r="R884" i="5" s="1"/>
  <c r="N884" i="5"/>
  <c r="M884" i="5"/>
  <c r="Q883" i="5"/>
  <c r="P883" i="5"/>
  <c r="R883" i="5" s="1"/>
  <c r="M883" i="5"/>
  <c r="P882" i="5"/>
  <c r="M882" i="5"/>
  <c r="Q881" i="5"/>
  <c r="P881" i="5"/>
  <c r="R881" i="5" s="1"/>
  <c r="M881" i="5"/>
  <c r="P880" i="5"/>
  <c r="M880" i="5"/>
  <c r="Q879" i="5"/>
  <c r="P879" i="5"/>
  <c r="R879" i="5" s="1"/>
  <c r="M879" i="5"/>
  <c r="Q878" i="5"/>
  <c r="P878" i="5"/>
  <c r="R878" i="5" s="1"/>
  <c r="N878" i="5"/>
  <c r="M878" i="5"/>
  <c r="P877" i="5"/>
  <c r="M877" i="5"/>
  <c r="P876" i="5"/>
  <c r="M876" i="5"/>
  <c r="Q875" i="5"/>
  <c r="P875" i="5"/>
  <c r="R875" i="5" s="1"/>
  <c r="N875" i="5"/>
  <c r="M875" i="5"/>
  <c r="P874" i="5"/>
  <c r="M874" i="5"/>
  <c r="P873" i="5"/>
  <c r="M873" i="5"/>
  <c r="P872" i="5"/>
  <c r="M872" i="5"/>
  <c r="P871" i="5"/>
  <c r="M871" i="5"/>
  <c r="P870" i="5"/>
  <c r="M870" i="5"/>
  <c r="P869" i="5"/>
  <c r="M869" i="5"/>
  <c r="Q868" i="5"/>
  <c r="P868" i="5"/>
  <c r="R868" i="5" s="1"/>
  <c r="N868" i="5"/>
  <c r="M868" i="5"/>
  <c r="P867" i="5"/>
  <c r="M867" i="5"/>
  <c r="Q866" i="5"/>
  <c r="P866" i="5"/>
  <c r="R866" i="5" s="1"/>
  <c r="M866" i="5"/>
  <c r="P865" i="5"/>
  <c r="M865" i="5"/>
  <c r="Q864" i="5"/>
  <c r="P864" i="5"/>
  <c r="R864" i="5" s="1"/>
  <c r="M864" i="5"/>
  <c r="Q863" i="5"/>
  <c r="P863" i="5"/>
  <c r="R863" i="5" s="1"/>
  <c r="M863" i="5"/>
  <c r="P862" i="5"/>
  <c r="M862" i="5"/>
  <c r="P861" i="5"/>
  <c r="M861" i="5"/>
  <c r="P860" i="5"/>
  <c r="N860" i="5"/>
  <c r="M860" i="5"/>
  <c r="P859" i="5"/>
  <c r="M859" i="5"/>
  <c r="Q858" i="5"/>
  <c r="P858" i="5"/>
  <c r="R858" i="5" s="1"/>
  <c r="N858" i="5"/>
  <c r="M858" i="5"/>
  <c r="P857" i="5"/>
  <c r="M857" i="5"/>
  <c r="Q856" i="5"/>
  <c r="P856" i="5"/>
  <c r="R856" i="5" s="1"/>
  <c r="M856" i="5"/>
  <c r="P855" i="5"/>
  <c r="M855" i="5"/>
  <c r="P854" i="5"/>
  <c r="M854" i="5"/>
  <c r="P853" i="5"/>
  <c r="M853" i="5"/>
  <c r="P852" i="5"/>
  <c r="M852" i="5"/>
  <c r="P851" i="5"/>
  <c r="M851" i="5"/>
  <c r="P850" i="5"/>
  <c r="M850" i="5"/>
  <c r="P849" i="5"/>
  <c r="M849" i="5"/>
  <c r="P848" i="5"/>
  <c r="M848" i="5"/>
  <c r="Q847" i="5"/>
  <c r="P847" i="5"/>
  <c r="R847" i="5" s="1"/>
  <c r="M847" i="5"/>
  <c r="Q846" i="5"/>
  <c r="P846" i="5"/>
  <c r="R846" i="5" s="1"/>
  <c r="M846" i="5"/>
  <c r="P845" i="5"/>
  <c r="M845" i="5"/>
  <c r="P844" i="5"/>
  <c r="M844" i="5"/>
  <c r="P843" i="5"/>
  <c r="M843" i="5"/>
  <c r="P842" i="5"/>
  <c r="M842" i="5"/>
  <c r="P841" i="5"/>
  <c r="M841" i="5"/>
  <c r="Q840" i="5"/>
  <c r="P840" i="5"/>
  <c r="R840" i="5" s="1"/>
  <c r="N840" i="5"/>
  <c r="M840" i="5"/>
  <c r="P839" i="5"/>
  <c r="M839" i="5"/>
  <c r="P838" i="5"/>
  <c r="M838" i="5"/>
  <c r="Q837" i="5"/>
  <c r="P837" i="5"/>
  <c r="R837" i="5" s="1"/>
  <c r="M837" i="5"/>
  <c r="Q836" i="5"/>
  <c r="P836" i="5"/>
  <c r="R836" i="5" s="1"/>
  <c r="M836" i="5"/>
  <c r="Q835" i="5"/>
  <c r="P835" i="5"/>
  <c r="R835" i="5" s="1"/>
  <c r="M835" i="5"/>
  <c r="P834" i="5"/>
  <c r="M834" i="5"/>
  <c r="P833" i="5"/>
  <c r="M833" i="5"/>
  <c r="P832" i="5"/>
  <c r="M832" i="5"/>
  <c r="P831" i="5"/>
  <c r="M831" i="5"/>
  <c r="P830" i="5"/>
  <c r="M830" i="5"/>
  <c r="P829" i="5"/>
  <c r="M829" i="5"/>
  <c r="P828" i="5"/>
  <c r="M828" i="5"/>
  <c r="P827" i="5"/>
  <c r="M827" i="5"/>
  <c r="P826" i="5"/>
  <c r="M826" i="5"/>
  <c r="Q825" i="5"/>
  <c r="P825" i="5"/>
  <c r="R825" i="5" s="1"/>
  <c r="M825" i="5"/>
  <c r="Q824" i="5"/>
  <c r="P824" i="5"/>
  <c r="R824" i="5" s="1"/>
  <c r="M824" i="5"/>
  <c r="Q823" i="5"/>
  <c r="P823" i="5"/>
  <c r="R823" i="5" s="1"/>
  <c r="M823" i="5"/>
  <c r="Q822" i="5"/>
  <c r="P822" i="5"/>
  <c r="R822" i="5" s="1"/>
  <c r="M822" i="5"/>
  <c r="P821" i="5"/>
  <c r="M821" i="5"/>
  <c r="Q820" i="5"/>
  <c r="P820" i="5"/>
  <c r="R820" i="5" s="1"/>
  <c r="M820" i="5"/>
  <c r="P819" i="5"/>
  <c r="M819" i="5"/>
  <c r="P818" i="5"/>
  <c r="M818" i="5"/>
  <c r="P817" i="5"/>
  <c r="M817" i="5"/>
  <c r="P816" i="5"/>
  <c r="M816" i="5"/>
  <c r="P815" i="5"/>
  <c r="M815" i="5"/>
  <c r="P814" i="5"/>
  <c r="M814" i="5"/>
  <c r="Q813" i="5"/>
  <c r="P813" i="5"/>
  <c r="R813" i="5" s="1"/>
  <c r="N813" i="5"/>
  <c r="M813" i="5"/>
  <c r="P812" i="5"/>
  <c r="M812" i="5"/>
  <c r="P811" i="5"/>
  <c r="M811" i="5"/>
  <c r="P810" i="5"/>
  <c r="M810" i="5"/>
  <c r="P809" i="5"/>
  <c r="M809" i="5"/>
  <c r="P808" i="5"/>
  <c r="M808" i="5"/>
  <c r="Q807" i="5"/>
  <c r="P807" i="5"/>
  <c r="R807" i="5" s="1"/>
  <c r="N807" i="5"/>
  <c r="M807" i="5"/>
  <c r="P806" i="5"/>
  <c r="M806" i="5"/>
  <c r="P805" i="5"/>
  <c r="M805" i="5"/>
  <c r="P804" i="5"/>
  <c r="M804" i="5"/>
  <c r="Q803" i="5"/>
  <c r="P803" i="5"/>
  <c r="R803" i="5" s="1"/>
  <c r="N803" i="5"/>
  <c r="M803" i="5"/>
  <c r="P802" i="5"/>
  <c r="M802" i="5"/>
  <c r="P801" i="5"/>
  <c r="M801" i="5"/>
  <c r="Q800" i="5"/>
  <c r="P800" i="5"/>
  <c r="R800" i="5" s="1"/>
  <c r="M800" i="5"/>
  <c r="Q799" i="5"/>
  <c r="P799" i="5"/>
  <c r="R799" i="5" s="1"/>
  <c r="M799" i="5"/>
  <c r="Q798" i="5"/>
  <c r="P798" i="5"/>
  <c r="R798" i="5" s="1"/>
  <c r="M798" i="5"/>
  <c r="P797" i="5"/>
  <c r="M797" i="5"/>
  <c r="P796" i="5"/>
  <c r="M796" i="5"/>
  <c r="Q795" i="5"/>
  <c r="P795" i="5"/>
  <c r="R795" i="5" s="1"/>
  <c r="N795" i="5"/>
  <c r="M795" i="5"/>
  <c r="P794" i="5"/>
  <c r="M794" i="5"/>
  <c r="P793" i="5"/>
  <c r="N793" i="5"/>
  <c r="M793" i="5"/>
  <c r="Q792" i="5"/>
  <c r="P792" i="5"/>
  <c r="R792" i="5" s="1"/>
  <c r="N792" i="5"/>
  <c r="M792" i="5"/>
  <c r="P791" i="5"/>
  <c r="M791" i="5"/>
  <c r="P790" i="5"/>
  <c r="M790" i="5"/>
  <c r="P789" i="5"/>
  <c r="M789" i="5"/>
  <c r="P788" i="5"/>
  <c r="M788" i="5"/>
  <c r="P787" i="5"/>
  <c r="M787" i="5"/>
  <c r="Q786" i="5"/>
  <c r="P786" i="5"/>
  <c r="R786" i="5" s="1"/>
  <c r="N786" i="5"/>
  <c r="M786" i="5"/>
  <c r="P785" i="5"/>
  <c r="M785" i="5"/>
  <c r="P784" i="5"/>
  <c r="M784" i="5"/>
  <c r="P783" i="5"/>
  <c r="M783" i="5"/>
  <c r="Q782" i="5"/>
  <c r="P782" i="5"/>
  <c r="R782" i="5" s="1"/>
  <c r="M782" i="5"/>
  <c r="P781" i="5"/>
  <c r="M781" i="5"/>
  <c r="P780" i="5"/>
  <c r="M780" i="5"/>
  <c r="Q779" i="5"/>
  <c r="P779" i="5"/>
  <c r="R779" i="5" s="1"/>
  <c r="M779" i="5"/>
  <c r="P778" i="5"/>
  <c r="M778" i="5"/>
  <c r="Q777" i="5"/>
  <c r="P777" i="5"/>
  <c r="R777" i="5" s="1"/>
  <c r="M777" i="5"/>
  <c r="Q776" i="5"/>
  <c r="P776" i="5"/>
  <c r="R776" i="5" s="1"/>
  <c r="M776" i="5"/>
  <c r="Q775" i="5"/>
  <c r="P775" i="5"/>
  <c r="R775" i="5" s="1"/>
  <c r="M775" i="5"/>
  <c r="P774" i="5"/>
  <c r="M774" i="5"/>
  <c r="P773" i="5"/>
  <c r="M773" i="5"/>
  <c r="P772" i="5"/>
  <c r="M772" i="5"/>
  <c r="P771" i="5"/>
  <c r="M771" i="5"/>
  <c r="P770" i="5"/>
  <c r="M770" i="5"/>
  <c r="P769" i="5"/>
  <c r="M769" i="5"/>
  <c r="P768" i="5"/>
  <c r="M768" i="5"/>
  <c r="P767" i="5"/>
  <c r="M767" i="5"/>
  <c r="P766" i="5"/>
  <c r="M766" i="5"/>
  <c r="Q765" i="5"/>
  <c r="P765" i="5"/>
  <c r="R765" i="5" s="1"/>
  <c r="M765" i="5"/>
  <c r="P764" i="5"/>
  <c r="M764" i="5"/>
  <c r="Q763" i="5"/>
  <c r="P763" i="5"/>
  <c r="R763" i="5" s="1"/>
  <c r="M763" i="5"/>
  <c r="Q762" i="5"/>
  <c r="P762" i="5"/>
  <c r="R762" i="5" s="1"/>
  <c r="N762" i="5"/>
  <c r="M762" i="5"/>
  <c r="Q761" i="5"/>
  <c r="P761" i="5"/>
  <c r="R761" i="5" s="1"/>
  <c r="M761" i="5"/>
  <c r="Q760" i="5"/>
  <c r="P760" i="5"/>
  <c r="R760" i="5" s="1"/>
  <c r="M760" i="5"/>
  <c r="P759" i="5"/>
  <c r="M759" i="5"/>
  <c r="P758" i="5"/>
  <c r="M758" i="5"/>
  <c r="P757" i="5"/>
  <c r="M757" i="5"/>
  <c r="Q756" i="5"/>
  <c r="P756" i="5"/>
  <c r="R756" i="5" s="1"/>
  <c r="M756" i="5"/>
  <c r="P755" i="5"/>
  <c r="M755" i="5"/>
  <c r="P754" i="5"/>
  <c r="M754" i="5"/>
  <c r="P753" i="5"/>
  <c r="M753" i="5"/>
  <c r="P752" i="5"/>
  <c r="M752" i="5"/>
  <c r="P751" i="5"/>
  <c r="M751" i="5"/>
  <c r="P750" i="5"/>
  <c r="M750" i="5"/>
  <c r="P749" i="5"/>
  <c r="M749" i="5"/>
  <c r="P748" i="5"/>
  <c r="M748" i="5"/>
  <c r="Q747" i="5"/>
  <c r="P747" i="5"/>
  <c r="R747" i="5" s="1"/>
  <c r="M747" i="5"/>
  <c r="Q746" i="5"/>
  <c r="P746" i="5"/>
  <c r="R746" i="5" s="1"/>
  <c r="M746" i="5"/>
  <c r="Q745" i="5"/>
  <c r="P745" i="5"/>
  <c r="R745" i="5" s="1"/>
  <c r="M745" i="5"/>
  <c r="Q744" i="5"/>
  <c r="P744" i="5"/>
  <c r="R744" i="5" s="1"/>
  <c r="M744" i="5"/>
  <c r="P743" i="5"/>
  <c r="M743" i="5"/>
  <c r="P742" i="5"/>
  <c r="M742" i="5"/>
  <c r="P741" i="5"/>
  <c r="M741" i="5"/>
  <c r="P740" i="5"/>
  <c r="M740" i="5"/>
  <c r="P739" i="5"/>
  <c r="M739" i="5"/>
  <c r="P738" i="5"/>
  <c r="M738" i="5"/>
  <c r="P737" i="5"/>
  <c r="M737" i="5"/>
  <c r="P736" i="5"/>
  <c r="M736" i="5"/>
  <c r="Q735" i="5"/>
  <c r="P735" i="5"/>
  <c r="R735" i="5" s="1"/>
  <c r="N735" i="5"/>
  <c r="M735" i="5"/>
  <c r="P734" i="5"/>
  <c r="M734" i="5"/>
  <c r="P733" i="5"/>
  <c r="M733" i="5"/>
  <c r="P732" i="5"/>
  <c r="M732" i="5"/>
  <c r="P731" i="5"/>
  <c r="M731" i="5"/>
  <c r="P730" i="5"/>
  <c r="M730" i="5"/>
  <c r="P729" i="5"/>
  <c r="M729" i="5"/>
  <c r="P728" i="5"/>
  <c r="M728" i="5"/>
  <c r="Q727" i="5"/>
  <c r="P727" i="5"/>
  <c r="R727" i="5" s="1"/>
  <c r="M727" i="5"/>
  <c r="Q726" i="5"/>
  <c r="P726" i="5"/>
  <c r="R726" i="5" s="1"/>
  <c r="M726" i="5"/>
  <c r="Q725" i="5"/>
  <c r="P725" i="5"/>
  <c r="R725" i="5" s="1"/>
  <c r="M725" i="5"/>
  <c r="Q724" i="5"/>
  <c r="P724" i="5"/>
  <c r="R724" i="5" s="1"/>
  <c r="M724" i="5"/>
  <c r="P723" i="5"/>
  <c r="M723" i="5"/>
  <c r="P722" i="5"/>
  <c r="M722" i="5"/>
  <c r="P721" i="5"/>
  <c r="M721" i="5"/>
  <c r="P720" i="5"/>
  <c r="M720" i="5"/>
  <c r="P719" i="5"/>
  <c r="M719" i="5"/>
  <c r="P718" i="5"/>
  <c r="M718" i="5"/>
  <c r="P717" i="5"/>
  <c r="M717" i="5"/>
  <c r="P716" i="5"/>
  <c r="M716" i="5"/>
  <c r="P715" i="5"/>
  <c r="M715" i="5"/>
  <c r="P714" i="5"/>
  <c r="M714" i="5"/>
  <c r="P713" i="5"/>
  <c r="M713" i="5"/>
  <c r="P712" i="5"/>
  <c r="M712" i="5"/>
  <c r="P711" i="5"/>
  <c r="M711" i="5"/>
  <c r="P710" i="5"/>
  <c r="M710" i="5"/>
  <c r="P709" i="5"/>
  <c r="M709" i="5"/>
  <c r="P708" i="5"/>
  <c r="M708" i="5"/>
  <c r="P707" i="5"/>
  <c r="M707" i="5"/>
  <c r="P706" i="5"/>
  <c r="M706" i="5"/>
  <c r="P705" i="5"/>
  <c r="M705" i="5"/>
  <c r="P704" i="5"/>
  <c r="M704" i="5"/>
  <c r="P703" i="5"/>
  <c r="M703" i="5"/>
  <c r="P702" i="5"/>
  <c r="M702" i="5"/>
  <c r="Q701" i="5"/>
  <c r="P701" i="5"/>
  <c r="R701" i="5" s="1"/>
  <c r="N701" i="5"/>
  <c r="M701" i="5"/>
  <c r="P700" i="5"/>
  <c r="M700" i="5"/>
  <c r="P699" i="5"/>
  <c r="M699" i="5"/>
  <c r="Q698" i="5"/>
  <c r="P698" i="5"/>
  <c r="R698" i="5" s="1"/>
  <c r="N698" i="5"/>
  <c r="M698" i="5"/>
  <c r="P697" i="5"/>
  <c r="M697" i="5"/>
  <c r="P696" i="5"/>
  <c r="M696" i="5"/>
  <c r="P695" i="5"/>
  <c r="M695" i="5"/>
  <c r="P694" i="5"/>
  <c r="M694" i="5"/>
  <c r="Q693" i="5"/>
  <c r="P693" i="5"/>
  <c r="R693" i="5" s="1"/>
  <c r="N693" i="5"/>
  <c r="M693" i="5"/>
  <c r="Q692" i="5"/>
  <c r="P692" i="5"/>
  <c r="R692" i="5" s="1"/>
  <c r="M692" i="5"/>
  <c r="P691" i="5"/>
  <c r="M691" i="5"/>
  <c r="Q690" i="5"/>
  <c r="P690" i="5"/>
  <c r="R690" i="5" s="1"/>
  <c r="M690" i="5"/>
  <c r="Q689" i="5"/>
  <c r="P689" i="5"/>
  <c r="R689" i="5" s="1"/>
  <c r="M689" i="5"/>
  <c r="Q688" i="5"/>
  <c r="P688" i="5"/>
  <c r="R688" i="5" s="1"/>
  <c r="M688" i="5"/>
  <c r="Q687" i="5"/>
  <c r="P687" i="5"/>
  <c r="R687" i="5" s="1"/>
  <c r="M687" i="5"/>
  <c r="P686" i="5"/>
  <c r="M686" i="5"/>
  <c r="P685" i="5"/>
  <c r="M685" i="5"/>
  <c r="P684" i="5"/>
  <c r="M684" i="5"/>
  <c r="S683" i="5"/>
  <c r="Q683" i="5"/>
  <c r="P683" i="5"/>
  <c r="R683" i="5" s="1"/>
  <c r="O683" i="5"/>
  <c r="M683" i="5"/>
  <c r="N683" i="5" s="1"/>
  <c r="Q682" i="5"/>
  <c r="P682" i="5"/>
  <c r="R682" i="5" s="1"/>
  <c r="N682" i="5"/>
  <c r="M682" i="5"/>
  <c r="P681" i="5"/>
  <c r="M681" i="5"/>
  <c r="P680" i="5"/>
  <c r="M680" i="5"/>
  <c r="Q679" i="5"/>
  <c r="P679" i="5"/>
  <c r="R679" i="5" s="1"/>
  <c r="M679" i="5"/>
  <c r="P678" i="5"/>
  <c r="M678" i="5"/>
  <c r="P677" i="5"/>
  <c r="M677" i="5"/>
  <c r="P676" i="5"/>
  <c r="M676" i="5"/>
  <c r="P675" i="5"/>
  <c r="M675" i="5"/>
  <c r="Q674" i="5"/>
  <c r="P674" i="5"/>
  <c r="R674" i="5" s="1"/>
  <c r="M674" i="5"/>
  <c r="P673" i="5"/>
  <c r="M673" i="5"/>
  <c r="P672" i="5"/>
  <c r="M672" i="5"/>
  <c r="P671" i="5"/>
  <c r="M671" i="5"/>
  <c r="P670" i="5"/>
  <c r="M670" i="5"/>
  <c r="Q669" i="5"/>
  <c r="P669" i="5"/>
  <c r="R669" i="5" s="1"/>
  <c r="M669" i="5"/>
  <c r="P668" i="5"/>
  <c r="M668" i="5"/>
  <c r="Q667" i="5"/>
  <c r="P667" i="5"/>
  <c r="R667" i="5" s="1"/>
  <c r="M667" i="5"/>
  <c r="Q666" i="5"/>
  <c r="P666" i="5"/>
  <c r="R666" i="5" s="1"/>
  <c r="M666" i="5"/>
  <c r="P665" i="5"/>
  <c r="M665" i="5"/>
  <c r="P664" i="5"/>
  <c r="M664" i="5"/>
  <c r="P663" i="5"/>
  <c r="M663" i="5"/>
  <c r="P662" i="5"/>
  <c r="M662" i="5"/>
  <c r="Q661" i="5"/>
  <c r="P661" i="5"/>
  <c r="R661" i="5" s="1"/>
  <c r="N661" i="5"/>
  <c r="M661" i="5"/>
  <c r="P660" i="5"/>
  <c r="M660" i="5"/>
  <c r="P659" i="5"/>
  <c r="M659" i="5"/>
  <c r="P658" i="5"/>
  <c r="M658" i="5"/>
  <c r="P657" i="5"/>
  <c r="M657" i="5"/>
  <c r="P656" i="5"/>
  <c r="M656" i="5"/>
  <c r="Q655" i="5"/>
  <c r="P655" i="5"/>
  <c r="R655" i="5" s="1"/>
  <c r="M655" i="5"/>
  <c r="Q654" i="5"/>
  <c r="P654" i="5"/>
  <c r="R654" i="5" s="1"/>
  <c r="M654" i="5"/>
  <c r="Q653" i="5"/>
  <c r="P653" i="5"/>
  <c r="R653" i="5" s="1"/>
  <c r="M653" i="5"/>
  <c r="P652" i="5"/>
  <c r="N652" i="5"/>
  <c r="M652" i="5"/>
  <c r="P651" i="5"/>
  <c r="M651" i="5"/>
  <c r="P650" i="5"/>
  <c r="M650" i="5"/>
  <c r="P649" i="5"/>
  <c r="M649" i="5"/>
  <c r="Q648" i="5"/>
  <c r="P648" i="5"/>
  <c r="R648" i="5" s="1"/>
  <c r="M648" i="5"/>
  <c r="P647" i="5"/>
  <c r="M647" i="5"/>
  <c r="P646" i="5"/>
  <c r="M646" i="5"/>
  <c r="P645" i="5"/>
  <c r="M645" i="5"/>
  <c r="P644" i="5"/>
  <c r="M644" i="5"/>
  <c r="P643" i="5"/>
  <c r="M643" i="5"/>
  <c r="Q642" i="5"/>
  <c r="P642" i="5"/>
  <c r="R642" i="5" s="1"/>
  <c r="M642" i="5"/>
  <c r="Q641" i="5"/>
  <c r="P641" i="5"/>
  <c r="R641" i="5" s="1"/>
  <c r="M641" i="5"/>
  <c r="Q640" i="5"/>
  <c r="P640" i="5"/>
  <c r="R640" i="5" s="1"/>
  <c r="M640" i="5"/>
  <c r="Q639" i="5"/>
  <c r="P639" i="5"/>
  <c r="R639" i="5" s="1"/>
  <c r="M639" i="5"/>
  <c r="P638" i="5"/>
  <c r="M638" i="5"/>
  <c r="P637" i="5"/>
  <c r="M637" i="5"/>
  <c r="Q636" i="5"/>
  <c r="P636" i="5"/>
  <c r="R636" i="5" s="1"/>
  <c r="M636" i="5"/>
  <c r="P635" i="5"/>
  <c r="M635" i="5"/>
  <c r="P634" i="5"/>
  <c r="M634" i="5"/>
  <c r="P633" i="5"/>
  <c r="M633" i="5"/>
  <c r="Q632" i="5"/>
  <c r="P632" i="5"/>
  <c r="R632" i="5" s="1"/>
  <c r="M632" i="5"/>
  <c r="P631" i="5"/>
  <c r="M631" i="5"/>
  <c r="P630" i="5"/>
  <c r="M630" i="5"/>
  <c r="Q629" i="5"/>
  <c r="P629" i="5"/>
  <c r="R629" i="5" s="1"/>
  <c r="M629" i="5"/>
  <c r="P628" i="5"/>
  <c r="M628" i="5"/>
  <c r="P627" i="5"/>
  <c r="N627" i="5"/>
  <c r="M627" i="5"/>
  <c r="P626" i="5"/>
  <c r="M626" i="5"/>
  <c r="P625" i="5"/>
  <c r="M625" i="5"/>
  <c r="P624" i="5"/>
  <c r="M624" i="5"/>
  <c r="P623" i="5"/>
  <c r="M623" i="5"/>
  <c r="P622" i="5"/>
  <c r="M622" i="5"/>
  <c r="P621" i="5"/>
  <c r="M621" i="5"/>
  <c r="P620" i="5"/>
  <c r="M620" i="5"/>
  <c r="P619" i="5"/>
  <c r="M619" i="5"/>
  <c r="P618" i="5"/>
  <c r="M618" i="5"/>
  <c r="Q617" i="5"/>
  <c r="P617" i="5"/>
  <c r="R617" i="5" s="1"/>
  <c r="M617" i="5"/>
  <c r="P616" i="5"/>
  <c r="M616" i="5"/>
  <c r="P615" i="5"/>
  <c r="M615" i="5"/>
  <c r="Q614" i="5"/>
  <c r="P614" i="5"/>
  <c r="R614" i="5" s="1"/>
  <c r="M614" i="5"/>
  <c r="Q613" i="5"/>
  <c r="P613" i="5"/>
  <c r="R613" i="5" s="1"/>
  <c r="M613" i="5"/>
  <c r="Q612" i="5"/>
  <c r="P612" i="5"/>
  <c r="R612" i="5" s="1"/>
  <c r="M612" i="5"/>
  <c r="P611" i="5"/>
  <c r="M611" i="5"/>
  <c r="P610" i="5"/>
  <c r="M610" i="5"/>
  <c r="Q609" i="5"/>
  <c r="P609" i="5"/>
  <c r="R609" i="5" s="1"/>
  <c r="M609" i="5"/>
  <c r="Q608" i="5"/>
  <c r="P608" i="5"/>
  <c r="R608" i="5" s="1"/>
  <c r="M608" i="5"/>
  <c r="Q607" i="5"/>
  <c r="P607" i="5"/>
  <c r="R607" i="5" s="1"/>
  <c r="M607" i="5"/>
  <c r="P606" i="5"/>
  <c r="M606" i="5"/>
  <c r="P605" i="5"/>
  <c r="M605" i="5"/>
  <c r="Q604" i="5"/>
  <c r="P604" i="5"/>
  <c r="R604" i="5" s="1"/>
  <c r="N604" i="5"/>
  <c r="M604" i="5"/>
  <c r="P603" i="5"/>
  <c r="M603" i="5"/>
  <c r="P602" i="5"/>
  <c r="M602" i="5"/>
  <c r="P601" i="5"/>
  <c r="M601" i="5"/>
  <c r="P600" i="5"/>
  <c r="M600" i="5"/>
  <c r="Q599" i="5"/>
  <c r="P599" i="5"/>
  <c r="R599" i="5" s="1"/>
  <c r="N599" i="5"/>
  <c r="M599" i="5"/>
  <c r="P598" i="5"/>
  <c r="N598" i="5"/>
  <c r="M598" i="5"/>
  <c r="P597" i="5"/>
  <c r="M597" i="5"/>
  <c r="Q596" i="5"/>
  <c r="P596" i="5"/>
  <c r="R596" i="5" s="1"/>
  <c r="N596" i="5"/>
  <c r="M596" i="5"/>
  <c r="P595" i="5"/>
  <c r="M595" i="5"/>
  <c r="P594" i="5"/>
  <c r="M594" i="5"/>
  <c r="P593" i="5"/>
  <c r="M593" i="5"/>
  <c r="Q592" i="5"/>
  <c r="P592" i="5"/>
  <c r="R592" i="5" s="1"/>
  <c r="N592" i="5"/>
  <c r="M592" i="5"/>
  <c r="P591" i="5"/>
  <c r="M591" i="5"/>
  <c r="Q590" i="5"/>
  <c r="P590" i="5"/>
  <c r="R590" i="5" s="1"/>
  <c r="N590" i="5"/>
  <c r="M590" i="5"/>
  <c r="P589" i="5"/>
  <c r="M589" i="5"/>
  <c r="P588" i="5"/>
  <c r="M588" i="5"/>
  <c r="P587" i="5"/>
  <c r="M587" i="5"/>
  <c r="Q586" i="5"/>
  <c r="P586" i="5"/>
  <c r="R586" i="5" s="1"/>
  <c r="N586" i="5"/>
  <c r="M586" i="5"/>
  <c r="Q585" i="5"/>
  <c r="P585" i="5"/>
  <c r="R585" i="5" s="1"/>
  <c r="N585" i="5"/>
  <c r="M585" i="5"/>
  <c r="Q584" i="5"/>
  <c r="P584" i="5"/>
  <c r="R584" i="5" s="1"/>
  <c r="N584" i="5"/>
  <c r="M584" i="5"/>
  <c r="Q583" i="5"/>
  <c r="P583" i="5"/>
  <c r="R583" i="5" s="1"/>
  <c r="N583" i="5"/>
  <c r="M583" i="5"/>
  <c r="Q582" i="5"/>
  <c r="P582" i="5"/>
  <c r="R582" i="5" s="1"/>
  <c r="N582" i="5"/>
  <c r="M582" i="5"/>
  <c r="P581" i="5"/>
  <c r="M581" i="5"/>
  <c r="P580" i="5"/>
  <c r="M580" i="5"/>
  <c r="P579" i="5"/>
  <c r="M579" i="5"/>
  <c r="Q578" i="5"/>
  <c r="P578" i="5"/>
  <c r="R578" i="5" s="1"/>
  <c r="N578" i="5"/>
  <c r="M578" i="5"/>
  <c r="Q577" i="5"/>
  <c r="P577" i="5"/>
  <c r="R577" i="5" s="1"/>
  <c r="N577" i="5"/>
  <c r="M577" i="5"/>
  <c r="P576" i="5"/>
  <c r="M576" i="5"/>
  <c r="P575" i="5"/>
  <c r="M575" i="5"/>
  <c r="Q574" i="5"/>
  <c r="P574" i="5"/>
  <c r="R574" i="5" s="1"/>
  <c r="N574" i="5"/>
  <c r="M574" i="5"/>
  <c r="P573" i="5"/>
  <c r="M573" i="5"/>
  <c r="P572" i="5"/>
  <c r="M572" i="5"/>
  <c r="P571" i="5"/>
  <c r="M571" i="5"/>
  <c r="Q570" i="5"/>
  <c r="P570" i="5"/>
  <c r="R570" i="5" s="1"/>
  <c r="M570" i="5"/>
  <c r="P569" i="5"/>
  <c r="M569" i="5"/>
  <c r="P568" i="5"/>
  <c r="M568" i="5"/>
  <c r="P567" i="5"/>
  <c r="M567" i="5"/>
  <c r="P566" i="5"/>
  <c r="M566" i="5"/>
  <c r="Q565" i="5"/>
  <c r="P565" i="5"/>
  <c r="R565" i="5" s="1"/>
  <c r="M565" i="5"/>
  <c r="Q564" i="5"/>
  <c r="P564" i="5"/>
  <c r="R564" i="5" s="1"/>
  <c r="M564" i="5"/>
  <c r="Q563" i="5"/>
  <c r="P563" i="5"/>
  <c r="R563" i="5" s="1"/>
  <c r="M563" i="5"/>
  <c r="Q562" i="5"/>
  <c r="P562" i="5"/>
  <c r="R562" i="5" s="1"/>
  <c r="M562" i="5"/>
  <c r="P561" i="5"/>
  <c r="M561" i="5"/>
  <c r="Q560" i="5"/>
  <c r="P560" i="5"/>
  <c r="R560" i="5" s="1"/>
  <c r="M560" i="5"/>
  <c r="P559" i="5"/>
  <c r="M559" i="5"/>
  <c r="P558" i="5"/>
  <c r="M558" i="5"/>
  <c r="P557" i="5"/>
  <c r="N557" i="5"/>
  <c r="M557" i="5"/>
  <c r="P556" i="5"/>
  <c r="M556" i="5"/>
  <c r="P555" i="5"/>
  <c r="M555" i="5"/>
  <c r="P554" i="5"/>
  <c r="M554" i="5"/>
  <c r="P553" i="5"/>
  <c r="M553" i="5"/>
  <c r="P552" i="5"/>
  <c r="M552" i="5"/>
  <c r="P551" i="5"/>
  <c r="M551" i="5"/>
  <c r="Q550" i="5"/>
  <c r="P550" i="5"/>
  <c r="R550" i="5" s="1"/>
  <c r="M550" i="5"/>
  <c r="P549" i="5"/>
  <c r="M549" i="5"/>
  <c r="P548" i="5"/>
  <c r="M548" i="5"/>
  <c r="Q547" i="5"/>
  <c r="P547" i="5"/>
  <c r="R547" i="5" s="1"/>
  <c r="M547" i="5"/>
  <c r="Q546" i="5"/>
  <c r="P546" i="5"/>
  <c r="R546" i="5" s="1"/>
  <c r="M546" i="5"/>
  <c r="Q545" i="5"/>
  <c r="P545" i="5"/>
  <c r="R545" i="5" s="1"/>
  <c r="M545" i="5"/>
  <c r="P544" i="5"/>
  <c r="M544" i="5"/>
  <c r="P543" i="5"/>
  <c r="M543" i="5"/>
  <c r="P542" i="5"/>
  <c r="M542" i="5"/>
  <c r="P541" i="5"/>
  <c r="M541" i="5"/>
  <c r="P540" i="5"/>
  <c r="N540" i="5"/>
  <c r="M540" i="5"/>
  <c r="P539" i="5"/>
  <c r="M539" i="5"/>
  <c r="P538" i="5"/>
  <c r="M538" i="5"/>
  <c r="P537" i="5"/>
  <c r="M537" i="5"/>
  <c r="P536" i="5"/>
  <c r="M536" i="5"/>
  <c r="P535" i="5"/>
  <c r="M535" i="5"/>
  <c r="P534" i="5"/>
  <c r="M534" i="5"/>
  <c r="P533" i="5"/>
  <c r="M533" i="5"/>
  <c r="P532" i="5"/>
  <c r="M532" i="5"/>
  <c r="P531" i="5"/>
  <c r="M531" i="5"/>
  <c r="P530" i="5"/>
  <c r="M530" i="5"/>
  <c r="Q529" i="5"/>
  <c r="P529" i="5"/>
  <c r="R529" i="5" s="1"/>
  <c r="M529" i="5"/>
  <c r="Q528" i="5"/>
  <c r="P528" i="5"/>
  <c r="R528" i="5" s="1"/>
  <c r="M528" i="5"/>
  <c r="Q527" i="5"/>
  <c r="P527" i="5"/>
  <c r="R527" i="5" s="1"/>
  <c r="M527" i="5"/>
  <c r="P526" i="5"/>
  <c r="M526" i="5"/>
  <c r="P525" i="5"/>
  <c r="M525" i="5"/>
  <c r="P524" i="5"/>
  <c r="N524" i="5"/>
  <c r="M524" i="5"/>
  <c r="P523" i="5"/>
  <c r="N523" i="5"/>
  <c r="M523" i="5"/>
  <c r="P522" i="5"/>
  <c r="M522" i="5"/>
  <c r="P521" i="5"/>
  <c r="M521" i="5"/>
  <c r="Q520" i="5"/>
  <c r="P520" i="5"/>
  <c r="R520" i="5" s="1"/>
  <c r="M520" i="5"/>
  <c r="P519" i="5"/>
  <c r="M519" i="5"/>
  <c r="P518" i="5"/>
  <c r="M518" i="5"/>
  <c r="P517" i="5"/>
  <c r="M517" i="5"/>
  <c r="P516" i="5"/>
  <c r="M516" i="5"/>
  <c r="P515" i="5"/>
  <c r="M515" i="5"/>
  <c r="P514" i="5"/>
  <c r="M514" i="5"/>
  <c r="P513" i="5"/>
  <c r="N513" i="5"/>
  <c r="M513" i="5"/>
  <c r="P512" i="5"/>
  <c r="M512" i="5"/>
  <c r="Q511" i="5"/>
  <c r="P511" i="5"/>
  <c r="R511" i="5" s="1"/>
  <c r="M511" i="5"/>
  <c r="Q510" i="5"/>
  <c r="P510" i="5"/>
  <c r="R510" i="5" s="1"/>
  <c r="M510" i="5"/>
  <c r="Q509" i="5"/>
  <c r="P509" i="5"/>
  <c r="R509" i="5" s="1"/>
  <c r="M509" i="5"/>
  <c r="P508" i="5"/>
  <c r="M508" i="5"/>
  <c r="P507" i="5"/>
  <c r="M507" i="5"/>
  <c r="Q506" i="5"/>
  <c r="P506" i="5"/>
  <c r="R506" i="5" s="1"/>
  <c r="N506" i="5"/>
  <c r="M506" i="5"/>
  <c r="Q505" i="5"/>
  <c r="P505" i="5"/>
  <c r="R505" i="5" s="1"/>
  <c r="N505" i="5"/>
  <c r="M505" i="5"/>
  <c r="Q504" i="5"/>
  <c r="P504" i="5"/>
  <c r="R504" i="5" s="1"/>
  <c r="N504" i="5"/>
  <c r="M504" i="5"/>
  <c r="Q503" i="5"/>
  <c r="P503" i="5"/>
  <c r="R503" i="5" s="1"/>
  <c r="N503" i="5"/>
  <c r="M503" i="5"/>
  <c r="Q502" i="5"/>
  <c r="P502" i="5"/>
  <c r="R502" i="5" s="1"/>
  <c r="N502" i="5"/>
  <c r="M502" i="5"/>
  <c r="P501" i="5"/>
  <c r="M501" i="5"/>
  <c r="P500" i="5"/>
  <c r="M500" i="5"/>
  <c r="Q499" i="5"/>
  <c r="P499" i="5"/>
  <c r="R499" i="5" s="1"/>
  <c r="N499" i="5"/>
  <c r="M499" i="5"/>
  <c r="P498" i="5"/>
  <c r="M498" i="5"/>
  <c r="P497" i="5"/>
  <c r="M497" i="5"/>
  <c r="P496" i="5"/>
  <c r="M496" i="5"/>
  <c r="P495" i="5"/>
  <c r="M495" i="5"/>
  <c r="P494" i="5"/>
  <c r="M494" i="5"/>
  <c r="P493" i="5"/>
  <c r="N493" i="5"/>
  <c r="M493" i="5"/>
  <c r="P492" i="5"/>
  <c r="N492" i="5"/>
  <c r="M492" i="5"/>
  <c r="P491" i="5"/>
  <c r="M491" i="5"/>
  <c r="P490" i="5"/>
  <c r="M490" i="5"/>
  <c r="P489" i="5"/>
  <c r="M489" i="5"/>
  <c r="P488" i="5"/>
  <c r="M488" i="5"/>
  <c r="P487" i="5"/>
  <c r="M487" i="5"/>
  <c r="P486" i="5"/>
  <c r="M486" i="5"/>
  <c r="Q485" i="5"/>
  <c r="P485" i="5"/>
  <c r="R485" i="5" s="1"/>
  <c r="M485" i="5"/>
  <c r="Q484" i="5"/>
  <c r="P484" i="5"/>
  <c r="R484" i="5" s="1"/>
  <c r="M484" i="5"/>
  <c r="Q483" i="5"/>
  <c r="P483" i="5"/>
  <c r="R483" i="5" s="1"/>
  <c r="M483" i="5"/>
  <c r="P482" i="5"/>
  <c r="M482" i="5"/>
  <c r="P481" i="5"/>
  <c r="M481" i="5"/>
  <c r="P480" i="5"/>
  <c r="M480" i="5"/>
  <c r="Q479" i="5"/>
  <c r="P479" i="5"/>
  <c r="R479" i="5" s="1"/>
  <c r="N479" i="5"/>
  <c r="M479" i="5"/>
  <c r="P478" i="5"/>
  <c r="M478" i="5"/>
  <c r="P477" i="5"/>
  <c r="M477" i="5"/>
  <c r="P476" i="5"/>
  <c r="M476" i="5"/>
  <c r="P475" i="5"/>
  <c r="M475" i="5"/>
  <c r="P474" i="5"/>
  <c r="M474" i="5"/>
  <c r="P473" i="5"/>
  <c r="M473" i="5"/>
  <c r="P472" i="5"/>
  <c r="M472" i="5"/>
  <c r="P471" i="5"/>
  <c r="N471" i="5"/>
  <c r="M471" i="5"/>
  <c r="S470" i="5"/>
  <c r="P470" i="5"/>
  <c r="O470" i="5"/>
  <c r="M470" i="5"/>
  <c r="N470" i="5" s="1"/>
  <c r="P469" i="5"/>
  <c r="M469" i="5"/>
  <c r="P468" i="5"/>
  <c r="M468" i="5"/>
  <c r="Q467" i="5"/>
  <c r="P467" i="5"/>
  <c r="R467" i="5" s="1"/>
  <c r="M467" i="5"/>
  <c r="P466" i="5"/>
  <c r="M466" i="5"/>
  <c r="P465" i="5"/>
  <c r="M465" i="5"/>
  <c r="Q464" i="5"/>
  <c r="P464" i="5"/>
  <c r="R464" i="5" s="1"/>
  <c r="M464" i="5"/>
  <c r="Q463" i="5"/>
  <c r="P463" i="5"/>
  <c r="R463" i="5" s="1"/>
  <c r="M463" i="5"/>
  <c r="Q462" i="5"/>
  <c r="P462" i="5"/>
  <c r="R462" i="5" s="1"/>
  <c r="M462" i="5"/>
  <c r="P461" i="5"/>
  <c r="M461" i="5"/>
  <c r="P460" i="5"/>
  <c r="N460" i="5"/>
  <c r="M460" i="5"/>
  <c r="P459" i="5"/>
  <c r="M459" i="5"/>
  <c r="P458" i="5"/>
  <c r="M458" i="5"/>
  <c r="Q457" i="5"/>
  <c r="P457" i="5"/>
  <c r="R457" i="5" s="1"/>
  <c r="M457" i="5"/>
  <c r="Q456" i="5"/>
  <c r="P456" i="5"/>
  <c r="R456" i="5" s="1"/>
  <c r="N456" i="5"/>
  <c r="M456" i="5"/>
  <c r="Q455" i="5"/>
  <c r="P455" i="5"/>
  <c r="R455" i="5" s="1"/>
  <c r="M455" i="5"/>
  <c r="P454" i="5"/>
  <c r="M454" i="5"/>
  <c r="Q453" i="5"/>
  <c r="P453" i="5"/>
  <c r="R453" i="5" s="1"/>
  <c r="N453" i="5"/>
  <c r="M453" i="5"/>
  <c r="P452" i="5"/>
  <c r="M452" i="5"/>
  <c r="P451" i="5"/>
  <c r="M451" i="5"/>
  <c r="Q450" i="5"/>
  <c r="P450" i="5"/>
  <c r="R450" i="5" s="1"/>
  <c r="N450" i="5"/>
  <c r="M450" i="5"/>
  <c r="P449" i="5"/>
  <c r="M449" i="5"/>
  <c r="Q448" i="5"/>
  <c r="P448" i="5"/>
  <c r="R448" i="5" s="1"/>
  <c r="N448" i="5"/>
  <c r="M448" i="5"/>
  <c r="P447" i="5"/>
  <c r="M447" i="5"/>
  <c r="P446" i="5"/>
  <c r="M446" i="5"/>
  <c r="P445" i="5"/>
  <c r="M445" i="5"/>
  <c r="P444" i="5"/>
  <c r="M444" i="5"/>
  <c r="Q443" i="5"/>
  <c r="P443" i="5"/>
  <c r="R443" i="5" s="1"/>
  <c r="M443" i="5"/>
  <c r="Q442" i="5"/>
  <c r="P442" i="5"/>
  <c r="R442" i="5" s="1"/>
  <c r="M442" i="5"/>
  <c r="Q441" i="5"/>
  <c r="P441" i="5"/>
  <c r="R441" i="5" s="1"/>
  <c r="M441" i="5"/>
  <c r="P440" i="5"/>
  <c r="M440" i="5"/>
  <c r="P439" i="5"/>
  <c r="M439" i="5"/>
  <c r="P438" i="5"/>
  <c r="N438" i="5"/>
  <c r="M438" i="5"/>
  <c r="P437" i="5"/>
  <c r="M437" i="5"/>
  <c r="Q436" i="5"/>
  <c r="P436" i="5"/>
  <c r="R436" i="5" s="1"/>
  <c r="N436" i="5"/>
  <c r="M436" i="5"/>
  <c r="P435" i="5"/>
  <c r="N435" i="5"/>
  <c r="M435" i="5"/>
  <c r="P434" i="5"/>
  <c r="N434" i="5"/>
  <c r="M434" i="5"/>
  <c r="Q433" i="5"/>
  <c r="P433" i="5"/>
  <c r="R433" i="5" s="1"/>
  <c r="N433" i="5"/>
  <c r="M433" i="5"/>
  <c r="Q432" i="5"/>
  <c r="P432" i="5"/>
  <c r="R432" i="5" s="1"/>
  <c r="N432" i="5"/>
  <c r="M432" i="5"/>
  <c r="P431" i="5"/>
  <c r="N431" i="5"/>
  <c r="M431" i="5"/>
  <c r="P430" i="5"/>
  <c r="N430" i="5"/>
  <c r="M430" i="5"/>
  <c r="P429" i="5"/>
  <c r="M429" i="5"/>
  <c r="P428" i="5"/>
  <c r="M428" i="5"/>
  <c r="P427" i="5"/>
  <c r="M427" i="5"/>
  <c r="P426" i="5"/>
  <c r="M426" i="5"/>
  <c r="Q425" i="5"/>
  <c r="P425" i="5"/>
  <c r="R425" i="5" s="1"/>
  <c r="M425" i="5"/>
  <c r="Q424" i="5"/>
  <c r="P424" i="5"/>
  <c r="R424" i="5" s="1"/>
  <c r="N424" i="5"/>
  <c r="M424" i="5"/>
  <c r="Q423" i="5"/>
  <c r="P423" i="5"/>
  <c r="R423" i="5" s="1"/>
  <c r="N423" i="5"/>
  <c r="M423" i="5"/>
  <c r="Q422" i="5"/>
  <c r="P422" i="5"/>
  <c r="R422" i="5" s="1"/>
  <c r="N422" i="5"/>
  <c r="M422" i="5"/>
  <c r="P421" i="5"/>
  <c r="M421" i="5"/>
  <c r="P420" i="5"/>
  <c r="M420" i="5"/>
  <c r="P419" i="5"/>
  <c r="M419" i="5"/>
  <c r="P418" i="5"/>
  <c r="M418" i="5"/>
  <c r="Q417" i="5"/>
  <c r="P417" i="5"/>
  <c r="R417" i="5" s="1"/>
  <c r="N417" i="5"/>
  <c r="M417" i="5"/>
  <c r="P416" i="5"/>
  <c r="N416" i="5"/>
  <c r="M416" i="5"/>
  <c r="P415" i="5"/>
  <c r="M415" i="5"/>
  <c r="P414" i="5"/>
  <c r="M414" i="5"/>
  <c r="P413" i="5"/>
  <c r="M413" i="5"/>
  <c r="P412" i="5"/>
  <c r="M412" i="5"/>
  <c r="P411" i="5"/>
  <c r="M411" i="5"/>
  <c r="P410" i="5"/>
  <c r="M410" i="5"/>
  <c r="P409" i="5"/>
  <c r="M409" i="5"/>
  <c r="P408" i="5"/>
  <c r="M408" i="5"/>
  <c r="Q407" i="5"/>
  <c r="P407" i="5"/>
  <c r="R407" i="5" s="1"/>
  <c r="N407" i="5"/>
  <c r="M407" i="5"/>
  <c r="P406" i="5"/>
  <c r="M406" i="5"/>
  <c r="P405" i="5"/>
  <c r="M405" i="5"/>
  <c r="P404" i="5"/>
  <c r="M404" i="5"/>
  <c r="Q403" i="5"/>
  <c r="P403" i="5"/>
  <c r="R403" i="5" s="1"/>
  <c r="M403" i="5"/>
  <c r="P402" i="5"/>
  <c r="M402" i="5"/>
  <c r="P401" i="5"/>
  <c r="M401" i="5"/>
  <c r="P400" i="5"/>
  <c r="M400" i="5"/>
  <c r="P399" i="5"/>
  <c r="M399" i="5"/>
  <c r="Q398" i="5"/>
  <c r="P398" i="5"/>
  <c r="R398" i="5" s="1"/>
  <c r="M398" i="5"/>
  <c r="Q397" i="5"/>
  <c r="P397" i="5"/>
  <c r="R397" i="5" s="1"/>
  <c r="M397" i="5"/>
  <c r="Q396" i="5"/>
  <c r="P396" i="5"/>
  <c r="R396" i="5" s="1"/>
  <c r="M396" i="5"/>
  <c r="P395" i="5"/>
  <c r="M395" i="5"/>
  <c r="Q394" i="5"/>
  <c r="P394" i="5"/>
  <c r="R394" i="5" s="1"/>
  <c r="N394" i="5"/>
  <c r="M394" i="5"/>
  <c r="P393" i="5"/>
  <c r="M393" i="5"/>
  <c r="P392" i="5"/>
  <c r="M392" i="5"/>
  <c r="P391" i="5"/>
  <c r="M391" i="5"/>
  <c r="P390" i="5"/>
  <c r="M390" i="5"/>
  <c r="P389" i="5"/>
  <c r="N389" i="5"/>
  <c r="M389" i="5"/>
  <c r="P388" i="5"/>
  <c r="M388" i="5"/>
  <c r="P387" i="5"/>
  <c r="M387" i="5"/>
  <c r="P386" i="5"/>
  <c r="M386" i="5"/>
  <c r="P385" i="5"/>
  <c r="M385" i="5"/>
  <c r="P384" i="5"/>
  <c r="M384" i="5"/>
  <c r="P383" i="5"/>
  <c r="M383" i="5"/>
  <c r="P382" i="5"/>
  <c r="M382" i="5"/>
  <c r="P381" i="5"/>
  <c r="M381" i="5"/>
  <c r="P380" i="5"/>
  <c r="M380" i="5"/>
  <c r="P379" i="5"/>
  <c r="M379" i="5"/>
  <c r="P378" i="5"/>
  <c r="M378" i="5"/>
  <c r="Q377" i="5"/>
  <c r="P377" i="5"/>
  <c r="R377" i="5" s="1"/>
  <c r="M377" i="5"/>
  <c r="P376" i="5"/>
  <c r="M376" i="5"/>
  <c r="P375" i="5"/>
  <c r="M375" i="5"/>
  <c r="Q374" i="5"/>
  <c r="P374" i="5"/>
  <c r="R374" i="5" s="1"/>
  <c r="M374" i="5"/>
  <c r="P373" i="5"/>
  <c r="M373" i="5"/>
  <c r="Q372" i="5"/>
  <c r="P372" i="5"/>
  <c r="R372" i="5" s="1"/>
  <c r="M372" i="5"/>
  <c r="Q371" i="5"/>
  <c r="P371" i="5"/>
  <c r="R371" i="5" s="1"/>
  <c r="M371" i="5"/>
  <c r="P370" i="5"/>
  <c r="M370" i="5"/>
  <c r="P369" i="5"/>
  <c r="M369" i="5"/>
  <c r="P368" i="5"/>
  <c r="M368" i="5"/>
  <c r="P367" i="5"/>
  <c r="M367" i="5"/>
  <c r="P366" i="5"/>
  <c r="M366" i="5"/>
  <c r="P365" i="5"/>
  <c r="M365" i="5"/>
  <c r="Q364" i="5"/>
  <c r="P364" i="5"/>
  <c r="R364" i="5" s="1"/>
  <c r="N364" i="5"/>
  <c r="M364" i="5"/>
  <c r="P363" i="5"/>
  <c r="N363" i="5"/>
  <c r="M363" i="5"/>
  <c r="P362" i="5"/>
  <c r="M362" i="5"/>
  <c r="Q361" i="5"/>
  <c r="P361" i="5"/>
  <c r="R361" i="5" s="1"/>
  <c r="N361" i="5"/>
  <c r="M361" i="5"/>
  <c r="P360" i="5"/>
  <c r="M360" i="5"/>
  <c r="P359" i="5"/>
  <c r="M359" i="5"/>
  <c r="P358" i="5"/>
  <c r="M358" i="5"/>
  <c r="P357" i="5"/>
  <c r="M357" i="5"/>
  <c r="P356" i="5"/>
  <c r="M356" i="5"/>
  <c r="P355" i="5"/>
  <c r="M355" i="5"/>
  <c r="P354" i="5"/>
  <c r="M354" i="5"/>
  <c r="Q353" i="5"/>
  <c r="P353" i="5"/>
  <c r="R353" i="5" s="1"/>
  <c r="M353" i="5"/>
  <c r="Q352" i="5"/>
  <c r="P352" i="5"/>
  <c r="R352" i="5" s="1"/>
  <c r="M352" i="5"/>
  <c r="Q351" i="5"/>
  <c r="P351" i="5"/>
  <c r="R351" i="5" s="1"/>
  <c r="M351" i="5"/>
  <c r="Q350" i="5"/>
  <c r="P350" i="5"/>
  <c r="R350" i="5" s="1"/>
  <c r="M350" i="5"/>
  <c r="P349" i="5"/>
  <c r="M349" i="5"/>
  <c r="P348" i="5"/>
  <c r="M348" i="5"/>
  <c r="Q347" i="5"/>
  <c r="P347" i="5"/>
  <c r="R347" i="5" s="1"/>
  <c r="N347" i="5"/>
  <c r="M347" i="5"/>
  <c r="P346" i="5"/>
  <c r="M346" i="5"/>
  <c r="Q345" i="5"/>
  <c r="P345" i="5"/>
  <c r="R345" i="5" s="1"/>
  <c r="N345" i="5"/>
  <c r="M345" i="5"/>
  <c r="Q344" i="5"/>
  <c r="P344" i="5"/>
  <c r="R344" i="5" s="1"/>
  <c r="M344" i="5"/>
  <c r="P343" i="5"/>
  <c r="M343" i="5"/>
  <c r="P342" i="5"/>
  <c r="M342" i="5"/>
  <c r="P341" i="5"/>
  <c r="M341" i="5"/>
  <c r="P340" i="5"/>
  <c r="M340" i="5"/>
  <c r="P339" i="5"/>
  <c r="M339" i="5"/>
  <c r="P338" i="5"/>
  <c r="M338" i="5"/>
  <c r="P337" i="5"/>
  <c r="M337" i="5"/>
  <c r="Q336" i="5"/>
  <c r="P336" i="5"/>
  <c r="R336" i="5" s="1"/>
  <c r="N336" i="5"/>
  <c r="M336" i="5"/>
  <c r="Q335" i="5"/>
  <c r="P335" i="5"/>
  <c r="R335" i="5" s="1"/>
  <c r="M335" i="5"/>
  <c r="Q334" i="5"/>
  <c r="P334" i="5"/>
  <c r="R334" i="5" s="1"/>
  <c r="M334" i="5"/>
  <c r="Q333" i="5"/>
  <c r="P333" i="5"/>
  <c r="R333" i="5" s="1"/>
  <c r="M333" i="5"/>
  <c r="P332" i="5"/>
  <c r="M332" i="5"/>
  <c r="P331" i="5"/>
  <c r="M331" i="5"/>
  <c r="P330" i="5"/>
  <c r="M330" i="5"/>
  <c r="P329" i="5"/>
  <c r="M329" i="5"/>
  <c r="Q328" i="5"/>
  <c r="P328" i="5"/>
  <c r="R328" i="5" s="1"/>
  <c r="N328" i="5"/>
  <c r="M328" i="5"/>
  <c r="P327" i="5"/>
  <c r="M327" i="5"/>
  <c r="P326" i="5"/>
  <c r="M326" i="5"/>
  <c r="P325" i="5"/>
  <c r="M325" i="5"/>
  <c r="Q324" i="5"/>
  <c r="P324" i="5"/>
  <c r="R324" i="5" s="1"/>
  <c r="N324" i="5"/>
  <c r="M324" i="5"/>
  <c r="P323" i="5"/>
  <c r="M323" i="5"/>
  <c r="Q322" i="5"/>
  <c r="P322" i="5"/>
  <c r="R322" i="5" s="1"/>
  <c r="N322" i="5"/>
  <c r="M322" i="5"/>
  <c r="P321" i="5"/>
  <c r="M321" i="5"/>
  <c r="P320" i="5"/>
  <c r="M320" i="5"/>
  <c r="P319" i="5"/>
  <c r="M319" i="5"/>
  <c r="P318" i="5"/>
  <c r="M318" i="5"/>
  <c r="P317" i="5"/>
  <c r="M317" i="5"/>
  <c r="Q316" i="5"/>
  <c r="P316" i="5"/>
  <c r="R316" i="5" s="1"/>
  <c r="M316" i="5"/>
  <c r="Q315" i="5"/>
  <c r="P315" i="5"/>
  <c r="R315" i="5" s="1"/>
  <c r="M315" i="5"/>
  <c r="Q314" i="5"/>
  <c r="P314" i="5"/>
  <c r="R314" i="5" s="1"/>
  <c r="M314" i="5"/>
  <c r="P313" i="5"/>
  <c r="M313" i="5"/>
  <c r="P312" i="5"/>
  <c r="M312" i="5"/>
  <c r="P311" i="5"/>
  <c r="N311" i="5"/>
  <c r="M311" i="5"/>
  <c r="P310" i="5"/>
  <c r="M310" i="5"/>
  <c r="Q309" i="5"/>
  <c r="P309" i="5"/>
  <c r="R309" i="5" s="1"/>
  <c r="N309" i="5"/>
  <c r="M309" i="5"/>
  <c r="P308" i="5"/>
  <c r="N308" i="5"/>
  <c r="M308" i="5"/>
  <c r="P307" i="5"/>
  <c r="N307" i="5"/>
  <c r="M307" i="5"/>
  <c r="P306" i="5"/>
  <c r="M306" i="5"/>
  <c r="P305" i="5"/>
  <c r="N305" i="5"/>
  <c r="M305" i="5"/>
  <c r="P304" i="5"/>
  <c r="M304" i="5"/>
  <c r="P303" i="5"/>
  <c r="M303" i="5"/>
  <c r="P302" i="5"/>
  <c r="M302" i="5"/>
  <c r="P301" i="5"/>
  <c r="M301" i="5"/>
  <c r="P300" i="5"/>
  <c r="M300" i="5"/>
  <c r="Q299" i="5"/>
  <c r="P299" i="5"/>
  <c r="R299" i="5" s="1"/>
  <c r="M299" i="5"/>
  <c r="P298" i="5"/>
  <c r="M298" i="5"/>
  <c r="P297" i="5"/>
  <c r="M297" i="5"/>
  <c r="Q296" i="5"/>
  <c r="P296" i="5"/>
  <c r="R296" i="5" s="1"/>
  <c r="M296" i="5"/>
  <c r="Q295" i="5"/>
  <c r="P295" i="5"/>
  <c r="R295" i="5" s="1"/>
  <c r="M295" i="5"/>
  <c r="Q294" i="5"/>
  <c r="P294" i="5"/>
  <c r="R294" i="5" s="1"/>
  <c r="M294" i="5"/>
  <c r="Q293" i="5"/>
  <c r="P293" i="5"/>
  <c r="R293" i="5" s="1"/>
  <c r="M293" i="5"/>
  <c r="P292" i="5"/>
  <c r="M292" i="5"/>
  <c r="P291" i="5"/>
  <c r="M291" i="5"/>
  <c r="P290" i="5"/>
  <c r="M290" i="5"/>
  <c r="P289" i="5"/>
  <c r="M289" i="5"/>
  <c r="P288" i="5"/>
  <c r="M288" i="5"/>
  <c r="P287" i="5"/>
  <c r="M287" i="5"/>
  <c r="P286" i="5"/>
  <c r="N286" i="5"/>
  <c r="M286" i="5"/>
  <c r="P285" i="5"/>
  <c r="M285" i="5"/>
  <c r="P284" i="5"/>
  <c r="M284" i="5"/>
  <c r="P283" i="5"/>
  <c r="M283" i="5"/>
  <c r="P282" i="5"/>
  <c r="M282" i="5"/>
  <c r="P281" i="5"/>
  <c r="M281" i="5"/>
  <c r="P280" i="5"/>
  <c r="M280" i="5"/>
  <c r="P279" i="5"/>
  <c r="M279" i="5"/>
  <c r="P278" i="5"/>
  <c r="M278" i="5"/>
  <c r="Q277" i="5"/>
  <c r="P277" i="5"/>
  <c r="R277" i="5" s="1"/>
  <c r="M277" i="5"/>
  <c r="Q276" i="5"/>
  <c r="P276" i="5"/>
  <c r="R276" i="5" s="1"/>
  <c r="M276" i="5"/>
  <c r="Q275" i="5"/>
  <c r="P275" i="5"/>
  <c r="R275" i="5" s="1"/>
  <c r="M275" i="5"/>
  <c r="P274" i="5"/>
  <c r="N274" i="5"/>
  <c r="M274" i="5"/>
  <c r="P273" i="5"/>
  <c r="M273" i="5"/>
  <c r="P272" i="5"/>
  <c r="M272" i="5"/>
  <c r="P271" i="5"/>
  <c r="M271" i="5"/>
  <c r="P270" i="5"/>
  <c r="N270" i="5"/>
  <c r="M270" i="5"/>
  <c r="P269" i="5"/>
  <c r="M269" i="5"/>
  <c r="P268" i="5"/>
  <c r="M268" i="5"/>
  <c r="P267" i="5"/>
  <c r="M267" i="5"/>
  <c r="P266" i="5"/>
  <c r="M266" i="5"/>
  <c r="P265" i="5"/>
  <c r="M265" i="5"/>
  <c r="P264" i="5"/>
  <c r="M264" i="5"/>
  <c r="P263" i="5"/>
  <c r="M263" i="5"/>
  <c r="P262" i="5"/>
  <c r="M262" i="5"/>
  <c r="Q261" i="5"/>
  <c r="P261" i="5"/>
  <c r="R261" i="5" s="1"/>
  <c r="N261" i="5"/>
  <c r="M261" i="5"/>
  <c r="P260" i="5"/>
  <c r="M260" i="5"/>
  <c r="P259" i="5"/>
  <c r="M259" i="5"/>
  <c r="P258" i="5"/>
  <c r="M258" i="5"/>
  <c r="S257" i="5"/>
  <c r="P257" i="5"/>
  <c r="M257" i="5"/>
  <c r="P256" i="5"/>
  <c r="M256" i="5"/>
  <c r="Q255" i="5"/>
  <c r="P255" i="5"/>
  <c r="R255" i="5" s="1"/>
  <c r="M255" i="5"/>
  <c r="P254" i="5"/>
  <c r="M254" i="5"/>
  <c r="Q253" i="5"/>
  <c r="P253" i="5"/>
  <c r="R253" i="5" s="1"/>
  <c r="M253" i="5"/>
  <c r="Q252" i="5"/>
  <c r="P252" i="5"/>
  <c r="R252" i="5" s="1"/>
  <c r="M252" i="5"/>
  <c r="P251" i="5"/>
  <c r="M251" i="5"/>
  <c r="P250" i="5"/>
  <c r="N250" i="5"/>
  <c r="M250" i="5"/>
  <c r="P249" i="5"/>
  <c r="M249" i="5"/>
  <c r="P248" i="5"/>
  <c r="M248" i="5"/>
  <c r="P247" i="5"/>
  <c r="M247" i="5"/>
  <c r="Q246" i="5"/>
  <c r="P246" i="5"/>
  <c r="R246" i="5" s="1"/>
  <c r="N246" i="5"/>
  <c r="M246" i="5"/>
  <c r="P245" i="5"/>
  <c r="M245" i="5"/>
  <c r="P244" i="5"/>
  <c r="N244" i="5"/>
  <c r="M244" i="5"/>
  <c r="P243" i="5"/>
  <c r="M243" i="5"/>
  <c r="P242" i="5"/>
  <c r="M242" i="5"/>
  <c r="P241" i="5"/>
  <c r="M241" i="5"/>
  <c r="P240" i="5"/>
  <c r="M240" i="5"/>
  <c r="P239" i="5"/>
  <c r="M239" i="5"/>
  <c r="P238" i="5"/>
  <c r="M238" i="5"/>
  <c r="Q237" i="5"/>
  <c r="P237" i="5"/>
  <c r="R237" i="5" s="1"/>
  <c r="N237" i="5"/>
  <c r="M237" i="5"/>
  <c r="P236" i="5"/>
  <c r="M236" i="5"/>
  <c r="Q235" i="5"/>
  <c r="P235" i="5"/>
  <c r="R235" i="5" s="1"/>
  <c r="M235" i="5"/>
  <c r="P234" i="5"/>
  <c r="M234" i="5"/>
  <c r="Q233" i="5"/>
  <c r="P233" i="5"/>
  <c r="R233" i="5" s="1"/>
  <c r="N233" i="5"/>
  <c r="M233" i="5"/>
  <c r="P232" i="5"/>
  <c r="M232" i="5"/>
  <c r="P231" i="5"/>
  <c r="M231" i="5"/>
  <c r="P230" i="5"/>
  <c r="M230" i="5"/>
  <c r="Q229" i="5"/>
  <c r="P229" i="5"/>
  <c r="R229" i="5" s="1"/>
  <c r="M229" i="5"/>
  <c r="Q228" i="5"/>
  <c r="P228" i="5"/>
  <c r="R228" i="5" s="1"/>
  <c r="M228" i="5"/>
  <c r="Q227" i="5"/>
  <c r="P227" i="5"/>
  <c r="R227" i="5" s="1"/>
  <c r="M227" i="5"/>
  <c r="P226" i="5"/>
  <c r="M226" i="5"/>
  <c r="Q225" i="5"/>
  <c r="P225" i="5"/>
  <c r="R225" i="5" s="1"/>
  <c r="M225" i="5"/>
  <c r="Q224" i="5"/>
  <c r="P224" i="5"/>
  <c r="R224" i="5" s="1"/>
  <c r="M224" i="5"/>
  <c r="P223" i="5"/>
  <c r="M223" i="5"/>
  <c r="Q222" i="5"/>
  <c r="P222" i="5"/>
  <c r="R222" i="5" s="1"/>
  <c r="M222" i="5"/>
  <c r="P221" i="5"/>
  <c r="M221" i="5"/>
  <c r="P220" i="5"/>
  <c r="M220" i="5"/>
  <c r="P219" i="5"/>
  <c r="M219" i="5"/>
  <c r="Q218" i="5"/>
  <c r="P218" i="5"/>
  <c r="R218" i="5" s="1"/>
  <c r="M218" i="5"/>
  <c r="P217" i="5"/>
  <c r="M217" i="5"/>
  <c r="P216" i="5"/>
  <c r="M216" i="5"/>
  <c r="P215" i="5"/>
  <c r="M215" i="5"/>
  <c r="P214" i="5"/>
  <c r="M214" i="5"/>
  <c r="P213" i="5"/>
  <c r="M213" i="5"/>
  <c r="P212" i="5"/>
  <c r="M212" i="5"/>
  <c r="P211" i="5"/>
  <c r="M211" i="5"/>
  <c r="Q210" i="5"/>
  <c r="P210" i="5"/>
  <c r="R210" i="5" s="1"/>
  <c r="M210" i="5"/>
  <c r="Q209" i="5"/>
  <c r="P209" i="5"/>
  <c r="R209" i="5" s="1"/>
  <c r="M209" i="5"/>
  <c r="Q208" i="5"/>
  <c r="P208" i="5"/>
  <c r="R208" i="5" s="1"/>
  <c r="N208" i="5"/>
  <c r="M208" i="5"/>
  <c r="Q207" i="5"/>
  <c r="P207" i="5"/>
  <c r="R207" i="5" s="1"/>
  <c r="N207" i="5"/>
  <c r="M207" i="5"/>
  <c r="P206" i="5"/>
  <c r="M206" i="5"/>
  <c r="P205" i="5"/>
  <c r="N205" i="5"/>
  <c r="M205" i="5"/>
  <c r="P204" i="5"/>
  <c r="M204" i="5"/>
  <c r="P203" i="5"/>
  <c r="M203" i="5"/>
  <c r="P202" i="5"/>
  <c r="M202" i="5"/>
  <c r="Q201" i="5"/>
  <c r="P201" i="5"/>
  <c r="R201" i="5" s="1"/>
  <c r="N201" i="5"/>
  <c r="M201" i="5"/>
  <c r="Q200" i="5"/>
  <c r="P200" i="5"/>
  <c r="R200" i="5" s="1"/>
  <c r="M200" i="5"/>
  <c r="Q199" i="5"/>
  <c r="P199" i="5"/>
  <c r="R199" i="5" s="1"/>
  <c r="N199" i="5"/>
  <c r="M199" i="5"/>
  <c r="Q198" i="5"/>
  <c r="P198" i="5"/>
  <c r="R198" i="5" s="1"/>
  <c r="N198" i="5"/>
  <c r="M198" i="5"/>
  <c r="Q197" i="5"/>
  <c r="P197" i="5"/>
  <c r="R197" i="5" s="1"/>
  <c r="N197" i="5"/>
  <c r="M197" i="5"/>
  <c r="Q196" i="5"/>
  <c r="P196" i="5"/>
  <c r="R196" i="5" s="1"/>
  <c r="N196" i="5"/>
  <c r="M196" i="5"/>
  <c r="S195" i="5"/>
  <c r="P195" i="5"/>
  <c r="M195" i="5"/>
  <c r="S194" i="5"/>
  <c r="P194" i="5"/>
  <c r="N194" i="5"/>
  <c r="M194" i="5"/>
  <c r="O194" i="5" s="1"/>
  <c r="S193" i="5"/>
  <c r="P193" i="5"/>
  <c r="M193" i="5"/>
  <c r="S192" i="5"/>
  <c r="P192" i="5"/>
  <c r="M192" i="5"/>
  <c r="S191" i="5"/>
  <c r="Q191" i="5"/>
  <c r="P191" i="5"/>
  <c r="R191" i="5" s="1"/>
  <c r="M191" i="5"/>
  <c r="S190" i="5"/>
  <c r="P190" i="5"/>
  <c r="M190" i="5"/>
  <c r="S189" i="5"/>
  <c r="P189" i="5"/>
  <c r="M189" i="5"/>
  <c r="S188" i="5"/>
  <c r="Q188" i="5"/>
  <c r="P188" i="5"/>
  <c r="R188" i="5" s="1"/>
  <c r="N188" i="5"/>
  <c r="M188" i="5"/>
  <c r="O188" i="5" s="1"/>
  <c r="S187" i="5"/>
  <c r="P187" i="5"/>
  <c r="M187" i="5"/>
  <c r="S186" i="5"/>
  <c r="Q186" i="5"/>
  <c r="P186" i="5"/>
  <c r="R186" i="5" s="1"/>
  <c r="M186" i="5"/>
  <c r="S185" i="5"/>
  <c r="Q185" i="5"/>
  <c r="P185" i="5"/>
  <c r="R185" i="5" s="1"/>
  <c r="N185" i="5"/>
  <c r="M185" i="5"/>
  <c r="O185" i="5" s="1"/>
  <c r="S184" i="5"/>
  <c r="Q184" i="5"/>
  <c r="P184" i="5"/>
  <c r="R184" i="5" s="1"/>
  <c r="M184" i="5"/>
  <c r="S183" i="5"/>
  <c r="P183" i="5"/>
  <c r="M183" i="5"/>
  <c r="S182" i="5"/>
  <c r="P182" i="5"/>
  <c r="M182" i="5"/>
  <c r="S181" i="5"/>
  <c r="Q181" i="5"/>
  <c r="P181" i="5"/>
  <c r="R181" i="5" s="1"/>
  <c r="M181" i="5"/>
  <c r="S180" i="5"/>
  <c r="Q180" i="5"/>
  <c r="P180" i="5"/>
  <c r="R180" i="5" s="1"/>
  <c r="N180" i="5"/>
  <c r="M180" i="5"/>
  <c r="O180" i="5" s="1"/>
  <c r="S179" i="5"/>
  <c r="Q179" i="5"/>
  <c r="P179" i="5"/>
  <c r="R179" i="5" s="1"/>
  <c r="M179" i="5"/>
  <c r="S178" i="5"/>
  <c r="Q178" i="5"/>
  <c r="P178" i="5"/>
  <c r="R178" i="5" s="1"/>
  <c r="M178" i="5"/>
  <c r="S177" i="5"/>
  <c r="P177" i="5"/>
  <c r="M177" i="5"/>
  <c r="S176" i="5"/>
  <c r="P176" i="5"/>
  <c r="M176" i="5"/>
  <c r="S175" i="5"/>
  <c r="P175" i="5"/>
  <c r="M175" i="5"/>
  <c r="S174" i="5"/>
  <c r="P174" i="5"/>
  <c r="M174" i="5"/>
  <c r="S173" i="5"/>
  <c r="P173" i="5"/>
  <c r="M173" i="5"/>
  <c r="S172" i="5"/>
  <c r="P172" i="5"/>
  <c r="M172" i="5"/>
  <c r="S171" i="5"/>
  <c r="P171" i="5"/>
  <c r="M171" i="5"/>
  <c r="S170" i="5"/>
  <c r="P170" i="5"/>
  <c r="M170" i="5"/>
  <c r="S169" i="5"/>
  <c r="P169" i="5"/>
  <c r="M169" i="5"/>
  <c r="S168" i="5"/>
  <c r="Q168" i="5"/>
  <c r="P168" i="5"/>
  <c r="R168" i="5" s="1"/>
  <c r="M168" i="5"/>
  <c r="S167" i="5"/>
  <c r="P167" i="5"/>
  <c r="M167" i="5"/>
  <c r="S166" i="5"/>
  <c r="Q166" i="5"/>
  <c r="P166" i="5"/>
  <c r="R166" i="5" s="1"/>
  <c r="N166" i="5"/>
  <c r="M166" i="5"/>
  <c r="O166" i="5" s="1"/>
  <c r="S165" i="5"/>
  <c r="P165" i="5"/>
  <c r="M165" i="5"/>
  <c r="S164" i="5"/>
  <c r="P164" i="5"/>
  <c r="M164" i="5"/>
  <c r="S163" i="5"/>
  <c r="P163" i="5"/>
  <c r="M163" i="5"/>
  <c r="S162" i="5"/>
  <c r="P162" i="5"/>
  <c r="N162" i="5"/>
  <c r="M162" i="5"/>
  <c r="O162" i="5" s="1"/>
  <c r="S161" i="5"/>
  <c r="P161" i="5"/>
  <c r="M161" i="5"/>
  <c r="S160" i="5"/>
  <c r="P160" i="5"/>
  <c r="M160" i="5"/>
  <c r="S159" i="5"/>
  <c r="P159" i="5"/>
  <c r="M159" i="5"/>
  <c r="S158" i="5"/>
  <c r="Q158" i="5"/>
  <c r="P158" i="5"/>
  <c r="R158" i="5" s="1"/>
  <c r="M158" i="5"/>
  <c r="S157" i="5"/>
  <c r="Q157" i="5"/>
  <c r="P157" i="5"/>
  <c r="R157" i="5" s="1"/>
  <c r="M157" i="5"/>
  <c r="S156" i="5"/>
  <c r="Q156" i="5"/>
  <c r="P156" i="5"/>
  <c r="R156" i="5" s="1"/>
  <c r="M156" i="5"/>
  <c r="S155" i="5"/>
  <c r="Q155" i="5"/>
  <c r="P155" i="5"/>
  <c r="R155" i="5" s="1"/>
  <c r="M155" i="5"/>
  <c r="S154" i="5"/>
  <c r="P154" i="5"/>
  <c r="M154" i="5"/>
  <c r="S153" i="5"/>
  <c r="Q153" i="5"/>
  <c r="P153" i="5"/>
  <c r="R153" i="5" s="1"/>
  <c r="N153" i="5"/>
  <c r="M153" i="5"/>
  <c r="O153" i="5" s="1"/>
  <c r="S152" i="5"/>
  <c r="P152" i="5"/>
  <c r="M152" i="5"/>
  <c r="S151" i="5"/>
  <c r="P151" i="5"/>
  <c r="M151" i="5"/>
  <c r="S150" i="5"/>
  <c r="P150" i="5"/>
  <c r="M150" i="5"/>
  <c r="S149" i="5"/>
  <c r="Q149" i="5"/>
  <c r="P149" i="5"/>
  <c r="R149" i="5" s="1"/>
  <c r="N149" i="5"/>
  <c r="M149" i="5"/>
  <c r="O149" i="5" s="1"/>
  <c r="S148" i="5"/>
  <c r="P148" i="5"/>
  <c r="M148" i="5"/>
  <c r="S147" i="5"/>
  <c r="Q147" i="5"/>
  <c r="P147" i="5"/>
  <c r="R147" i="5" s="1"/>
  <c r="N147" i="5"/>
  <c r="M147" i="5"/>
  <c r="O147" i="5" s="1"/>
  <c r="S146" i="5"/>
  <c r="P146" i="5"/>
  <c r="M146" i="5"/>
  <c r="S145" i="5"/>
  <c r="P145" i="5"/>
  <c r="M145" i="5"/>
  <c r="S144" i="5"/>
  <c r="P144" i="5"/>
  <c r="M144" i="5"/>
  <c r="S143" i="5"/>
  <c r="Q143" i="5"/>
  <c r="P143" i="5"/>
  <c r="R143" i="5" s="1"/>
  <c r="N143" i="5"/>
  <c r="M143" i="5"/>
  <c r="O143" i="5" s="1"/>
  <c r="S142" i="5"/>
  <c r="P142" i="5"/>
  <c r="M142" i="5"/>
  <c r="S141" i="5"/>
  <c r="Q141" i="5"/>
  <c r="P141" i="5"/>
  <c r="R141" i="5" s="1"/>
  <c r="M141" i="5"/>
  <c r="S140" i="5"/>
  <c r="P140" i="5"/>
  <c r="M140" i="5"/>
  <c r="S139" i="5"/>
  <c r="P139" i="5"/>
  <c r="M139" i="5"/>
  <c r="S138" i="5"/>
  <c r="Q138" i="5"/>
  <c r="P138" i="5"/>
  <c r="R138" i="5" s="1"/>
  <c r="N138" i="5"/>
  <c r="M138" i="5"/>
  <c r="O138" i="5" s="1"/>
  <c r="S137" i="5"/>
  <c r="Q137" i="5"/>
  <c r="P137" i="5"/>
  <c r="R137" i="5" s="1"/>
  <c r="N137" i="5"/>
  <c r="M137" i="5"/>
  <c r="O137" i="5" s="1"/>
  <c r="S136" i="5"/>
  <c r="P136" i="5"/>
  <c r="M136" i="5"/>
  <c r="S135" i="5"/>
  <c r="Q135" i="5"/>
  <c r="P135" i="5"/>
  <c r="R135" i="5" s="1"/>
  <c r="N135" i="5"/>
  <c r="M135" i="5"/>
  <c r="O135" i="5" s="1"/>
  <c r="S134" i="5"/>
  <c r="Q134" i="5"/>
  <c r="P134" i="5"/>
  <c r="R134" i="5" s="1"/>
  <c r="N134" i="5"/>
  <c r="M134" i="5"/>
  <c r="O134" i="5" s="1"/>
  <c r="S133" i="5"/>
  <c r="P133" i="5"/>
  <c r="M133" i="5"/>
  <c r="S132" i="5"/>
  <c r="P132" i="5"/>
  <c r="M132" i="5"/>
  <c r="S131" i="5"/>
  <c r="P131" i="5"/>
  <c r="M131" i="5"/>
  <c r="S130" i="5"/>
  <c r="P130" i="5"/>
  <c r="M130" i="5"/>
  <c r="S129" i="5"/>
  <c r="P129" i="5"/>
  <c r="M129" i="5"/>
  <c r="S128" i="5"/>
  <c r="Q128" i="5"/>
  <c r="P128" i="5"/>
  <c r="R128" i="5" s="1"/>
  <c r="N128" i="5"/>
  <c r="M128" i="5"/>
  <c r="O128" i="5" s="1"/>
  <c r="S127" i="5"/>
  <c r="Q127" i="5"/>
  <c r="P127" i="5"/>
  <c r="R127" i="5" s="1"/>
  <c r="M127" i="5"/>
  <c r="S126" i="5"/>
  <c r="Q126" i="5"/>
  <c r="P126" i="5"/>
  <c r="R126" i="5" s="1"/>
  <c r="M126" i="5"/>
  <c r="S125" i="5"/>
  <c r="P125" i="5"/>
  <c r="M125" i="5"/>
  <c r="S124" i="5"/>
  <c r="P124" i="5"/>
  <c r="M124" i="5"/>
  <c r="S123" i="5"/>
  <c r="P123" i="5"/>
  <c r="M123" i="5"/>
  <c r="S122" i="5"/>
  <c r="P122" i="5"/>
  <c r="M122" i="5"/>
  <c r="S121" i="5"/>
  <c r="P121" i="5"/>
  <c r="M121" i="5"/>
  <c r="S120" i="5"/>
  <c r="Q120" i="5"/>
  <c r="P120" i="5"/>
  <c r="R120" i="5" s="1"/>
  <c r="M120" i="5"/>
  <c r="S119" i="5"/>
  <c r="P119" i="5"/>
  <c r="M119" i="5"/>
  <c r="S118" i="5"/>
  <c r="Q118" i="5"/>
  <c r="P118" i="5"/>
  <c r="R118" i="5" s="1"/>
  <c r="M118" i="5"/>
  <c r="S117" i="5"/>
  <c r="P117" i="5"/>
  <c r="M117" i="5"/>
  <c r="S116" i="5"/>
  <c r="Q116" i="5"/>
  <c r="P116" i="5"/>
  <c r="R116" i="5" s="1"/>
  <c r="M116" i="5"/>
  <c r="S115" i="5"/>
  <c r="Q115" i="5"/>
  <c r="P115" i="5"/>
  <c r="R115" i="5" s="1"/>
  <c r="M115" i="5"/>
  <c r="S114" i="5"/>
  <c r="Q114" i="5"/>
  <c r="P114" i="5"/>
  <c r="R114" i="5" s="1"/>
  <c r="M114" i="5"/>
  <c r="S113" i="5"/>
  <c r="Q113" i="5"/>
  <c r="P113" i="5"/>
  <c r="R113" i="5" s="1"/>
  <c r="M113" i="5"/>
  <c r="S112" i="5"/>
  <c r="P112" i="5"/>
  <c r="M112" i="5"/>
  <c r="S111" i="5"/>
  <c r="P111" i="5"/>
  <c r="M111" i="5"/>
  <c r="S110" i="5"/>
  <c r="P110" i="5"/>
  <c r="M110" i="5"/>
  <c r="S109" i="5"/>
  <c r="P109" i="5"/>
  <c r="M109" i="5"/>
  <c r="S108" i="5"/>
  <c r="P108" i="5"/>
  <c r="M108" i="5"/>
  <c r="S107" i="5"/>
  <c r="P107" i="5"/>
  <c r="M107" i="5"/>
  <c r="S106" i="5"/>
  <c r="P106" i="5"/>
  <c r="M106" i="5"/>
  <c r="S105" i="5"/>
  <c r="P105" i="5"/>
  <c r="M105" i="5"/>
  <c r="S104" i="5"/>
  <c r="P104" i="5"/>
  <c r="M104" i="5"/>
  <c r="S103" i="5"/>
  <c r="P103" i="5"/>
  <c r="M103" i="5"/>
  <c r="S102" i="5"/>
  <c r="P102" i="5"/>
  <c r="M102" i="5"/>
  <c r="S101" i="5"/>
  <c r="Q101" i="5"/>
  <c r="P101" i="5"/>
  <c r="R101" i="5" s="1"/>
  <c r="N101" i="5"/>
  <c r="M101" i="5"/>
  <c r="O101" i="5" s="1"/>
  <c r="S100" i="5"/>
  <c r="P100" i="5"/>
  <c r="M100" i="5"/>
  <c r="S99" i="5"/>
  <c r="Q99" i="5"/>
  <c r="P99" i="5"/>
  <c r="R99" i="5" s="1"/>
  <c r="M99" i="5"/>
  <c r="S98" i="5"/>
  <c r="P98" i="5"/>
  <c r="M98" i="5"/>
  <c r="S97" i="5"/>
  <c r="P97" i="5"/>
  <c r="M97" i="5"/>
  <c r="S96" i="5"/>
  <c r="P96" i="5"/>
  <c r="M96" i="5"/>
  <c r="S95" i="5"/>
  <c r="P95" i="5"/>
  <c r="M95" i="5"/>
  <c r="S94" i="5"/>
  <c r="P94" i="5"/>
  <c r="M94" i="5"/>
  <c r="S93" i="5"/>
  <c r="P93" i="5"/>
  <c r="M93" i="5"/>
  <c r="S92" i="5"/>
  <c r="P92" i="5"/>
  <c r="M92" i="5"/>
  <c r="S91" i="5"/>
  <c r="P91" i="5"/>
  <c r="M91" i="5"/>
  <c r="S90" i="5"/>
  <c r="P90" i="5"/>
  <c r="M90" i="5"/>
  <c r="S89" i="5"/>
  <c r="P89" i="5"/>
  <c r="M89" i="5"/>
  <c r="S88" i="5"/>
  <c r="Q88" i="5"/>
  <c r="P88" i="5"/>
  <c r="R88" i="5" s="1"/>
  <c r="M88" i="5"/>
  <c r="S87" i="5"/>
  <c r="Q87" i="5"/>
  <c r="P87" i="5"/>
  <c r="R87" i="5" s="1"/>
  <c r="M87" i="5"/>
  <c r="S86" i="5"/>
  <c r="Q86" i="5"/>
  <c r="P86" i="5"/>
  <c r="R86" i="5" s="1"/>
  <c r="N86" i="5"/>
  <c r="M86" i="5"/>
  <c r="O86" i="5" s="1"/>
  <c r="S85" i="5"/>
  <c r="P85" i="5"/>
  <c r="M85" i="5"/>
  <c r="S84" i="5"/>
  <c r="P84" i="5"/>
  <c r="M84" i="5"/>
  <c r="S83" i="5"/>
  <c r="P83" i="5"/>
  <c r="M83" i="5"/>
  <c r="S82" i="5"/>
  <c r="P82" i="5"/>
  <c r="M82" i="5"/>
  <c r="S81" i="5"/>
  <c r="P81" i="5"/>
  <c r="M81" i="5"/>
  <c r="S80" i="5"/>
  <c r="P80" i="5"/>
  <c r="M80" i="5"/>
  <c r="S79" i="5"/>
  <c r="P79" i="5"/>
  <c r="M79" i="5"/>
  <c r="S78" i="5"/>
  <c r="Q78" i="5"/>
  <c r="P78" i="5"/>
  <c r="R78" i="5" s="1"/>
  <c r="M78" i="5"/>
  <c r="S77" i="5"/>
  <c r="P77" i="5"/>
  <c r="M77" i="5"/>
  <c r="S76" i="5"/>
  <c r="P76" i="5"/>
  <c r="M76" i="5"/>
  <c r="S75" i="5"/>
  <c r="P75" i="5"/>
  <c r="M75" i="5"/>
  <c r="S74" i="5"/>
  <c r="P74" i="5"/>
  <c r="M74" i="5"/>
  <c r="S73" i="5"/>
  <c r="P73" i="5"/>
  <c r="M73" i="5"/>
  <c r="S72" i="5"/>
  <c r="P72" i="5"/>
  <c r="M72" i="5"/>
  <c r="S71" i="5"/>
  <c r="P71" i="5"/>
  <c r="M71" i="5"/>
  <c r="S70" i="5"/>
  <c r="P70" i="5"/>
  <c r="M70" i="5"/>
  <c r="S69" i="5"/>
  <c r="P69" i="5"/>
  <c r="M69" i="5"/>
  <c r="S68" i="5"/>
  <c r="Q68" i="5"/>
  <c r="P68" i="5"/>
  <c r="R68" i="5" s="1"/>
  <c r="M68" i="5"/>
  <c r="S67" i="5"/>
  <c r="P67" i="5"/>
  <c r="M67" i="5"/>
  <c r="S66" i="5"/>
  <c r="P66" i="5"/>
  <c r="M66" i="5"/>
  <c r="S65" i="5"/>
  <c r="Q65" i="5"/>
  <c r="P65" i="5"/>
  <c r="R65" i="5" s="1"/>
  <c r="N65" i="5"/>
  <c r="M65" i="5"/>
  <c r="O65" i="5" s="1"/>
  <c r="S64" i="5"/>
  <c r="Q64" i="5"/>
  <c r="P64" i="5"/>
  <c r="R64" i="5" s="1"/>
  <c r="N64" i="5"/>
  <c r="M64" i="5"/>
  <c r="O64" i="5" s="1"/>
  <c r="S63" i="5"/>
  <c r="P63" i="5"/>
  <c r="M63" i="5"/>
  <c r="S62" i="5"/>
  <c r="P62" i="5"/>
  <c r="M62" i="5"/>
  <c r="S61" i="5"/>
  <c r="P61" i="5"/>
  <c r="M61" i="5"/>
  <c r="S60" i="5"/>
  <c r="P60" i="5"/>
  <c r="N60" i="5"/>
  <c r="M60" i="5"/>
  <c r="O60" i="5" s="1"/>
  <c r="S59" i="5"/>
  <c r="P59" i="5"/>
  <c r="M59" i="5"/>
  <c r="S58" i="5"/>
  <c r="P58" i="5"/>
  <c r="M58" i="5"/>
  <c r="S57" i="5"/>
  <c r="Q57" i="5"/>
  <c r="P57" i="5"/>
  <c r="R57" i="5" s="1"/>
  <c r="N57" i="5"/>
  <c r="M57" i="5"/>
  <c r="O57" i="5" s="1"/>
  <c r="S56" i="5"/>
  <c r="P56" i="5"/>
  <c r="M56" i="5"/>
  <c r="S55" i="5"/>
  <c r="P55" i="5"/>
  <c r="M55" i="5"/>
  <c r="S54" i="5"/>
  <c r="P54" i="5"/>
  <c r="M54" i="5"/>
  <c r="S53" i="5"/>
  <c r="Q53" i="5"/>
  <c r="P53" i="5"/>
  <c r="R53" i="5" s="1"/>
  <c r="N53" i="5"/>
  <c r="M53" i="5"/>
  <c r="O53" i="5" s="1"/>
  <c r="S52" i="5"/>
  <c r="P52" i="5"/>
  <c r="M52" i="5"/>
  <c r="S51" i="5"/>
  <c r="Q51" i="5"/>
  <c r="P51" i="5"/>
  <c r="R51" i="5" s="1"/>
  <c r="M51" i="5"/>
  <c r="S50" i="5"/>
  <c r="P50" i="5"/>
  <c r="M50" i="5"/>
  <c r="S49" i="5"/>
  <c r="P49" i="5"/>
  <c r="M49" i="5"/>
  <c r="S48" i="5"/>
  <c r="P48" i="5"/>
  <c r="M48" i="5"/>
  <c r="S47" i="5"/>
  <c r="Q47" i="5"/>
  <c r="P47" i="5"/>
  <c r="R47" i="5" s="1"/>
  <c r="N47" i="5"/>
  <c r="M47" i="5"/>
  <c r="O47" i="5" s="1"/>
  <c r="S46" i="5"/>
  <c r="P46" i="5"/>
  <c r="M46" i="5"/>
  <c r="S45" i="5"/>
  <c r="Q45" i="5"/>
  <c r="P45" i="5"/>
  <c r="R45" i="5" s="1"/>
  <c r="M45" i="5"/>
  <c r="S44" i="5"/>
  <c r="P44" i="5"/>
  <c r="M44" i="5"/>
  <c r="S43" i="5"/>
  <c r="P43" i="5"/>
  <c r="M43" i="5"/>
  <c r="S42" i="5"/>
  <c r="Q42" i="5"/>
  <c r="P42" i="5"/>
  <c r="R42" i="5" s="1"/>
  <c r="N42" i="5"/>
  <c r="M42" i="5"/>
  <c r="O42" i="5" s="1"/>
  <c r="S41" i="5"/>
  <c r="P41" i="5"/>
  <c r="M41" i="5"/>
  <c r="S40" i="5"/>
  <c r="P40" i="5"/>
  <c r="M40" i="5"/>
  <c r="S39" i="5"/>
  <c r="P39" i="5"/>
  <c r="M39" i="5"/>
  <c r="S38" i="5"/>
  <c r="P38" i="5"/>
  <c r="N38" i="5"/>
  <c r="M38" i="5"/>
  <c r="O38" i="5" s="1"/>
  <c r="S37" i="5"/>
  <c r="P37" i="5"/>
  <c r="N37" i="5"/>
  <c r="M37" i="5"/>
  <c r="O37" i="5" s="1"/>
  <c r="S36" i="5"/>
  <c r="P36" i="5"/>
  <c r="M36" i="5"/>
  <c r="S35" i="5"/>
  <c r="P35" i="5"/>
  <c r="M35" i="5"/>
  <c r="S34" i="5"/>
  <c r="Q34" i="5"/>
  <c r="P34" i="5"/>
  <c r="R34" i="5" s="1"/>
  <c r="M34" i="5"/>
  <c r="S33" i="5"/>
  <c r="P33" i="5"/>
  <c r="M33" i="5"/>
  <c r="S32" i="5"/>
  <c r="P32" i="5"/>
  <c r="M32" i="5"/>
  <c r="S31" i="5"/>
  <c r="Q31" i="5"/>
  <c r="P31" i="5"/>
  <c r="R31" i="5" s="1"/>
  <c r="N31" i="5"/>
  <c r="M31" i="5"/>
  <c r="O31" i="5" s="1"/>
  <c r="S30" i="5"/>
  <c r="P30" i="5"/>
  <c r="M30" i="5"/>
  <c r="S29" i="5"/>
  <c r="P29" i="5"/>
  <c r="M29" i="5"/>
  <c r="S28" i="5"/>
  <c r="Q28" i="5"/>
  <c r="P28" i="5"/>
  <c r="R28" i="5" s="1"/>
  <c r="M28" i="5"/>
  <c r="S27" i="5"/>
  <c r="P27" i="5"/>
  <c r="M27" i="5"/>
  <c r="S26" i="5"/>
  <c r="Q26" i="5"/>
  <c r="P26" i="5"/>
  <c r="R26" i="5" s="1"/>
  <c r="M26" i="5"/>
  <c r="S25" i="5"/>
  <c r="Q25" i="5"/>
  <c r="P25" i="5"/>
  <c r="R25" i="5" s="1"/>
  <c r="M25" i="5"/>
  <c r="S24" i="5"/>
  <c r="Q24" i="5"/>
  <c r="P24" i="5"/>
  <c r="R24" i="5" s="1"/>
  <c r="M24" i="5"/>
  <c r="S23" i="5"/>
  <c r="P23" i="5"/>
  <c r="M23" i="5"/>
  <c r="S22" i="5"/>
  <c r="P22" i="5"/>
  <c r="M22" i="5"/>
  <c r="S21" i="5"/>
  <c r="Q21" i="5"/>
  <c r="P21" i="5"/>
  <c r="R21" i="5" s="1"/>
  <c r="M21" i="5"/>
  <c r="S20" i="5"/>
  <c r="P20" i="5"/>
  <c r="M20" i="5"/>
  <c r="S19" i="5"/>
  <c r="Q19" i="5"/>
  <c r="P19" i="5"/>
  <c r="R19" i="5" s="1"/>
  <c r="M19" i="5"/>
  <c r="S18" i="5"/>
  <c r="Q18" i="5"/>
  <c r="P18" i="5"/>
  <c r="R18" i="5" s="1"/>
  <c r="M18" i="5"/>
  <c r="S17" i="5"/>
  <c r="Q17" i="5"/>
  <c r="P17" i="5"/>
  <c r="R17" i="5" s="1"/>
  <c r="M17" i="5"/>
  <c r="S16" i="5"/>
  <c r="Q16" i="5"/>
  <c r="P16" i="5"/>
  <c r="R16" i="5" s="1"/>
  <c r="M16" i="5"/>
  <c r="S15" i="5"/>
  <c r="P15" i="5"/>
  <c r="N15" i="5"/>
  <c r="M15" i="5"/>
  <c r="O15" i="5" s="1"/>
  <c r="S14" i="5"/>
  <c r="P14" i="5"/>
  <c r="N14" i="5"/>
  <c r="M14" i="5"/>
  <c r="O14" i="5" s="1"/>
  <c r="S13" i="5"/>
  <c r="Q13" i="5"/>
  <c r="P13" i="5"/>
  <c r="R13" i="5" s="1"/>
  <c r="M13" i="5"/>
  <c r="S12" i="5"/>
  <c r="P12" i="5"/>
  <c r="N12" i="5"/>
  <c r="M12" i="5"/>
  <c r="O12" i="5" s="1"/>
  <c r="S11" i="5"/>
  <c r="P11" i="5"/>
  <c r="M11" i="5"/>
  <c r="S10" i="5"/>
  <c r="P10" i="5"/>
  <c r="M10" i="5"/>
  <c r="S9" i="5"/>
  <c r="P9" i="5"/>
  <c r="M9" i="5"/>
  <c r="S8" i="5"/>
  <c r="Q8" i="5"/>
  <c r="P8" i="5"/>
  <c r="R8" i="5" s="1"/>
  <c r="N8" i="5"/>
  <c r="M8" i="5"/>
  <c r="O8" i="5" s="1"/>
  <c r="S7" i="5"/>
  <c r="P7" i="5"/>
  <c r="M7" i="5"/>
  <c r="S6" i="5"/>
  <c r="P6" i="5"/>
  <c r="M6" i="5"/>
  <c r="S5" i="5"/>
  <c r="P5" i="5"/>
  <c r="M5" i="5"/>
  <c r="S4" i="5"/>
  <c r="P4" i="5"/>
  <c r="M4" i="5"/>
  <c r="S3" i="5"/>
  <c r="P3" i="5"/>
  <c r="M3" i="5"/>
  <c r="S2" i="5"/>
  <c r="P2" i="5"/>
  <c r="M2" i="5"/>
  <c r="G76" i="3"/>
  <c r="F76" i="3"/>
  <c r="E76" i="3"/>
  <c r="D76" i="3"/>
  <c r="I76" i="3" s="1"/>
  <c r="C76" i="3"/>
  <c r="G75" i="3"/>
  <c r="F75" i="3"/>
  <c r="K75" i="3" s="1"/>
  <c r="M75" i="3" s="1"/>
  <c r="E75" i="3"/>
  <c r="D75" i="3"/>
  <c r="C75" i="3"/>
  <c r="G74" i="3"/>
  <c r="F74" i="3"/>
  <c r="E74" i="3"/>
  <c r="D74" i="3"/>
  <c r="C74" i="3"/>
  <c r="G73" i="3"/>
  <c r="F73" i="3"/>
  <c r="E73" i="3"/>
  <c r="D73" i="3"/>
  <c r="C73" i="3"/>
  <c r="G72" i="3"/>
  <c r="F72" i="3"/>
  <c r="E72" i="3"/>
  <c r="D72" i="3"/>
  <c r="C72" i="3"/>
  <c r="G71" i="3"/>
  <c r="F71" i="3"/>
  <c r="K71" i="3" s="1"/>
  <c r="M71" i="3" s="1"/>
  <c r="E71" i="3"/>
  <c r="D71" i="3"/>
  <c r="C71" i="3"/>
  <c r="G70" i="3"/>
  <c r="F70" i="3"/>
  <c r="E70" i="3"/>
  <c r="D70" i="3"/>
  <c r="C70" i="3"/>
  <c r="G69" i="3"/>
  <c r="F69" i="3"/>
  <c r="E69" i="3"/>
  <c r="D69" i="3"/>
  <c r="C69" i="3"/>
  <c r="G68" i="3"/>
  <c r="F68" i="3"/>
  <c r="E68" i="3"/>
  <c r="D68" i="3"/>
  <c r="C68" i="3"/>
  <c r="G67" i="3"/>
  <c r="F67" i="3"/>
  <c r="E67" i="3"/>
  <c r="D67" i="3"/>
  <c r="C67" i="3"/>
  <c r="G66" i="3"/>
  <c r="F66" i="3"/>
  <c r="K66" i="3" s="1"/>
  <c r="M66" i="3" s="1"/>
  <c r="E66" i="3"/>
  <c r="D66" i="3"/>
  <c r="C66" i="3"/>
  <c r="G65" i="3"/>
  <c r="F65" i="3"/>
  <c r="E65" i="3"/>
  <c r="D65" i="3"/>
  <c r="C65" i="3"/>
  <c r="G64" i="3"/>
  <c r="F64" i="3"/>
  <c r="E64" i="3"/>
  <c r="D64" i="3"/>
  <c r="C64" i="3"/>
  <c r="G63" i="3"/>
  <c r="F63" i="3"/>
  <c r="E63" i="3"/>
  <c r="D63" i="3"/>
  <c r="C63" i="3"/>
  <c r="G62" i="3"/>
  <c r="F62" i="3"/>
  <c r="E62" i="3"/>
  <c r="D62" i="3"/>
  <c r="C62" i="3"/>
  <c r="G61" i="3"/>
  <c r="F61" i="3"/>
  <c r="K61" i="3" s="1"/>
  <c r="M61" i="3" s="1"/>
  <c r="E61" i="3"/>
  <c r="D61" i="3"/>
  <c r="C61" i="3"/>
  <c r="G60" i="3"/>
  <c r="F60" i="3"/>
  <c r="E60" i="3"/>
  <c r="D60" i="3"/>
  <c r="C60" i="3"/>
  <c r="G59" i="3"/>
  <c r="F59" i="3"/>
  <c r="E59" i="3"/>
  <c r="D59" i="3"/>
  <c r="C59" i="3"/>
  <c r="G58" i="3"/>
  <c r="F58" i="3"/>
  <c r="E58" i="3"/>
  <c r="D58" i="3"/>
  <c r="C58" i="3"/>
  <c r="G57" i="3"/>
  <c r="F57" i="3"/>
  <c r="K57" i="3" s="1"/>
  <c r="M57" i="3" s="1"/>
  <c r="E57" i="3"/>
  <c r="D57" i="3"/>
  <c r="C57" i="3"/>
  <c r="G56" i="3"/>
  <c r="F56" i="3"/>
  <c r="K56" i="3" s="1"/>
  <c r="M56" i="3" s="1"/>
  <c r="E56" i="3"/>
  <c r="D56" i="3"/>
  <c r="C56" i="3"/>
  <c r="G55" i="3"/>
  <c r="F55" i="3"/>
  <c r="E55" i="3"/>
  <c r="D55" i="3"/>
  <c r="C55" i="3"/>
  <c r="G54" i="3"/>
  <c r="F54" i="3"/>
  <c r="E54" i="3"/>
  <c r="D54" i="3"/>
  <c r="C54" i="3"/>
  <c r="G53" i="3"/>
  <c r="F53" i="3"/>
  <c r="K53" i="3" s="1"/>
  <c r="M53" i="3" s="1"/>
  <c r="E53" i="3"/>
  <c r="D53" i="3"/>
  <c r="C53" i="3"/>
  <c r="G52" i="3"/>
  <c r="F52" i="3"/>
  <c r="E52" i="3"/>
  <c r="D52" i="3"/>
  <c r="C52" i="3"/>
  <c r="G51" i="3"/>
  <c r="F51" i="3"/>
  <c r="E51" i="3"/>
  <c r="D51" i="3"/>
  <c r="C51" i="3"/>
  <c r="G50" i="3"/>
  <c r="F50" i="3"/>
  <c r="E50" i="3"/>
  <c r="D50" i="3"/>
  <c r="C50" i="3"/>
  <c r="G49" i="3"/>
  <c r="F49" i="3"/>
  <c r="E49" i="3"/>
  <c r="D49" i="3"/>
  <c r="C49" i="3"/>
  <c r="G48" i="3"/>
  <c r="F48" i="3"/>
  <c r="E48" i="3"/>
  <c r="D48" i="3"/>
  <c r="C48" i="3"/>
  <c r="G47" i="3"/>
  <c r="F47" i="3"/>
  <c r="E47" i="3"/>
  <c r="D47" i="3"/>
  <c r="C47" i="3"/>
  <c r="G46" i="3"/>
  <c r="F46" i="3"/>
  <c r="E46" i="3"/>
  <c r="D46" i="3"/>
  <c r="C46" i="3"/>
  <c r="G45" i="3"/>
  <c r="F45" i="3"/>
  <c r="K45" i="3" s="1"/>
  <c r="M45" i="3" s="1"/>
  <c r="E45" i="3"/>
  <c r="D45" i="3"/>
  <c r="C45" i="3"/>
  <c r="G44" i="3"/>
  <c r="F44" i="3"/>
  <c r="E44" i="3"/>
  <c r="D44" i="3"/>
  <c r="C44" i="3"/>
  <c r="G43" i="3"/>
  <c r="F43" i="3"/>
  <c r="E43" i="3"/>
  <c r="D43" i="3"/>
  <c r="C43" i="3"/>
  <c r="G42" i="3"/>
  <c r="F42" i="3"/>
  <c r="E42" i="3"/>
  <c r="D42" i="3"/>
  <c r="C42" i="3"/>
  <c r="G41" i="3"/>
  <c r="F41" i="3"/>
  <c r="E41" i="3"/>
  <c r="D41" i="3"/>
  <c r="C41" i="3"/>
  <c r="G40" i="3"/>
  <c r="F40" i="3"/>
  <c r="K40" i="3" s="1"/>
  <c r="M40" i="3" s="1"/>
  <c r="E40" i="3"/>
  <c r="D40" i="3"/>
  <c r="C40" i="3"/>
  <c r="G39" i="3"/>
  <c r="F39" i="3"/>
  <c r="E39" i="3"/>
  <c r="D39" i="3"/>
  <c r="C39" i="3"/>
  <c r="G38" i="3"/>
  <c r="F38" i="3"/>
  <c r="K38" i="3" s="1"/>
  <c r="M38" i="3" s="1"/>
  <c r="E38" i="3"/>
  <c r="D38" i="3"/>
  <c r="C38" i="3"/>
  <c r="G37" i="3"/>
  <c r="F37" i="3"/>
  <c r="E37" i="3"/>
  <c r="D37" i="3"/>
  <c r="C37" i="3"/>
  <c r="G36" i="3"/>
  <c r="F36" i="3"/>
  <c r="E36" i="3"/>
  <c r="D36" i="3"/>
  <c r="C36" i="3"/>
  <c r="G35" i="3"/>
  <c r="F35" i="3"/>
  <c r="E35" i="3"/>
  <c r="D35" i="3"/>
  <c r="C35" i="3"/>
  <c r="G34" i="3"/>
  <c r="F34" i="3"/>
  <c r="K34" i="3" s="1"/>
  <c r="M34" i="3" s="1"/>
  <c r="E34" i="3"/>
  <c r="D34" i="3"/>
  <c r="C34" i="3"/>
  <c r="G33" i="3"/>
  <c r="F33" i="3"/>
  <c r="E33" i="3"/>
  <c r="D33" i="3"/>
  <c r="C33" i="3"/>
  <c r="G32" i="3"/>
  <c r="F32" i="3"/>
  <c r="K32" i="3" s="1"/>
  <c r="M32" i="3" s="1"/>
  <c r="E32" i="3"/>
  <c r="D32" i="3"/>
  <c r="C32" i="3"/>
  <c r="G31" i="3"/>
  <c r="F31" i="3"/>
  <c r="K31" i="3" s="1"/>
  <c r="M31" i="3" s="1"/>
  <c r="E31" i="3"/>
  <c r="D31" i="3"/>
  <c r="C31" i="3"/>
  <c r="G30" i="3"/>
  <c r="F30" i="3"/>
  <c r="E30" i="3"/>
  <c r="D30" i="3"/>
  <c r="C30" i="3"/>
  <c r="G29" i="3"/>
  <c r="F29" i="3"/>
  <c r="E29" i="3"/>
  <c r="D29" i="3"/>
  <c r="C29" i="3"/>
  <c r="G28" i="3"/>
  <c r="F28" i="3"/>
  <c r="E28" i="3"/>
  <c r="D28" i="3"/>
  <c r="C28" i="3"/>
  <c r="G27" i="3"/>
  <c r="F27" i="3"/>
  <c r="E27" i="3"/>
  <c r="D27" i="3"/>
  <c r="C27" i="3"/>
  <c r="G26" i="3"/>
  <c r="F26" i="3"/>
  <c r="E26" i="3"/>
  <c r="D26" i="3"/>
  <c r="C26" i="3"/>
  <c r="G25" i="3"/>
  <c r="F25" i="3"/>
  <c r="K25" i="3" s="1"/>
  <c r="M25" i="3" s="1"/>
  <c r="E25" i="3"/>
  <c r="D25" i="3"/>
  <c r="C25" i="3"/>
  <c r="G24" i="3"/>
  <c r="F24" i="3"/>
  <c r="K24" i="3" s="1"/>
  <c r="M24" i="3" s="1"/>
  <c r="E24" i="3"/>
  <c r="D24" i="3"/>
  <c r="C24" i="3"/>
  <c r="G23" i="3"/>
  <c r="F23" i="3"/>
  <c r="E23" i="3"/>
  <c r="D23" i="3"/>
  <c r="C23" i="3"/>
  <c r="G22" i="3"/>
  <c r="F22" i="3"/>
  <c r="E22" i="3"/>
  <c r="D22" i="3"/>
  <c r="C22" i="3"/>
  <c r="G21" i="3"/>
  <c r="F21" i="3"/>
  <c r="E21" i="3"/>
  <c r="D21" i="3"/>
  <c r="C21" i="3"/>
  <c r="G20" i="3"/>
  <c r="F20" i="3"/>
  <c r="E20" i="3"/>
  <c r="D20" i="3"/>
  <c r="C20" i="3"/>
  <c r="G19" i="3"/>
  <c r="F19" i="3"/>
  <c r="E19" i="3"/>
  <c r="D19" i="3"/>
  <c r="C19" i="3"/>
  <c r="G18" i="3"/>
  <c r="F18" i="3"/>
  <c r="E18" i="3"/>
  <c r="D18" i="3"/>
  <c r="C18" i="3"/>
  <c r="G17" i="3"/>
  <c r="F17" i="3"/>
  <c r="K17" i="3" s="1"/>
  <c r="M17" i="3" s="1"/>
  <c r="E17" i="3"/>
  <c r="D17" i="3"/>
  <c r="C17" i="3"/>
  <c r="G16" i="3"/>
  <c r="F16" i="3"/>
  <c r="E16" i="3"/>
  <c r="D16" i="3"/>
  <c r="C16" i="3"/>
  <c r="G15" i="3"/>
  <c r="F15" i="3"/>
  <c r="E15" i="3"/>
  <c r="D15" i="3"/>
  <c r="C15" i="3"/>
  <c r="G14" i="3"/>
  <c r="F14" i="3"/>
  <c r="K14" i="3" s="1"/>
  <c r="M14" i="3" s="1"/>
  <c r="E14" i="3"/>
  <c r="D14" i="3"/>
  <c r="C14" i="3"/>
  <c r="G13" i="3"/>
  <c r="F13" i="3"/>
  <c r="K13" i="3" s="1"/>
  <c r="M13" i="3" s="1"/>
  <c r="E13" i="3"/>
  <c r="D13" i="3"/>
  <c r="C13" i="3"/>
  <c r="G12" i="3"/>
  <c r="F12" i="3"/>
  <c r="K12" i="3" s="1"/>
  <c r="M12" i="3" s="1"/>
  <c r="E12" i="3"/>
  <c r="D12" i="3"/>
  <c r="C12" i="3"/>
  <c r="G11" i="3"/>
  <c r="F11" i="3"/>
  <c r="E11" i="3"/>
  <c r="D11" i="3"/>
  <c r="C11" i="3"/>
  <c r="G10" i="3"/>
  <c r="F10" i="3"/>
  <c r="E10" i="3"/>
  <c r="D10" i="3"/>
  <c r="C10" i="3"/>
  <c r="G9" i="3"/>
  <c r="F9" i="3"/>
  <c r="K9" i="3" s="1"/>
  <c r="M9" i="3" s="1"/>
  <c r="E9" i="3"/>
  <c r="D9" i="3"/>
  <c r="C9" i="3"/>
  <c r="G8" i="3"/>
  <c r="F8" i="3"/>
  <c r="E8" i="3"/>
  <c r="D8" i="3"/>
  <c r="C8" i="3"/>
  <c r="G7" i="3"/>
  <c r="F7" i="3"/>
  <c r="K7" i="3" s="1"/>
  <c r="M7" i="3" s="1"/>
  <c r="E7" i="3"/>
  <c r="D7" i="3"/>
  <c r="C7" i="3"/>
  <c r="G6" i="3"/>
  <c r="F6" i="3"/>
  <c r="K6" i="3" s="1"/>
  <c r="M6" i="3" s="1"/>
  <c r="E6" i="3"/>
  <c r="D6" i="3"/>
  <c r="C6" i="3"/>
  <c r="G5" i="3"/>
  <c r="F5" i="3"/>
  <c r="E5" i="3"/>
  <c r="D5" i="3"/>
  <c r="C5" i="3"/>
  <c r="C77" i="3" s="1"/>
  <c r="C78" i="3" s="1"/>
  <c r="F22" i="2"/>
  <c r="E22" i="2"/>
  <c r="J22" i="2" s="1"/>
  <c r="L22" i="2" s="1"/>
  <c r="D22" i="2"/>
  <c r="C22" i="2"/>
  <c r="B22" i="2"/>
  <c r="F21" i="2"/>
  <c r="E21" i="2"/>
  <c r="D21" i="2"/>
  <c r="C21" i="2"/>
  <c r="B21" i="2"/>
  <c r="F20" i="2"/>
  <c r="E20" i="2"/>
  <c r="D20" i="2"/>
  <c r="C20" i="2"/>
  <c r="B20" i="2"/>
  <c r="F19" i="2"/>
  <c r="E19" i="2"/>
  <c r="J19" i="2" s="1"/>
  <c r="L19" i="2" s="1"/>
  <c r="D19" i="2"/>
  <c r="C19" i="2"/>
  <c r="B19" i="2"/>
  <c r="F18" i="2"/>
  <c r="E18" i="2"/>
  <c r="D18" i="2"/>
  <c r="C18" i="2"/>
  <c r="B18" i="2"/>
  <c r="F17" i="2"/>
  <c r="E17" i="2"/>
  <c r="D17" i="2"/>
  <c r="C17" i="2"/>
  <c r="B17" i="2"/>
  <c r="F16" i="2"/>
  <c r="E16" i="2"/>
  <c r="J16" i="2" s="1"/>
  <c r="L16" i="2" s="1"/>
  <c r="D16" i="2"/>
  <c r="C16" i="2"/>
  <c r="B16" i="2"/>
  <c r="F15" i="2"/>
  <c r="E15" i="2"/>
  <c r="D15" i="2"/>
  <c r="C15" i="2"/>
  <c r="B15" i="2"/>
  <c r="F14" i="2"/>
  <c r="E14" i="2"/>
  <c r="J14" i="2" s="1"/>
  <c r="L14" i="2" s="1"/>
  <c r="D14" i="2"/>
  <c r="C14" i="2"/>
  <c r="B14" i="2"/>
  <c r="F13" i="2"/>
  <c r="E13" i="2"/>
  <c r="D13" i="2"/>
  <c r="C13" i="2"/>
  <c r="B13" i="2"/>
  <c r="F12" i="2"/>
  <c r="E12" i="2"/>
  <c r="J12" i="2" s="1"/>
  <c r="L12" i="2" s="1"/>
  <c r="D12" i="2"/>
  <c r="C12" i="2"/>
  <c r="B12" i="2"/>
  <c r="F11" i="2"/>
  <c r="E11" i="2"/>
  <c r="D11" i="2"/>
  <c r="C11" i="2"/>
  <c r="B11" i="2"/>
  <c r="F10" i="2"/>
  <c r="E10" i="2"/>
  <c r="D10" i="2"/>
  <c r="C10" i="2"/>
  <c r="B10" i="2"/>
  <c r="F9" i="2"/>
  <c r="E9" i="2"/>
  <c r="D9" i="2"/>
  <c r="C9" i="2"/>
  <c r="B9" i="2"/>
  <c r="F8" i="2"/>
  <c r="E8" i="2"/>
  <c r="D8" i="2"/>
  <c r="C8" i="2"/>
  <c r="B8" i="2"/>
  <c r="F7" i="2"/>
  <c r="E7" i="2"/>
  <c r="D7" i="2"/>
  <c r="C7" i="2"/>
  <c r="B7" i="2"/>
  <c r="F6" i="2"/>
  <c r="E6" i="2"/>
  <c r="J6" i="2" s="1"/>
  <c r="L6" i="2" s="1"/>
  <c r="D6" i="2"/>
  <c r="C6" i="2"/>
  <c r="B6" i="2"/>
  <c r="F5" i="2"/>
  <c r="E5" i="2"/>
  <c r="D5" i="2"/>
  <c r="C5" i="2"/>
  <c r="B5" i="2"/>
  <c r="B16" i="1"/>
  <c r="F11" i="1"/>
  <c r="E11" i="1"/>
  <c r="E13" i="1" s="1"/>
  <c r="D11" i="1"/>
  <c r="C11" i="1"/>
  <c r="C13" i="1" s="1"/>
  <c r="B11" i="1"/>
  <c r="F10" i="1"/>
  <c r="F12" i="1" s="1"/>
  <c r="E10" i="1"/>
  <c r="E12" i="1" s="1"/>
  <c r="D10" i="1"/>
  <c r="D12" i="1" s="1"/>
  <c r="C10" i="1"/>
  <c r="B10" i="1"/>
  <c r="F13" i="1" l="1"/>
  <c r="B12" i="1"/>
  <c r="D13" i="1"/>
  <c r="C12" i="1"/>
  <c r="K74" i="3"/>
  <c r="M74" i="3" s="1"/>
  <c r="K76" i="3"/>
  <c r="M76" i="3" s="1"/>
  <c r="K70" i="3"/>
  <c r="M70" i="3" s="1"/>
  <c r="K8" i="3"/>
  <c r="M8" i="3" s="1"/>
  <c r="K67" i="3"/>
  <c r="M67" i="3" s="1"/>
  <c r="K55" i="3"/>
  <c r="M55" i="3" s="1"/>
  <c r="K41" i="3"/>
  <c r="M41" i="3" s="1"/>
  <c r="K39" i="3"/>
  <c r="M39" i="3" s="1"/>
  <c r="K36" i="3"/>
  <c r="M36" i="3" s="1"/>
  <c r="K33" i="3"/>
  <c r="M33" i="3" s="1"/>
  <c r="K30" i="3"/>
  <c r="M30" i="3" s="1"/>
  <c r="K23" i="3"/>
  <c r="M23" i="3" s="1"/>
  <c r="K22" i="3"/>
  <c r="M22" i="3" s="1"/>
  <c r="K11" i="3"/>
  <c r="M11" i="3" s="1"/>
  <c r="K21" i="3"/>
  <c r="M21" i="3" s="1"/>
  <c r="K20" i="3"/>
  <c r="M20" i="3" s="1"/>
  <c r="K19" i="3"/>
  <c r="M19" i="3" s="1"/>
  <c r="K18" i="3"/>
  <c r="M18" i="3" s="1"/>
  <c r="K16" i="3"/>
  <c r="M16" i="3" s="1"/>
  <c r="K15" i="3"/>
  <c r="M15" i="3" s="1"/>
  <c r="K73" i="3"/>
  <c r="K52" i="3"/>
  <c r="K51" i="3"/>
  <c r="K43" i="3"/>
  <c r="K28" i="3"/>
  <c r="M28" i="3" s="1"/>
  <c r="K63" i="3"/>
  <c r="K62" i="3"/>
  <c r="K60" i="3"/>
  <c r="K54" i="3"/>
  <c r="K44" i="3"/>
  <c r="K42" i="3"/>
  <c r="K35" i="3"/>
  <c r="K29" i="3"/>
  <c r="K27" i="3"/>
  <c r="K26" i="3"/>
  <c r="K58" i="3"/>
  <c r="K50" i="3"/>
  <c r="K49" i="3"/>
  <c r="K48" i="3"/>
  <c r="K47" i="3"/>
  <c r="K46" i="3"/>
  <c r="K37" i="3"/>
  <c r="K10" i="3"/>
  <c r="G77" i="3"/>
  <c r="G78" i="3" s="1"/>
  <c r="K72" i="3"/>
  <c r="K69" i="3"/>
  <c r="K68" i="3"/>
  <c r="K65" i="3"/>
  <c r="K64" i="3"/>
  <c r="K59" i="3"/>
  <c r="J11" i="2"/>
  <c r="J7" i="2"/>
  <c r="J8" i="2"/>
  <c r="F23" i="2"/>
  <c r="F24" i="2" s="1"/>
  <c r="B23" i="2"/>
  <c r="B24" i="2" s="1"/>
  <c r="J18" i="2"/>
  <c r="J15" i="2"/>
  <c r="J13" i="2"/>
  <c r="J9" i="2"/>
  <c r="J21" i="2"/>
  <c r="J20" i="2"/>
  <c r="J17" i="2"/>
  <c r="J10" i="2"/>
  <c r="S1534" i="5"/>
  <c r="O1534" i="5"/>
  <c r="R1533" i="5"/>
  <c r="Q1533" i="5"/>
  <c r="S1533" i="5"/>
  <c r="O1533" i="5"/>
  <c r="N1533" i="5"/>
  <c r="R1532" i="5"/>
  <c r="Q1532" i="5"/>
  <c r="S1532" i="5"/>
  <c r="O1532" i="5"/>
  <c r="N1532" i="5"/>
  <c r="R1531" i="5"/>
  <c r="Q1531" i="5"/>
  <c r="S1531" i="5"/>
  <c r="O1531" i="5"/>
  <c r="N1531" i="5"/>
  <c r="R1530" i="5"/>
  <c r="Q1530" i="5"/>
  <c r="S1530" i="5"/>
  <c r="O1530" i="5"/>
  <c r="N1530" i="5"/>
  <c r="Q1529" i="5"/>
  <c r="R1529" i="5"/>
  <c r="S1529" i="5"/>
  <c r="O1529" i="5"/>
  <c r="N1529" i="5"/>
  <c r="S1528" i="5"/>
  <c r="O1528" i="5"/>
  <c r="N1528" i="5"/>
  <c r="S1527" i="5"/>
  <c r="O1527" i="5"/>
  <c r="N1527" i="5"/>
  <c r="S1526" i="5"/>
  <c r="O1526" i="5"/>
  <c r="N1526" i="5"/>
  <c r="R1525" i="5"/>
  <c r="Q1525" i="5"/>
  <c r="S1525" i="5"/>
  <c r="O1525" i="5"/>
  <c r="N1525" i="5"/>
  <c r="R1524" i="5"/>
  <c r="Q1524" i="5"/>
  <c r="S1524" i="5"/>
  <c r="O1524" i="5"/>
  <c r="N1524" i="5"/>
  <c r="Q1523" i="5"/>
  <c r="R1523" i="5"/>
  <c r="S1523" i="5"/>
  <c r="O1523" i="5"/>
  <c r="N1523" i="5"/>
  <c r="R1522" i="5"/>
  <c r="Q1522" i="5"/>
  <c r="S1522" i="5"/>
  <c r="O1522" i="5"/>
  <c r="N1522" i="5"/>
  <c r="Q1521" i="5"/>
  <c r="R1521" i="5"/>
  <c r="N1521" i="5"/>
  <c r="O1521" i="5"/>
  <c r="S1521" i="5"/>
  <c r="R1520" i="5"/>
  <c r="Q1520" i="5"/>
  <c r="S1520" i="5"/>
  <c r="O1520" i="5"/>
  <c r="R1519" i="5"/>
  <c r="Q1519" i="5"/>
  <c r="S1519" i="5"/>
  <c r="O1519" i="5"/>
  <c r="R1518" i="5"/>
  <c r="Q1518" i="5"/>
  <c r="S1518" i="5"/>
  <c r="O1518" i="5"/>
  <c r="S1517" i="5"/>
  <c r="O1517" i="5"/>
  <c r="R1516" i="5"/>
  <c r="Q1516" i="5"/>
  <c r="S1516" i="5"/>
  <c r="O1516" i="5"/>
  <c r="N1516" i="5"/>
  <c r="R1515" i="5"/>
  <c r="Q1515" i="5"/>
  <c r="S1515" i="5"/>
  <c r="O1515" i="5"/>
  <c r="N1515" i="5"/>
  <c r="R1514" i="5"/>
  <c r="Q1514" i="5"/>
  <c r="S1514" i="5"/>
  <c r="O1514" i="5"/>
  <c r="N1514" i="5"/>
  <c r="R1513" i="5"/>
  <c r="Q1513" i="5"/>
  <c r="S1513" i="5"/>
  <c r="O1513" i="5"/>
  <c r="N1513" i="5"/>
  <c r="R1512" i="5"/>
  <c r="Q1512" i="5"/>
  <c r="S1512" i="5"/>
  <c r="O1512" i="5"/>
  <c r="N1512" i="5"/>
  <c r="Q1511" i="5"/>
  <c r="R1511" i="5"/>
  <c r="S1511" i="5"/>
  <c r="O1511" i="5"/>
  <c r="N1511" i="5"/>
  <c r="R1510" i="5"/>
  <c r="Q1510" i="5"/>
  <c r="S1510" i="5"/>
  <c r="O1510" i="5"/>
  <c r="N1510" i="5"/>
  <c r="S1509" i="5"/>
  <c r="O1509" i="5"/>
  <c r="N1509" i="5"/>
  <c r="R1508" i="5"/>
  <c r="Q1508" i="5"/>
  <c r="O1508" i="5"/>
  <c r="N1508" i="5"/>
  <c r="S1508" i="5"/>
  <c r="S1507" i="5"/>
  <c r="O1507" i="5"/>
  <c r="N1507" i="5"/>
  <c r="S1506" i="5"/>
  <c r="O1506" i="5"/>
  <c r="N1506" i="5"/>
  <c r="S1505" i="5"/>
  <c r="O1505" i="5"/>
  <c r="N1505" i="5"/>
  <c r="S1504" i="5"/>
  <c r="O1504" i="5"/>
  <c r="N1504" i="5"/>
  <c r="S1503" i="5"/>
  <c r="O1503" i="5"/>
  <c r="R1502" i="5"/>
  <c r="Q1502" i="5"/>
  <c r="O1502" i="5"/>
  <c r="S1502" i="5"/>
  <c r="N1502" i="5"/>
  <c r="R1501" i="5"/>
  <c r="Q1501" i="5"/>
  <c r="S1501" i="5"/>
  <c r="O1501" i="5"/>
  <c r="N1501" i="5"/>
  <c r="R1500" i="5"/>
  <c r="Q1500" i="5"/>
  <c r="S1500" i="5"/>
  <c r="O1500" i="5"/>
  <c r="N1500" i="5"/>
  <c r="R1499" i="5"/>
  <c r="Q1499" i="5"/>
  <c r="S1499" i="5"/>
  <c r="O1499" i="5"/>
  <c r="N1499" i="5"/>
  <c r="R1498" i="5"/>
  <c r="Q1498" i="5"/>
  <c r="S1498" i="5"/>
  <c r="O1498" i="5"/>
  <c r="N1498" i="5"/>
  <c r="R1497" i="5"/>
  <c r="Q1497" i="5"/>
  <c r="O1497" i="5"/>
  <c r="S1497" i="5"/>
  <c r="N1497" i="5"/>
  <c r="R1496" i="5"/>
  <c r="Q1496" i="5"/>
  <c r="S1496" i="5"/>
  <c r="O1496" i="5"/>
  <c r="N1496" i="5"/>
  <c r="R1495" i="5"/>
  <c r="Q1495" i="5"/>
  <c r="S1495" i="5"/>
  <c r="O1495" i="5"/>
  <c r="N1495" i="5"/>
  <c r="Q1494" i="5"/>
  <c r="R1494" i="5"/>
  <c r="O1494" i="5"/>
  <c r="S1494" i="5"/>
  <c r="N1494" i="5"/>
  <c r="R1493" i="5"/>
  <c r="Q1493" i="5"/>
  <c r="S1493" i="5"/>
  <c r="O1493" i="5"/>
  <c r="N1493" i="5"/>
  <c r="R1492" i="5"/>
  <c r="Q1492" i="5"/>
  <c r="S1492" i="5"/>
  <c r="O1492" i="5"/>
  <c r="N1492" i="5"/>
  <c r="R1491" i="5"/>
  <c r="Q1491" i="5"/>
  <c r="S1491" i="5"/>
  <c r="O1491" i="5"/>
  <c r="N1491" i="5"/>
  <c r="R1490" i="5"/>
  <c r="Q1490" i="5"/>
  <c r="S1490" i="5"/>
  <c r="O1490" i="5"/>
  <c r="N1490" i="5"/>
  <c r="R1489" i="5"/>
  <c r="Q1489" i="5"/>
  <c r="S1489" i="5"/>
  <c r="O1489" i="5"/>
  <c r="N1489" i="5"/>
  <c r="Q1488" i="5"/>
  <c r="R1488" i="5"/>
  <c r="S1488" i="5"/>
  <c r="O1488" i="5"/>
  <c r="N1488" i="5"/>
  <c r="R1487" i="5"/>
  <c r="Q1487" i="5"/>
  <c r="S1487" i="5"/>
  <c r="O1487" i="5"/>
  <c r="N1487" i="5"/>
  <c r="S1486" i="5"/>
  <c r="O1486" i="5"/>
  <c r="R1485" i="5"/>
  <c r="Q1485" i="5"/>
  <c r="S1485" i="5"/>
  <c r="O1485" i="5"/>
  <c r="N1485" i="5"/>
  <c r="R1484" i="5"/>
  <c r="Q1484" i="5"/>
  <c r="S1484" i="5"/>
  <c r="O1484" i="5"/>
  <c r="N1484" i="5"/>
  <c r="R1483" i="5"/>
  <c r="Q1483" i="5"/>
  <c r="O1483" i="5"/>
  <c r="S1483" i="5"/>
  <c r="N1483" i="5"/>
  <c r="S1482" i="5"/>
  <c r="O1482" i="5"/>
  <c r="N1482" i="5"/>
  <c r="R1481" i="5"/>
  <c r="Q1481" i="5"/>
  <c r="S1481" i="5"/>
  <c r="O1481" i="5"/>
  <c r="N1481" i="5"/>
  <c r="R1480" i="5"/>
  <c r="Q1480" i="5"/>
  <c r="S1480" i="5"/>
  <c r="O1480" i="5"/>
  <c r="N1480" i="5"/>
  <c r="S1479" i="5"/>
  <c r="O1479" i="5"/>
  <c r="N1479" i="5"/>
  <c r="S1478" i="5"/>
  <c r="O1478" i="5"/>
  <c r="N1478" i="5"/>
  <c r="N1477" i="5"/>
  <c r="S1477" i="5"/>
  <c r="O1477" i="5"/>
  <c r="R1476" i="5"/>
  <c r="Q1476" i="5"/>
  <c r="S1476" i="5"/>
  <c r="O1476" i="5"/>
  <c r="N1476" i="5"/>
  <c r="R1475" i="5"/>
  <c r="Q1475" i="5"/>
  <c r="S1475" i="5"/>
  <c r="O1475" i="5"/>
  <c r="N1475" i="5"/>
  <c r="Q1474" i="5"/>
  <c r="R1474" i="5"/>
  <c r="S1474" i="5"/>
  <c r="O1474" i="5"/>
  <c r="N1474" i="5"/>
  <c r="S1473" i="5"/>
  <c r="O1473" i="5"/>
  <c r="R1472" i="5"/>
  <c r="Q1472" i="5"/>
  <c r="S1472" i="5"/>
  <c r="O1472" i="5"/>
  <c r="N1472" i="5"/>
  <c r="R1471" i="5"/>
  <c r="Q1471" i="5"/>
  <c r="O1471" i="5"/>
  <c r="N1471" i="5"/>
  <c r="S1471" i="5"/>
  <c r="R1470" i="5"/>
  <c r="Q1470" i="5"/>
  <c r="S1470" i="5"/>
  <c r="O1470" i="5"/>
  <c r="N1470" i="5"/>
  <c r="Q1469" i="5"/>
  <c r="R1469" i="5"/>
  <c r="N1469" i="5"/>
  <c r="O1469" i="5"/>
  <c r="S1469" i="5"/>
  <c r="S1468" i="5"/>
  <c r="O1468" i="5"/>
  <c r="R1467" i="5"/>
  <c r="Q1467" i="5"/>
  <c r="S1467" i="5"/>
  <c r="O1467" i="5"/>
  <c r="N1467" i="5"/>
  <c r="R1466" i="5"/>
  <c r="Q1466" i="5"/>
  <c r="S1466" i="5"/>
  <c r="O1466" i="5"/>
  <c r="N1466" i="5"/>
  <c r="Q1465" i="5"/>
  <c r="R1465" i="5"/>
  <c r="O1465" i="5"/>
  <c r="N1465" i="5"/>
  <c r="S1465" i="5"/>
  <c r="R1464" i="5"/>
  <c r="Q1464" i="5"/>
  <c r="S1464" i="5"/>
  <c r="O1464" i="5"/>
  <c r="N1464" i="5"/>
  <c r="R1463" i="5"/>
  <c r="Q1463" i="5"/>
  <c r="S1463" i="5"/>
  <c r="O1463" i="5"/>
  <c r="N1463" i="5"/>
  <c r="R1462" i="5"/>
  <c r="Q1462" i="5"/>
  <c r="S1462" i="5"/>
  <c r="O1462" i="5"/>
  <c r="N1462" i="5"/>
  <c r="R1461" i="5"/>
  <c r="Q1461" i="5"/>
  <c r="S1461" i="5"/>
  <c r="O1461" i="5"/>
  <c r="N1461" i="5"/>
  <c r="R1460" i="5"/>
  <c r="Q1460" i="5"/>
  <c r="S1460" i="5"/>
  <c r="O1460" i="5"/>
  <c r="N1460" i="5"/>
  <c r="O1459" i="5"/>
  <c r="N1459" i="5"/>
  <c r="S1459" i="5"/>
  <c r="S1458" i="5"/>
  <c r="O1458" i="5"/>
  <c r="N1458" i="5"/>
  <c r="S1457" i="5"/>
  <c r="O1457" i="5"/>
  <c r="N1457" i="5"/>
  <c r="Q1456" i="5"/>
  <c r="R1456" i="5"/>
  <c r="O1456" i="5"/>
  <c r="S1456" i="5"/>
  <c r="N1456" i="5"/>
  <c r="R1455" i="5"/>
  <c r="Q1455" i="5"/>
  <c r="S1455" i="5"/>
  <c r="O1455" i="5"/>
  <c r="N1455" i="5"/>
  <c r="R1454" i="5"/>
  <c r="Q1454" i="5"/>
  <c r="S1454" i="5"/>
  <c r="O1454" i="5"/>
  <c r="N1454" i="5"/>
  <c r="Q1453" i="5"/>
  <c r="R1453" i="5"/>
  <c r="S1453" i="5"/>
  <c r="N1453" i="5"/>
  <c r="O1453" i="5"/>
  <c r="R1452" i="5"/>
  <c r="Q1452" i="5"/>
  <c r="S1452" i="5"/>
  <c r="O1452" i="5"/>
  <c r="N1452" i="5"/>
  <c r="R1451" i="5"/>
  <c r="Q1451" i="5"/>
  <c r="S1451" i="5"/>
  <c r="O1451" i="5"/>
  <c r="N1451" i="5"/>
  <c r="R1450" i="5"/>
  <c r="Q1450" i="5"/>
  <c r="S1450" i="5"/>
  <c r="O1450" i="5"/>
  <c r="N1450" i="5"/>
  <c r="R1449" i="5"/>
  <c r="Q1449" i="5"/>
  <c r="S1449" i="5"/>
  <c r="O1449" i="5"/>
  <c r="Q1448" i="5"/>
  <c r="R1448" i="5"/>
  <c r="N1448" i="5"/>
  <c r="O1448" i="5"/>
  <c r="S1448" i="5"/>
  <c r="R1447" i="5"/>
  <c r="Q1447" i="5"/>
  <c r="S1447" i="5"/>
  <c r="O1447" i="5"/>
  <c r="N1447" i="5"/>
  <c r="R1446" i="5"/>
  <c r="Q1446" i="5"/>
  <c r="S1446" i="5"/>
  <c r="O1446" i="5"/>
  <c r="N1446" i="5"/>
  <c r="R1445" i="5"/>
  <c r="Q1445" i="5"/>
  <c r="S1445" i="5"/>
  <c r="O1445" i="5"/>
  <c r="N1445" i="5"/>
  <c r="R1444" i="5"/>
  <c r="Q1444" i="5"/>
  <c r="S1444" i="5"/>
  <c r="O1444" i="5"/>
  <c r="N1444" i="5"/>
  <c r="R1443" i="5"/>
  <c r="Q1443" i="5"/>
  <c r="S1443" i="5"/>
  <c r="O1443" i="5"/>
  <c r="N1443" i="5"/>
  <c r="R1442" i="5"/>
  <c r="Q1442" i="5"/>
  <c r="S1442" i="5"/>
  <c r="O1442" i="5"/>
  <c r="N1442" i="5"/>
  <c r="R1441" i="5"/>
  <c r="Q1441" i="5"/>
  <c r="S1441" i="5"/>
  <c r="O1441" i="5"/>
  <c r="N1441" i="5"/>
  <c r="R1440" i="5"/>
  <c r="Q1440" i="5"/>
  <c r="S1440" i="5"/>
  <c r="O1440" i="5"/>
  <c r="N1440" i="5"/>
  <c r="S1439" i="5"/>
  <c r="O1439" i="5"/>
  <c r="N1439" i="5"/>
  <c r="R1438" i="5"/>
  <c r="Q1438" i="5"/>
  <c r="S1438" i="5"/>
  <c r="O1438" i="5"/>
  <c r="N1438" i="5"/>
  <c r="Q1437" i="5"/>
  <c r="R1437" i="5"/>
  <c r="O1437" i="5"/>
  <c r="N1437" i="5"/>
  <c r="S1437" i="5"/>
  <c r="S1436" i="5"/>
  <c r="O1436" i="5"/>
  <c r="N1436" i="5"/>
  <c r="S1435" i="5"/>
  <c r="O1435" i="5"/>
  <c r="N1435" i="5"/>
  <c r="N1434" i="5"/>
  <c r="O1434" i="5"/>
  <c r="S1434" i="5"/>
  <c r="R1433" i="5"/>
  <c r="Q1433" i="5"/>
  <c r="S1433" i="5"/>
  <c r="O1433" i="5"/>
  <c r="N1433" i="5"/>
  <c r="R1432" i="5"/>
  <c r="Q1432" i="5"/>
  <c r="S1432" i="5"/>
  <c r="O1432" i="5"/>
  <c r="N1432" i="5"/>
  <c r="S1431" i="5"/>
  <c r="O1431" i="5"/>
  <c r="R1430" i="5"/>
  <c r="Q1430" i="5"/>
  <c r="O1430" i="5"/>
  <c r="N1430" i="5"/>
  <c r="S1430" i="5"/>
  <c r="R1429" i="5"/>
  <c r="Q1429" i="5"/>
  <c r="S1429" i="5"/>
  <c r="O1429" i="5"/>
  <c r="Q1428" i="5"/>
  <c r="R1428" i="5"/>
  <c r="N1428" i="5"/>
  <c r="O1428" i="5"/>
  <c r="S1428" i="5"/>
  <c r="S1427" i="5"/>
  <c r="O1427" i="5"/>
  <c r="R1426" i="5"/>
  <c r="Q1426" i="5"/>
  <c r="S1426" i="5"/>
  <c r="O1426" i="5"/>
  <c r="R1425" i="5"/>
  <c r="Q1425" i="5"/>
  <c r="S1425" i="5"/>
  <c r="O1425" i="5"/>
  <c r="N1425" i="5"/>
  <c r="Q1424" i="5"/>
  <c r="R1424" i="5"/>
  <c r="S1424" i="5"/>
  <c r="O1424" i="5"/>
  <c r="N1424" i="5"/>
  <c r="R1423" i="5"/>
  <c r="Q1423" i="5"/>
  <c r="S1423" i="5"/>
  <c r="O1423" i="5"/>
  <c r="N1423" i="5"/>
  <c r="R1422" i="5"/>
  <c r="Q1422" i="5"/>
  <c r="S1422" i="5"/>
  <c r="O1422" i="5"/>
  <c r="N1422" i="5"/>
  <c r="Q1421" i="5"/>
  <c r="R1421" i="5"/>
  <c r="S1421" i="5"/>
  <c r="O1421" i="5"/>
  <c r="N1421" i="5"/>
  <c r="R1420" i="5"/>
  <c r="Q1420" i="5"/>
  <c r="S1420" i="5"/>
  <c r="O1420" i="5"/>
  <c r="N1420" i="5"/>
  <c r="S1419" i="5"/>
  <c r="O1419" i="5"/>
  <c r="Q1418" i="5"/>
  <c r="R1418" i="5"/>
  <c r="S1418" i="5"/>
  <c r="N1418" i="5"/>
  <c r="O1418" i="5"/>
  <c r="R1417" i="5"/>
  <c r="Q1417" i="5"/>
  <c r="S1417" i="5"/>
  <c r="O1417" i="5"/>
  <c r="N1417" i="5"/>
  <c r="R1416" i="5"/>
  <c r="Q1416" i="5"/>
  <c r="S1416" i="5"/>
  <c r="O1416" i="5"/>
  <c r="N1416" i="5"/>
  <c r="S1415" i="5"/>
  <c r="O1415" i="5"/>
  <c r="N1415" i="5"/>
  <c r="R1414" i="5"/>
  <c r="Q1414" i="5"/>
  <c r="S1414" i="5"/>
  <c r="O1414" i="5"/>
  <c r="N1414" i="5"/>
  <c r="R1413" i="5"/>
  <c r="Q1413" i="5"/>
  <c r="S1413" i="5"/>
  <c r="O1413" i="5"/>
  <c r="N1413" i="5"/>
  <c r="O1412" i="5"/>
  <c r="N1412" i="5"/>
  <c r="S1412" i="5"/>
  <c r="S1411" i="5"/>
  <c r="O1411" i="5"/>
  <c r="N1411" i="5"/>
  <c r="S1410" i="5"/>
  <c r="O1410" i="5"/>
  <c r="N1410" i="5"/>
  <c r="S1409" i="5"/>
  <c r="O1409" i="5"/>
  <c r="Q1408" i="5"/>
  <c r="R1408" i="5"/>
  <c r="S1408" i="5"/>
  <c r="O1408" i="5"/>
  <c r="N1408" i="5"/>
  <c r="R1407" i="5"/>
  <c r="Q1407" i="5"/>
  <c r="S1407" i="5"/>
  <c r="O1407" i="5"/>
  <c r="S1406" i="5"/>
  <c r="O1406" i="5"/>
  <c r="Q1405" i="5"/>
  <c r="R1405" i="5"/>
  <c r="S1405" i="5"/>
  <c r="O1405" i="5"/>
  <c r="N1405" i="5"/>
  <c r="R1404" i="5"/>
  <c r="Q1404" i="5"/>
  <c r="S1404" i="5"/>
  <c r="O1404" i="5"/>
  <c r="S1403" i="5"/>
  <c r="O1403" i="5"/>
  <c r="R1402" i="5"/>
  <c r="Q1402" i="5"/>
  <c r="S1402" i="5"/>
  <c r="O1402" i="5"/>
  <c r="N1402" i="5"/>
  <c r="S1401" i="5"/>
  <c r="O1401" i="5"/>
  <c r="N1401" i="5"/>
  <c r="R1400" i="5"/>
  <c r="Q1400" i="5"/>
  <c r="S1400" i="5"/>
  <c r="O1400" i="5"/>
  <c r="Q1399" i="5"/>
  <c r="R1399" i="5"/>
  <c r="O1399" i="5"/>
  <c r="S1399" i="5"/>
  <c r="R1398" i="5"/>
  <c r="Q1398" i="5"/>
  <c r="S1398" i="5"/>
  <c r="O1398" i="5"/>
  <c r="R1397" i="5"/>
  <c r="Q1397" i="5"/>
  <c r="S1397" i="5"/>
  <c r="O1397" i="5"/>
  <c r="N1397" i="5"/>
  <c r="Q1396" i="5"/>
  <c r="R1396" i="5"/>
  <c r="O1396" i="5"/>
  <c r="S1396" i="5"/>
  <c r="R1395" i="5"/>
  <c r="Q1395" i="5"/>
  <c r="S1395" i="5"/>
  <c r="O1395" i="5"/>
  <c r="N1395" i="5"/>
  <c r="R1394" i="5"/>
  <c r="Q1394" i="5"/>
  <c r="S1394" i="5"/>
  <c r="N1394" i="5"/>
  <c r="O1394" i="5"/>
  <c r="Q1393" i="5"/>
  <c r="R1393" i="5"/>
  <c r="S1393" i="5"/>
  <c r="N1393" i="5"/>
  <c r="O1393" i="5"/>
  <c r="R1392" i="5"/>
  <c r="Q1392" i="5"/>
  <c r="S1392" i="5"/>
  <c r="O1392" i="5"/>
  <c r="N1392" i="5"/>
  <c r="R1391" i="5"/>
  <c r="Q1391" i="5"/>
  <c r="S1391" i="5"/>
  <c r="O1391" i="5"/>
  <c r="N1391" i="5"/>
  <c r="S1390" i="5"/>
  <c r="O1390" i="5"/>
  <c r="R1389" i="5"/>
  <c r="Q1389" i="5"/>
  <c r="S1389" i="5"/>
  <c r="O1389" i="5"/>
  <c r="N1389" i="5"/>
  <c r="R1388" i="5"/>
  <c r="Q1388" i="5"/>
  <c r="S1388" i="5"/>
  <c r="O1388" i="5"/>
  <c r="N1388" i="5"/>
  <c r="S1387" i="5"/>
  <c r="O1387" i="5"/>
  <c r="N1387" i="5"/>
  <c r="S1386" i="5"/>
  <c r="O1386" i="5"/>
  <c r="N1386" i="5"/>
  <c r="S1385" i="5"/>
  <c r="O1385" i="5"/>
  <c r="N1385" i="5"/>
  <c r="S1384" i="5"/>
  <c r="O1384" i="5"/>
  <c r="N1384" i="5"/>
  <c r="R1383" i="5"/>
  <c r="Q1383" i="5"/>
  <c r="S1383" i="5"/>
  <c r="O1383" i="5"/>
  <c r="N1383" i="5"/>
  <c r="R1382" i="5"/>
  <c r="Q1382" i="5"/>
  <c r="S1382" i="5"/>
  <c r="O1382" i="5"/>
  <c r="S1381" i="5"/>
  <c r="O1381" i="5"/>
  <c r="R1380" i="5"/>
  <c r="Q1380" i="5"/>
  <c r="S1380" i="5"/>
  <c r="O1380" i="5"/>
  <c r="N1380" i="5"/>
  <c r="R1379" i="5"/>
  <c r="Q1379" i="5"/>
  <c r="S1379" i="5"/>
  <c r="O1379" i="5"/>
  <c r="R1378" i="5"/>
  <c r="Q1378" i="5"/>
  <c r="S1378" i="5"/>
  <c r="O1378" i="5"/>
  <c r="R1377" i="5"/>
  <c r="Q1377" i="5"/>
  <c r="S1377" i="5"/>
  <c r="O1377" i="5"/>
  <c r="N1377" i="5"/>
  <c r="S1376" i="5"/>
  <c r="O1376" i="5"/>
  <c r="Q1375" i="5"/>
  <c r="R1375" i="5"/>
  <c r="O1375" i="5"/>
  <c r="S1375" i="5"/>
  <c r="N1375" i="5"/>
  <c r="R1374" i="5"/>
  <c r="Q1374" i="5"/>
  <c r="S1374" i="5"/>
  <c r="O1374" i="5"/>
  <c r="N1374" i="5"/>
  <c r="R1373" i="5"/>
  <c r="Q1373" i="5"/>
  <c r="S1373" i="5"/>
  <c r="O1373" i="5"/>
  <c r="N1373" i="5"/>
  <c r="R1372" i="5"/>
  <c r="Q1372" i="5"/>
  <c r="S1372" i="5"/>
  <c r="O1372" i="5"/>
  <c r="N1372" i="5"/>
  <c r="R1371" i="5"/>
  <c r="Q1371" i="5"/>
  <c r="S1371" i="5"/>
  <c r="O1371" i="5"/>
  <c r="N1371" i="5"/>
  <c r="S1370" i="5"/>
  <c r="O1370" i="5"/>
  <c r="N1370" i="5"/>
  <c r="Q1369" i="5"/>
  <c r="R1369" i="5"/>
  <c r="O1369" i="5"/>
  <c r="N1369" i="5"/>
  <c r="S1369" i="5"/>
  <c r="R1368" i="5"/>
  <c r="Q1368" i="5"/>
  <c r="S1368" i="5"/>
  <c r="O1368" i="5"/>
  <c r="N1368" i="5"/>
  <c r="S1367" i="5"/>
  <c r="O1367" i="5"/>
  <c r="N1367" i="5"/>
  <c r="S1366" i="5"/>
  <c r="O1366" i="5"/>
  <c r="N1366" i="5"/>
  <c r="S1365" i="5"/>
  <c r="O1365" i="5"/>
  <c r="N1365" i="5"/>
  <c r="S1364" i="5"/>
  <c r="O1364" i="5"/>
  <c r="N1364" i="5"/>
  <c r="Q1363" i="5"/>
  <c r="R1363" i="5"/>
  <c r="S1363" i="5"/>
  <c r="O1363" i="5"/>
  <c r="N1363" i="5"/>
  <c r="S1362" i="5"/>
  <c r="O1362" i="5"/>
  <c r="R1361" i="5"/>
  <c r="Q1361" i="5"/>
  <c r="S1361" i="5"/>
  <c r="O1361" i="5"/>
  <c r="N1361" i="5"/>
  <c r="R1360" i="5"/>
  <c r="Q1360" i="5"/>
  <c r="S1360" i="5"/>
  <c r="O1360" i="5"/>
  <c r="N1360" i="5"/>
  <c r="R1359" i="5"/>
  <c r="Q1359" i="5"/>
  <c r="S1359" i="5"/>
  <c r="O1359" i="5"/>
  <c r="N1359" i="5"/>
  <c r="S1358" i="5"/>
  <c r="O1358" i="5"/>
  <c r="Q1357" i="5"/>
  <c r="R1357" i="5"/>
  <c r="S1357" i="5"/>
  <c r="O1357" i="5"/>
  <c r="R1356" i="5"/>
  <c r="Q1356" i="5"/>
  <c r="S1356" i="5"/>
  <c r="O1356" i="5"/>
  <c r="R1355" i="5"/>
  <c r="Q1355" i="5"/>
  <c r="S1355" i="5"/>
  <c r="O1355" i="5"/>
  <c r="Q1354" i="5"/>
  <c r="R1354" i="5"/>
  <c r="S1354" i="5"/>
  <c r="O1354" i="5"/>
  <c r="N1354" i="5"/>
  <c r="S1353" i="5"/>
  <c r="O1353" i="5"/>
  <c r="R1352" i="5"/>
  <c r="Q1352" i="5"/>
  <c r="S1352" i="5"/>
  <c r="O1352" i="5"/>
  <c r="N1352" i="5"/>
  <c r="Q1351" i="5"/>
  <c r="R1351" i="5"/>
  <c r="O1351" i="5"/>
  <c r="N1351" i="5"/>
  <c r="S1351" i="5"/>
  <c r="S1350" i="5"/>
  <c r="O1350" i="5"/>
  <c r="R1349" i="5"/>
  <c r="Q1349" i="5"/>
  <c r="S1349" i="5"/>
  <c r="O1349" i="5"/>
  <c r="N1349" i="5"/>
  <c r="Q1348" i="5"/>
  <c r="R1348" i="5"/>
  <c r="O1348" i="5"/>
  <c r="S1348" i="5"/>
  <c r="N1348" i="5"/>
  <c r="R1347" i="5"/>
  <c r="Q1347" i="5"/>
  <c r="S1347" i="5"/>
  <c r="O1347" i="5"/>
  <c r="N1347" i="5"/>
  <c r="R1346" i="5"/>
  <c r="Q1346" i="5"/>
  <c r="S1346" i="5"/>
  <c r="O1346" i="5"/>
  <c r="N1346" i="5"/>
  <c r="Q1345" i="5"/>
  <c r="R1345" i="5"/>
  <c r="S1345" i="5"/>
  <c r="O1345" i="5"/>
  <c r="N1345" i="5"/>
  <c r="S1344" i="5"/>
  <c r="O1344" i="5"/>
  <c r="N1344" i="5"/>
  <c r="S1343" i="5"/>
  <c r="O1343" i="5"/>
  <c r="N1343" i="5"/>
  <c r="S1342" i="5"/>
  <c r="O1342" i="5"/>
  <c r="N1342" i="5"/>
  <c r="R1341" i="5"/>
  <c r="Q1341" i="5"/>
  <c r="S1341" i="5"/>
  <c r="O1341" i="5"/>
  <c r="N1341" i="5"/>
  <c r="R1340" i="5"/>
  <c r="Q1340" i="5"/>
  <c r="O1340" i="5"/>
  <c r="S1340" i="5"/>
  <c r="N1340" i="5"/>
  <c r="R1339" i="5"/>
  <c r="Q1339" i="5"/>
  <c r="S1339" i="5"/>
  <c r="O1339" i="5"/>
  <c r="N1339" i="5"/>
  <c r="R1338" i="5"/>
  <c r="Q1338" i="5"/>
  <c r="S1338" i="5"/>
  <c r="O1338" i="5"/>
  <c r="N1338" i="5"/>
  <c r="R1337" i="5"/>
  <c r="Q1337" i="5"/>
  <c r="S1337" i="5"/>
  <c r="O1337" i="5"/>
  <c r="N1337" i="5"/>
  <c r="R1336" i="5"/>
  <c r="Q1336" i="5"/>
  <c r="S1336" i="5"/>
  <c r="O1336" i="5"/>
  <c r="N1336" i="5"/>
  <c r="Q1335" i="5"/>
  <c r="R1335" i="5"/>
  <c r="S1335" i="5"/>
  <c r="O1335" i="5"/>
  <c r="S1334" i="5"/>
  <c r="O1334" i="5"/>
  <c r="R1333" i="5"/>
  <c r="Q1333" i="5"/>
  <c r="S1333" i="5"/>
  <c r="O1333" i="5"/>
  <c r="N1333" i="5"/>
  <c r="R1332" i="5"/>
  <c r="Q1332" i="5"/>
  <c r="S1332" i="5"/>
  <c r="O1332" i="5"/>
  <c r="N1332" i="5"/>
  <c r="S1331" i="5"/>
  <c r="O1331" i="5"/>
  <c r="N1331" i="5"/>
  <c r="Q1330" i="5"/>
  <c r="R1330" i="5"/>
  <c r="N1330" i="5"/>
  <c r="O1330" i="5"/>
  <c r="S1330" i="5"/>
  <c r="S1329" i="5"/>
  <c r="O1329" i="5"/>
  <c r="N1329" i="5"/>
  <c r="S1328" i="5"/>
  <c r="O1328" i="5"/>
  <c r="N1328" i="5"/>
  <c r="Q1327" i="5"/>
  <c r="R1327" i="5"/>
  <c r="S1327" i="5"/>
  <c r="O1327" i="5"/>
  <c r="N1327" i="5"/>
  <c r="R1326" i="5"/>
  <c r="Q1326" i="5"/>
  <c r="S1326" i="5"/>
  <c r="O1326" i="5"/>
  <c r="N1326" i="5"/>
  <c r="R1325" i="5"/>
  <c r="Q1325" i="5"/>
  <c r="S1325" i="5"/>
  <c r="O1325" i="5"/>
  <c r="N1325" i="5"/>
  <c r="Q1324" i="5"/>
  <c r="R1324" i="5"/>
  <c r="N1324" i="5"/>
  <c r="O1324" i="5"/>
  <c r="S1324" i="5"/>
  <c r="R1323" i="5"/>
  <c r="Q1323" i="5"/>
  <c r="S1323" i="5"/>
  <c r="O1323" i="5"/>
  <c r="N1323" i="5"/>
  <c r="R1322" i="5"/>
  <c r="Q1322" i="5"/>
  <c r="O1321" i="5"/>
  <c r="N1321" i="5"/>
  <c r="S1321" i="5"/>
  <c r="Q1320" i="5"/>
  <c r="R1320" i="5"/>
  <c r="N1320" i="5"/>
  <c r="O1320" i="5"/>
  <c r="S1320" i="5"/>
  <c r="O1319" i="5"/>
  <c r="S1319" i="5"/>
  <c r="N1319" i="5"/>
  <c r="S1318" i="5"/>
  <c r="O1318" i="5"/>
  <c r="N1318" i="5"/>
  <c r="O1317" i="5"/>
  <c r="N1317" i="5"/>
  <c r="S1317" i="5"/>
  <c r="S1316" i="5"/>
  <c r="O1316" i="5"/>
  <c r="N1316" i="5"/>
  <c r="Q1315" i="5"/>
  <c r="R1315" i="5"/>
  <c r="S1315" i="5"/>
  <c r="O1315" i="5"/>
  <c r="N1315" i="5"/>
  <c r="R1314" i="5"/>
  <c r="Q1314" i="5"/>
  <c r="S1314" i="5"/>
  <c r="O1314" i="5"/>
  <c r="Q1313" i="5"/>
  <c r="R1313" i="5"/>
  <c r="S1313" i="5"/>
  <c r="N1313" i="5"/>
  <c r="O1313" i="5"/>
  <c r="N1312" i="5"/>
  <c r="O1312" i="5"/>
  <c r="S1312" i="5"/>
  <c r="O1311" i="5"/>
  <c r="S1311" i="5"/>
  <c r="R1310" i="5"/>
  <c r="Q1310" i="5"/>
  <c r="O1310" i="5"/>
  <c r="N1310" i="5"/>
  <c r="S1310" i="5"/>
  <c r="R1309" i="5"/>
  <c r="Q1309" i="5"/>
  <c r="S1309" i="5"/>
  <c r="O1309" i="5"/>
  <c r="N1309" i="5"/>
  <c r="S1308" i="5"/>
  <c r="O1308" i="5"/>
  <c r="Q1307" i="5"/>
  <c r="R1307" i="5"/>
  <c r="O1307" i="5"/>
  <c r="N1307" i="5"/>
  <c r="S1307" i="5"/>
  <c r="R1306" i="5"/>
  <c r="Q1306" i="5"/>
  <c r="S1306" i="5"/>
  <c r="O1306" i="5"/>
  <c r="N1306" i="5"/>
  <c r="S1305" i="5"/>
  <c r="O1305" i="5"/>
  <c r="O1304" i="5"/>
  <c r="N1304" i="5"/>
  <c r="S1304" i="5"/>
  <c r="Q1303" i="5"/>
  <c r="R1303" i="5"/>
  <c r="N1303" i="5"/>
  <c r="O1303" i="5"/>
  <c r="S1303" i="5"/>
  <c r="N1302" i="5"/>
  <c r="O1302" i="5"/>
  <c r="S1302" i="5"/>
  <c r="Q1301" i="5"/>
  <c r="R1301" i="5"/>
  <c r="N1301" i="5"/>
  <c r="S1301" i="5"/>
  <c r="O1301" i="5"/>
  <c r="Q1300" i="5"/>
  <c r="R1300" i="5"/>
  <c r="N1300" i="5"/>
  <c r="O1300" i="5"/>
  <c r="S1300" i="5"/>
  <c r="N1299" i="5"/>
  <c r="O1299" i="5"/>
  <c r="S1299" i="5"/>
  <c r="Q1298" i="5"/>
  <c r="R1298" i="5"/>
  <c r="N1298" i="5"/>
  <c r="O1298" i="5"/>
  <c r="S1298" i="5"/>
  <c r="Q1297" i="5"/>
  <c r="R1297" i="5"/>
  <c r="O1297" i="5"/>
  <c r="N1297" i="5"/>
  <c r="S1297" i="5"/>
  <c r="R1296" i="5"/>
  <c r="Q1296" i="5"/>
  <c r="S1296" i="5"/>
  <c r="O1296" i="5"/>
  <c r="N1296" i="5"/>
  <c r="S1295" i="5"/>
  <c r="O1295" i="5"/>
  <c r="N1295" i="5"/>
  <c r="Q1294" i="5"/>
  <c r="R1294" i="5"/>
  <c r="O1294" i="5"/>
  <c r="N1294" i="5"/>
  <c r="S1294" i="5"/>
  <c r="R1293" i="5"/>
  <c r="Q1293" i="5"/>
  <c r="S1293" i="5"/>
  <c r="O1293" i="5"/>
  <c r="N1293" i="5"/>
  <c r="S1292" i="5"/>
  <c r="O1292" i="5"/>
  <c r="N1292" i="5"/>
  <c r="O1291" i="5"/>
  <c r="N1291" i="5"/>
  <c r="S1291" i="5"/>
  <c r="S1290" i="5"/>
  <c r="O1290" i="5"/>
  <c r="N1290" i="5"/>
  <c r="R1289" i="5"/>
  <c r="Q1289" i="5"/>
  <c r="S1289" i="5"/>
  <c r="O1289" i="5"/>
  <c r="N1289" i="5"/>
  <c r="Q1288" i="5"/>
  <c r="R1288" i="5"/>
  <c r="N1288" i="5"/>
  <c r="S1288" i="5"/>
  <c r="O1288" i="5"/>
  <c r="R1287" i="5"/>
  <c r="Q1287" i="5"/>
  <c r="S1287" i="5"/>
  <c r="O1287" i="5"/>
  <c r="N1287" i="5"/>
  <c r="R1286" i="5"/>
  <c r="Q1286" i="5"/>
  <c r="S1286" i="5"/>
  <c r="O1286" i="5"/>
  <c r="N1286" i="5"/>
  <c r="R1285" i="5"/>
  <c r="Q1285" i="5"/>
  <c r="O1285" i="5"/>
  <c r="N1285" i="5"/>
  <c r="S1285" i="5"/>
  <c r="S1284" i="5"/>
  <c r="O1284" i="5"/>
  <c r="R1283" i="5"/>
  <c r="Q1283" i="5"/>
  <c r="S1283" i="5"/>
  <c r="O1283" i="5"/>
  <c r="N1283" i="5"/>
  <c r="Q1282" i="5"/>
  <c r="R1282" i="5"/>
  <c r="N1282" i="5"/>
  <c r="O1282" i="5"/>
  <c r="S1282" i="5"/>
  <c r="O1281" i="5"/>
  <c r="N1281" i="5"/>
  <c r="S1281" i="5"/>
  <c r="Q1280" i="5"/>
  <c r="R1280" i="5"/>
  <c r="S1280" i="5"/>
  <c r="O1280" i="5"/>
  <c r="S1279" i="5"/>
  <c r="O1279" i="5"/>
  <c r="R1278" i="5"/>
  <c r="Q1278" i="5"/>
  <c r="N1278" i="5"/>
  <c r="S1278" i="5"/>
  <c r="O1278" i="5"/>
  <c r="Q1277" i="5"/>
  <c r="R1277" i="5"/>
  <c r="N1277" i="5"/>
  <c r="O1277" i="5"/>
  <c r="S1277" i="5"/>
  <c r="Q1276" i="5"/>
  <c r="R1276" i="5"/>
  <c r="O1276" i="5"/>
  <c r="S1276" i="5"/>
  <c r="Q1275" i="5"/>
  <c r="R1275" i="5"/>
  <c r="N1275" i="5"/>
  <c r="S1275" i="5"/>
  <c r="O1275" i="5"/>
  <c r="R1274" i="5"/>
  <c r="Q1274" i="5"/>
  <c r="O1274" i="5"/>
  <c r="S1274" i="5"/>
  <c r="S1273" i="5"/>
  <c r="O1273" i="5"/>
  <c r="R1272" i="5"/>
  <c r="Q1272" i="5"/>
  <c r="S1272" i="5"/>
  <c r="O1272" i="5"/>
  <c r="N1272" i="5"/>
  <c r="Q1271" i="5"/>
  <c r="R1271" i="5"/>
  <c r="N1271" i="5"/>
  <c r="S1271" i="5"/>
  <c r="O1271" i="5"/>
  <c r="R1270" i="5"/>
  <c r="Q1270" i="5"/>
  <c r="S1270" i="5"/>
  <c r="O1270" i="5"/>
  <c r="N1270" i="5"/>
  <c r="R1269" i="5"/>
  <c r="Q1269" i="5"/>
  <c r="S1269" i="5"/>
  <c r="O1269" i="5"/>
  <c r="N1269" i="5"/>
  <c r="Q1268" i="5"/>
  <c r="R1268" i="5"/>
  <c r="N1268" i="5"/>
  <c r="S1268" i="5"/>
  <c r="O1268" i="5"/>
  <c r="R1267" i="5"/>
  <c r="Q1267" i="5"/>
  <c r="S1267" i="5"/>
  <c r="O1267" i="5"/>
  <c r="N1267" i="5"/>
  <c r="R1266" i="5"/>
  <c r="Q1266" i="5"/>
  <c r="S1266" i="5"/>
  <c r="O1266" i="5"/>
  <c r="N1266" i="5"/>
  <c r="O1265" i="5"/>
  <c r="N1265" i="5"/>
  <c r="S1265" i="5"/>
  <c r="R1264" i="5"/>
  <c r="Q1264" i="5"/>
  <c r="S1264" i="5"/>
  <c r="O1264" i="5"/>
  <c r="N1264" i="5"/>
  <c r="S1263" i="5"/>
  <c r="O1263" i="5"/>
  <c r="N1263" i="5"/>
  <c r="N1262" i="5"/>
  <c r="S1262" i="5"/>
  <c r="O1262" i="5"/>
  <c r="S1261" i="5"/>
  <c r="O1261" i="5"/>
  <c r="N1261" i="5"/>
  <c r="S1260" i="5"/>
  <c r="O1260" i="5"/>
  <c r="N1260" i="5"/>
  <c r="Q1259" i="5"/>
  <c r="R1259" i="5"/>
  <c r="O1259" i="5"/>
  <c r="N1259" i="5"/>
  <c r="S1259" i="5"/>
  <c r="Q1258" i="5"/>
  <c r="R1258" i="5"/>
  <c r="S1258" i="5"/>
  <c r="N1258" i="5"/>
  <c r="O1258" i="5"/>
  <c r="Q1257" i="5"/>
  <c r="R1257" i="5"/>
  <c r="N1257" i="5"/>
  <c r="O1257" i="5"/>
  <c r="S1257" i="5"/>
  <c r="R1256" i="5"/>
  <c r="Q1256" i="5"/>
  <c r="O1256" i="5"/>
  <c r="N1256" i="5"/>
  <c r="S1256" i="5"/>
  <c r="Q1255" i="5"/>
  <c r="R1255" i="5"/>
  <c r="N1255" i="5"/>
  <c r="O1255" i="5"/>
  <c r="S1255" i="5"/>
  <c r="N1254" i="5"/>
  <c r="O1254" i="5"/>
  <c r="S1254" i="5"/>
  <c r="Q1253" i="5"/>
  <c r="R1253" i="5"/>
  <c r="N1253" i="5"/>
  <c r="S1253" i="5"/>
  <c r="O1253" i="5"/>
  <c r="R1252" i="5"/>
  <c r="Q1252" i="5"/>
  <c r="S1252" i="5"/>
  <c r="O1252" i="5"/>
  <c r="N1252" i="5"/>
  <c r="R1251" i="5"/>
  <c r="Q1251" i="5"/>
  <c r="N1251" i="5"/>
  <c r="S1251" i="5"/>
  <c r="O1251" i="5"/>
  <c r="O1250" i="5"/>
  <c r="S1250" i="5"/>
  <c r="Q1249" i="5"/>
  <c r="R1249" i="5"/>
  <c r="N1249" i="5"/>
  <c r="O1249" i="5"/>
  <c r="S1249" i="5"/>
  <c r="O1248" i="5"/>
  <c r="S1248" i="5"/>
  <c r="Q1247" i="5"/>
  <c r="R1247" i="5"/>
  <c r="O1247" i="5"/>
  <c r="N1247" i="5"/>
  <c r="S1247" i="5"/>
  <c r="R1246" i="5"/>
  <c r="Q1246" i="5"/>
  <c r="S1246" i="5"/>
  <c r="O1246" i="5"/>
  <c r="N1246" i="5"/>
  <c r="S1245" i="5"/>
  <c r="O1245" i="5"/>
  <c r="N1245" i="5"/>
  <c r="N1244" i="5"/>
  <c r="S1244" i="5"/>
  <c r="O1244" i="5"/>
  <c r="R1243" i="5"/>
  <c r="Q1243" i="5"/>
  <c r="S1243" i="5"/>
  <c r="O1243" i="5"/>
  <c r="N1243" i="5"/>
  <c r="R1242" i="5"/>
  <c r="Q1242" i="5"/>
  <c r="S1242" i="5"/>
  <c r="O1242" i="5"/>
  <c r="N1242" i="5"/>
  <c r="R1241" i="5"/>
  <c r="Q1241" i="5"/>
  <c r="O1241" i="5"/>
  <c r="N1241" i="5"/>
  <c r="S1241" i="5"/>
  <c r="S1240" i="5"/>
  <c r="O1240" i="5"/>
  <c r="R1239" i="5"/>
  <c r="Q1239" i="5"/>
  <c r="S1239" i="5"/>
  <c r="O1239" i="5"/>
  <c r="N1239" i="5"/>
  <c r="Q1238" i="5"/>
  <c r="R1238" i="5"/>
  <c r="N1238" i="5"/>
  <c r="S1238" i="5"/>
  <c r="O1238" i="5"/>
  <c r="S1237" i="5"/>
  <c r="O1237" i="5"/>
  <c r="R1236" i="5"/>
  <c r="Q1236" i="5"/>
  <c r="S1236" i="5"/>
  <c r="O1236" i="5"/>
  <c r="N1236" i="5"/>
  <c r="R1235" i="5"/>
  <c r="Q1235" i="5"/>
  <c r="N1235" i="5"/>
  <c r="S1235" i="5"/>
  <c r="O1235" i="5"/>
  <c r="R1234" i="5"/>
  <c r="Q1234" i="5"/>
  <c r="S1234" i="5"/>
  <c r="N1234" i="5"/>
  <c r="O1234" i="5"/>
  <c r="R1233" i="5"/>
  <c r="Q1233" i="5"/>
  <c r="O1233" i="5"/>
  <c r="N1233" i="5"/>
  <c r="S1233" i="5"/>
  <c r="O1232" i="5"/>
  <c r="S1232" i="5"/>
  <c r="N1232" i="5"/>
  <c r="R1231" i="5"/>
  <c r="Q1231" i="5"/>
  <c r="O1231" i="5"/>
  <c r="N1231" i="5"/>
  <c r="S1231" i="5"/>
  <c r="Q1230" i="5"/>
  <c r="R1230" i="5"/>
  <c r="N1230" i="5"/>
  <c r="O1230" i="5"/>
  <c r="S1230" i="5"/>
  <c r="Q1229" i="5"/>
  <c r="R1229" i="5"/>
  <c r="N1229" i="5"/>
  <c r="O1229" i="5"/>
  <c r="S1229" i="5"/>
  <c r="O1228" i="5"/>
  <c r="N1228" i="5"/>
  <c r="S1228" i="5"/>
  <c r="R1227" i="5"/>
  <c r="Q1227" i="5"/>
  <c r="S1227" i="5"/>
  <c r="O1227" i="5"/>
  <c r="N1227" i="5"/>
  <c r="S1226" i="5"/>
  <c r="O1226" i="5"/>
  <c r="N1226" i="5"/>
  <c r="N1225" i="5"/>
  <c r="S1225" i="5"/>
  <c r="O1225" i="5"/>
  <c r="R1224" i="5"/>
  <c r="Q1224" i="5"/>
  <c r="S1224" i="5"/>
  <c r="O1224" i="5"/>
  <c r="N1224" i="5"/>
  <c r="R1223" i="5"/>
  <c r="Q1223" i="5"/>
  <c r="S1223" i="5"/>
  <c r="O1223" i="5"/>
  <c r="N1223" i="5"/>
  <c r="Q1222" i="5"/>
  <c r="R1222" i="5"/>
  <c r="N1222" i="5"/>
  <c r="S1222" i="5"/>
  <c r="O1222" i="5"/>
  <c r="R1221" i="5"/>
  <c r="Q1221" i="5"/>
  <c r="S1221" i="5"/>
  <c r="O1221" i="5"/>
  <c r="N1221" i="5"/>
  <c r="R1220" i="5"/>
  <c r="Q1220" i="5"/>
  <c r="S1220" i="5"/>
  <c r="O1220" i="5"/>
  <c r="N1220" i="5"/>
  <c r="Q1219" i="5"/>
  <c r="R1219" i="5"/>
  <c r="N1219" i="5"/>
  <c r="S1219" i="5"/>
  <c r="O1219" i="5"/>
  <c r="R1218" i="5"/>
  <c r="Q1218" i="5"/>
  <c r="S1218" i="5"/>
  <c r="O1218" i="5"/>
  <c r="N1218" i="5"/>
  <c r="R1217" i="5"/>
  <c r="Q1217" i="5"/>
  <c r="S1217" i="5"/>
  <c r="O1217" i="5"/>
  <c r="N1217" i="5"/>
  <c r="Q1216" i="5"/>
  <c r="R1216" i="5"/>
  <c r="N1216" i="5"/>
  <c r="S1216" i="5"/>
  <c r="O1216" i="5"/>
  <c r="S1215" i="5"/>
  <c r="O1215" i="5"/>
  <c r="R1214" i="5"/>
  <c r="Q1214" i="5"/>
  <c r="S1214" i="5"/>
  <c r="O1214" i="5"/>
  <c r="N1214" i="5"/>
  <c r="Q1213" i="5"/>
  <c r="R1213" i="5"/>
  <c r="O1213" i="5"/>
  <c r="N1213" i="5"/>
  <c r="S1213" i="5"/>
  <c r="Q1212" i="5"/>
  <c r="R1212" i="5"/>
  <c r="N1212" i="5"/>
  <c r="O1212" i="5"/>
  <c r="S1212" i="5"/>
  <c r="Q1211" i="5"/>
  <c r="R1211" i="5"/>
  <c r="O1211" i="5"/>
  <c r="N1211" i="5"/>
  <c r="S1211" i="5"/>
  <c r="S1210" i="5"/>
  <c r="O1210" i="5"/>
  <c r="R1209" i="5"/>
  <c r="Q1209" i="5"/>
  <c r="O1209" i="5"/>
  <c r="N1209" i="5"/>
  <c r="S1209" i="5"/>
  <c r="Q1208" i="5"/>
  <c r="R1208" i="5"/>
  <c r="S1208" i="5"/>
  <c r="O1208" i="5"/>
  <c r="R1207" i="5"/>
  <c r="Q1207" i="5"/>
  <c r="S1207" i="5"/>
  <c r="O1207" i="5"/>
  <c r="N1207" i="5"/>
  <c r="R1206" i="5"/>
  <c r="Q1206" i="5"/>
  <c r="S1206" i="5"/>
  <c r="O1206" i="5"/>
  <c r="N1206" i="5"/>
  <c r="R1205" i="5"/>
  <c r="Q1205" i="5"/>
  <c r="N1205" i="5"/>
  <c r="O1205" i="5"/>
  <c r="S1205" i="5"/>
  <c r="O1204" i="5"/>
  <c r="S1204" i="5"/>
  <c r="Q1203" i="5"/>
  <c r="R1203" i="5"/>
  <c r="N1203" i="5"/>
  <c r="O1203" i="5"/>
  <c r="S1203" i="5"/>
  <c r="Q1202" i="5"/>
  <c r="R1202" i="5"/>
  <c r="N1202" i="5"/>
  <c r="S1202" i="5"/>
  <c r="O1202" i="5"/>
  <c r="S1201" i="5"/>
  <c r="O1201" i="5"/>
  <c r="N1201" i="5"/>
  <c r="R1200" i="5"/>
  <c r="Q1200" i="5"/>
  <c r="S1200" i="5"/>
  <c r="O1200" i="5"/>
  <c r="N1200" i="5"/>
  <c r="N1199" i="5"/>
  <c r="S1199" i="5"/>
  <c r="O1199" i="5"/>
  <c r="S1198" i="5"/>
  <c r="O1198" i="5"/>
  <c r="S1197" i="5"/>
  <c r="O1197" i="5"/>
  <c r="R1196" i="5"/>
  <c r="Q1196" i="5"/>
  <c r="S1196" i="5"/>
  <c r="O1196" i="5"/>
  <c r="N1196" i="5"/>
  <c r="Q1195" i="5"/>
  <c r="R1195" i="5"/>
  <c r="N1195" i="5"/>
  <c r="S1195" i="5"/>
  <c r="O1195" i="5"/>
  <c r="R1194" i="5"/>
  <c r="Q1194" i="5"/>
  <c r="S1194" i="5"/>
  <c r="O1194" i="5"/>
  <c r="N1194" i="5"/>
  <c r="R1193" i="5"/>
  <c r="Q1193" i="5"/>
  <c r="S1193" i="5"/>
  <c r="O1193" i="5"/>
  <c r="N1193" i="5"/>
  <c r="Q1192" i="5"/>
  <c r="R1192" i="5"/>
  <c r="N1192" i="5"/>
  <c r="S1192" i="5"/>
  <c r="O1192" i="5"/>
  <c r="R1191" i="5"/>
  <c r="Q1191" i="5"/>
  <c r="S1191" i="5"/>
  <c r="O1191" i="5"/>
  <c r="N1191" i="5"/>
  <c r="R1190" i="5"/>
  <c r="Q1190" i="5"/>
  <c r="S1190" i="5"/>
  <c r="O1190" i="5"/>
  <c r="N1190" i="5"/>
  <c r="Q1189" i="5"/>
  <c r="R1189" i="5"/>
  <c r="N1189" i="5"/>
  <c r="S1189" i="5"/>
  <c r="O1189" i="5"/>
  <c r="R1188" i="5"/>
  <c r="Q1188" i="5"/>
  <c r="S1188" i="5"/>
  <c r="O1188" i="5"/>
  <c r="N1188" i="5"/>
  <c r="R1187" i="5"/>
  <c r="Q1187" i="5"/>
  <c r="N1187" i="5"/>
  <c r="S1187" i="5"/>
  <c r="O1187" i="5"/>
  <c r="S1186" i="5"/>
  <c r="O1186" i="5"/>
  <c r="N1186" i="5"/>
  <c r="R1185" i="5"/>
  <c r="Q1185" i="5"/>
  <c r="O1185" i="5"/>
  <c r="N1185" i="5"/>
  <c r="S1185" i="5"/>
  <c r="Q1184" i="5"/>
  <c r="R1184" i="5"/>
  <c r="N1184" i="5"/>
  <c r="O1184" i="5"/>
  <c r="S1184" i="5"/>
  <c r="Q1183" i="5"/>
  <c r="R1183" i="5"/>
  <c r="N1183" i="5"/>
  <c r="O1183" i="5"/>
  <c r="S1183" i="5"/>
  <c r="O1182" i="5"/>
  <c r="N1182" i="5"/>
  <c r="S1182" i="5"/>
  <c r="R1181" i="5"/>
  <c r="Q1181" i="5"/>
  <c r="S1181" i="5"/>
  <c r="O1181" i="5"/>
  <c r="N1181" i="5"/>
  <c r="S1180" i="5"/>
  <c r="O1180" i="5"/>
  <c r="N1180" i="5"/>
  <c r="Q1179" i="5"/>
  <c r="R1179" i="5"/>
  <c r="N1179" i="5"/>
  <c r="S1179" i="5"/>
  <c r="O1179" i="5"/>
  <c r="R1178" i="5"/>
  <c r="Q1178" i="5"/>
  <c r="S1178" i="5"/>
  <c r="O1178" i="5"/>
  <c r="N1178" i="5"/>
  <c r="S1177" i="5"/>
  <c r="O1177" i="5"/>
  <c r="N1177" i="5"/>
  <c r="N1176" i="5"/>
  <c r="S1176" i="5"/>
  <c r="O1176" i="5"/>
  <c r="R1175" i="5"/>
  <c r="Q1175" i="5"/>
  <c r="O1175" i="5"/>
  <c r="N1175" i="5"/>
  <c r="S1175" i="5"/>
  <c r="R1174" i="5"/>
  <c r="Q1174" i="5"/>
  <c r="S1174" i="5"/>
  <c r="O1174" i="5"/>
  <c r="N1174" i="5"/>
  <c r="R1173" i="5"/>
  <c r="Q1173" i="5"/>
  <c r="N1173" i="5"/>
  <c r="S1173" i="5"/>
  <c r="O1173" i="5"/>
  <c r="R1172" i="5"/>
  <c r="Q1172" i="5"/>
  <c r="O1172" i="5"/>
  <c r="N1172" i="5"/>
  <c r="S1172" i="5"/>
  <c r="R1171" i="5"/>
  <c r="Q1171" i="5"/>
  <c r="S1171" i="5"/>
  <c r="O1171" i="5"/>
  <c r="N1171" i="5"/>
  <c r="R1170" i="5"/>
  <c r="Q1170" i="5"/>
  <c r="N1170" i="5"/>
  <c r="S1170" i="5"/>
  <c r="O1170" i="5"/>
  <c r="R1169" i="5"/>
  <c r="Q1169" i="5"/>
  <c r="S1169" i="5"/>
  <c r="O1169" i="5"/>
  <c r="N1169" i="5"/>
  <c r="R1168" i="5"/>
  <c r="Q1168" i="5"/>
  <c r="S1168" i="5"/>
  <c r="O1168" i="5"/>
  <c r="Q1167" i="5"/>
  <c r="R1167" i="5"/>
  <c r="O1167" i="5"/>
  <c r="N1167" i="5"/>
  <c r="S1167" i="5"/>
  <c r="Q1166" i="5"/>
  <c r="R1166" i="5"/>
  <c r="N1166" i="5"/>
  <c r="O1166" i="5"/>
  <c r="S1166" i="5"/>
  <c r="O1165" i="5"/>
  <c r="S1165" i="5"/>
  <c r="Q1164" i="5"/>
  <c r="R1164" i="5"/>
  <c r="O1164" i="5"/>
  <c r="S1164" i="5"/>
  <c r="N1164" i="5"/>
  <c r="Q1163" i="5"/>
  <c r="R1163" i="5"/>
  <c r="N1163" i="5"/>
  <c r="O1163" i="5"/>
  <c r="S1163" i="5"/>
  <c r="Q1162" i="5"/>
  <c r="R1162" i="5"/>
  <c r="N1162" i="5"/>
  <c r="O1162" i="5"/>
  <c r="S1162" i="5"/>
  <c r="R1161" i="5"/>
  <c r="Q1161" i="5"/>
  <c r="O1161" i="5"/>
  <c r="N1161" i="5"/>
  <c r="S1161" i="5"/>
  <c r="R1160" i="5"/>
  <c r="Q1160" i="5"/>
  <c r="N1160" i="5"/>
  <c r="O1160" i="5"/>
  <c r="S1160" i="5"/>
  <c r="Q1159" i="5"/>
  <c r="R1159" i="5"/>
  <c r="N1159" i="5"/>
  <c r="O1159" i="5"/>
  <c r="S1159" i="5"/>
  <c r="Q1158" i="5"/>
  <c r="R1158" i="5"/>
  <c r="S1158" i="5"/>
  <c r="O1158" i="5"/>
  <c r="N1158" i="5"/>
  <c r="R1157" i="5"/>
  <c r="Q1157" i="5"/>
  <c r="O1157" i="5"/>
  <c r="N1157" i="5"/>
  <c r="S1157" i="5"/>
  <c r="O1156" i="5"/>
  <c r="S1156" i="5"/>
  <c r="Q1155" i="5"/>
  <c r="R1155" i="5"/>
  <c r="N1155" i="5"/>
  <c r="O1155" i="5"/>
  <c r="S1155" i="5"/>
  <c r="Q1154" i="5"/>
  <c r="R1154" i="5"/>
  <c r="N1154" i="5"/>
  <c r="S1154" i="5"/>
  <c r="O1154" i="5"/>
  <c r="R1153" i="5"/>
  <c r="Q1153" i="5"/>
  <c r="O1153" i="5"/>
  <c r="N1153" i="5"/>
  <c r="S1153" i="5"/>
  <c r="R1152" i="5"/>
  <c r="Q1152" i="5"/>
  <c r="S1152" i="5"/>
  <c r="O1152" i="5"/>
  <c r="N1152" i="5"/>
  <c r="R1151" i="5"/>
  <c r="Q1151" i="5"/>
  <c r="N1151" i="5"/>
  <c r="S1151" i="5"/>
  <c r="O1151" i="5"/>
  <c r="R1150" i="5"/>
  <c r="Q1150" i="5"/>
  <c r="S1150" i="5"/>
  <c r="O1150" i="5"/>
  <c r="N1150" i="5"/>
  <c r="S1149" i="5"/>
  <c r="O1149" i="5"/>
  <c r="S1148" i="5"/>
  <c r="O1148" i="5"/>
  <c r="S1147" i="5"/>
  <c r="O1147" i="5"/>
  <c r="R1146" i="5"/>
  <c r="Q1146" i="5"/>
  <c r="S1146" i="5"/>
  <c r="O1146" i="5"/>
  <c r="N1146" i="5"/>
  <c r="R1145" i="5"/>
  <c r="Q1145" i="5"/>
  <c r="S1145" i="5"/>
  <c r="O1145" i="5"/>
  <c r="N1145" i="5"/>
  <c r="O1144" i="5"/>
  <c r="S1144" i="5"/>
  <c r="Q1143" i="5"/>
  <c r="R1143" i="5"/>
  <c r="O1143" i="5"/>
  <c r="N1143" i="5"/>
  <c r="S1143" i="5"/>
  <c r="R1142" i="5"/>
  <c r="Q1142" i="5"/>
  <c r="S1142" i="5"/>
  <c r="N1142" i="5"/>
  <c r="O1142" i="5"/>
  <c r="R1141" i="5"/>
  <c r="Q1141" i="5"/>
  <c r="S1141" i="5"/>
  <c r="O1141" i="5"/>
  <c r="N1141" i="5"/>
  <c r="O1140" i="5"/>
  <c r="S1140" i="5"/>
  <c r="O1139" i="5"/>
  <c r="S1139" i="5"/>
  <c r="Q1138" i="5"/>
  <c r="R1138" i="5"/>
  <c r="N1138" i="5"/>
  <c r="S1138" i="5"/>
  <c r="O1138" i="5"/>
  <c r="R1137" i="5"/>
  <c r="Q1137" i="5"/>
  <c r="O1137" i="5"/>
  <c r="N1137" i="5"/>
  <c r="S1137" i="5"/>
  <c r="R1136" i="5"/>
  <c r="Q1136" i="5"/>
  <c r="S1136" i="5"/>
  <c r="O1136" i="5"/>
  <c r="N1136" i="5"/>
  <c r="R1135" i="5"/>
  <c r="Q1135" i="5"/>
  <c r="N1135" i="5"/>
  <c r="S1135" i="5"/>
  <c r="O1135" i="5"/>
  <c r="R1134" i="5"/>
  <c r="Q1134" i="5"/>
  <c r="S1134" i="5"/>
  <c r="O1134" i="5"/>
  <c r="N1134" i="5"/>
  <c r="R1133" i="5"/>
  <c r="Q1133" i="5"/>
  <c r="S1133" i="5"/>
  <c r="O1133" i="5"/>
  <c r="N1133" i="5"/>
  <c r="O1132" i="5"/>
  <c r="S1132" i="5"/>
  <c r="R1131" i="5"/>
  <c r="Q1131" i="5"/>
  <c r="O1131" i="5"/>
  <c r="N1131" i="5"/>
  <c r="S1131" i="5"/>
  <c r="R1130" i="5"/>
  <c r="Q1130" i="5"/>
  <c r="S1130" i="5"/>
  <c r="O1130" i="5"/>
  <c r="N1130" i="5"/>
  <c r="R1129" i="5"/>
  <c r="Q1129" i="5"/>
  <c r="N1129" i="5"/>
  <c r="S1129" i="5"/>
  <c r="O1129" i="5"/>
  <c r="R1128" i="5"/>
  <c r="Q1128" i="5"/>
  <c r="S1128" i="5"/>
  <c r="N1128" i="5"/>
  <c r="O1128" i="5"/>
  <c r="Q1127" i="5"/>
  <c r="R1127" i="5"/>
  <c r="N1127" i="5"/>
  <c r="O1127" i="5"/>
  <c r="S1127" i="5"/>
  <c r="O1126" i="5"/>
  <c r="S1126" i="5"/>
  <c r="Q1125" i="5"/>
  <c r="R1125" i="5"/>
  <c r="N1125" i="5"/>
  <c r="O1125" i="5"/>
  <c r="S1125" i="5"/>
  <c r="Q1124" i="5"/>
  <c r="R1124" i="5"/>
  <c r="N1124" i="5"/>
  <c r="O1124" i="5"/>
  <c r="S1124" i="5"/>
  <c r="O1123" i="5"/>
  <c r="S1123" i="5"/>
  <c r="Q1122" i="5"/>
  <c r="R1122" i="5"/>
  <c r="N1122" i="5"/>
  <c r="O1122" i="5"/>
  <c r="S1122" i="5"/>
  <c r="Q1121" i="5"/>
  <c r="R1121" i="5"/>
  <c r="O1121" i="5"/>
  <c r="N1121" i="5"/>
  <c r="S1121" i="5"/>
  <c r="R1120" i="5"/>
  <c r="Q1120" i="5"/>
  <c r="N1120" i="5"/>
  <c r="O1120" i="5"/>
  <c r="S1120" i="5"/>
  <c r="Q1119" i="5"/>
  <c r="R1119" i="5"/>
  <c r="N1119" i="5"/>
  <c r="O1119" i="5"/>
  <c r="S1119" i="5"/>
  <c r="O1118" i="5"/>
  <c r="S1118" i="5"/>
  <c r="N1118" i="5"/>
  <c r="R1117" i="5"/>
  <c r="Q1117" i="5"/>
  <c r="O1117" i="5"/>
  <c r="N1117" i="5"/>
  <c r="S1117" i="5"/>
  <c r="R1116" i="5"/>
  <c r="Q1116" i="5"/>
  <c r="S1116" i="5"/>
  <c r="O1116" i="5"/>
  <c r="N1116" i="5"/>
  <c r="R1115" i="5"/>
  <c r="Q1115" i="5"/>
  <c r="N1115" i="5"/>
  <c r="S1115" i="5"/>
  <c r="O1115" i="5"/>
  <c r="R1114" i="5"/>
  <c r="Q1114" i="5"/>
  <c r="S1114" i="5"/>
  <c r="O1114" i="5"/>
  <c r="N1114" i="5"/>
  <c r="R1113" i="5"/>
  <c r="Q1113" i="5"/>
  <c r="S1113" i="5"/>
  <c r="O1113" i="5"/>
  <c r="N1113" i="5"/>
  <c r="N1112" i="5"/>
  <c r="S1112" i="5"/>
  <c r="O1112" i="5"/>
  <c r="R1111" i="5"/>
  <c r="Q1111" i="5"/>
  <c r="S1111" i="5"/>
  <c r="O1111" i="5"/>
  <c r="N1111" i="5"/>
  <c r="S1110" i="5"/>
  <c r="O1110" i="5"/>
  <c r="N1110" i="5"/>
  <c r="R1109" i="5"/>
  <c r="Q1109" i="5"/>
  <c r="O1108" i="5"/>
  <c r="S1108" i="5"/>
  <c r="N1107" i="5"/>
  <c r="O1107" i="5"/>
  <c r="S1107" i="5"/>
  <c r="S1106" i="5"/>
  <c r="O1106" i="5"/>
  <c r="N1106" i="5"/>
  <c r="S1105" i="5"/>
  <c r="O1105" i="5"/>
  <c r="N1105" i="5"/>
  <c r="S1104" i="5"/>
  <c r="O1104" i="5"/>
  <c r="Q1103" i="5"/>
  <c r="R1103" i="5"/>
  <c r="O1103" i="5"/>
  <c r="N1103" i="5"/>
  <c r="S1103" i="5"/>
  <c r="Q1102" i="5"/>
  <c r="R1102" i="5"/>
  <c r="N1102" i="5"/>
  <c r="O1102" i="5"/>
  <c r="S1102" i="5"/>
  <c r="Q1101" i="5"/>
  <c r="R1101" i="5"/>
  <c r="N1101" i="5"/>
  <c r="O1101" i="5"/>
  <c r="S1101" i="5"/>
  <c r="Q1100" i="5"/>
  <c r="R1100" i="5"/>
  <c r="N1100" i="5"/>
  <c r="O1100" i="5"/>
  <c r="S1100" i="5"/>
  <c r="R1099" i="5"/>
  <c r="Q1099" i="5"/>
  <c r="S1099" i="5"/>
  <c r="O1099" i="5"/>
  <c r="N1099" i="5"/>
  <c r="S1098" i="5"/>
  <c r="O1098" i="5"/>
  <c r="R1097" i="5"/>
  <c r="Q1097" i="5"/>
  <c r="S1097" i="5"/>
  <c r="O1097" i="5"/>
  <c r="N1097" i="5"/>
  <c r="R1096" i="5"/>
  <c r="Q1096" i="5"/>
  <c r="S1096" i="5"/>
  <c r="O1096" i="5"/>
  <c r="N1096" i="5"/>
  <c r="S1095" i="5"/>
  <c r="O1095" i="5"/>
  <c r="R1094" i="5"/>
  <c r="Q1094" i="5"/>
  <c r="S1094" i="5"/>
  <c r="O1094" i="5"/>
  <c r="N1094" i="5"/>
  <c r="R1093" i="5"/>
  <c r="Q1093" i="5"/>
  <c r="S1093" i="5"/>
  <c r="N1093" i="5"/>
  <c r="O1093" i="5"/>
  <c r="R1092" i="5"/>
  <c r="Q1092" i="5"/>
  <c r="S1092" i="5"/>
  <c r="O1092" i="5"/>
  <c r="R1091" i="5"/>
  <c r="Q1091" i="5"/>
  <c r="S1091" i="5"/>
  <c r="O1091" i="5"/>
  <c r="N1091" i="5"/>
  <c r="Q1090" i="5"/>
  <c r="R1090" i="5"/>
  <c r="N1090" i="5"/>
  <c r="O1090" i="5"/>
  <c r="S1090" i="5"/>
  <c r="Q1089" i="5"/>
  <c r="R1089" i="5"/>
  <c r="N1089" i="5"/>
  <c r="O1089" i="5"/>
  <c r="S1089" i="5"/>
  <c r="Q1088" i="5"/>
  <c r="R1088" i="5"/>
  <c r="O1088" i="5"/>
  <c r="S1088" i="5"/>
  <c r="N1088" i="5"/>
  <c r="R1087" i="5"/>
  <c r="Q1087" i="5"/>
  <c r="S1087" i="5"/>
  <c r="O1087" i="5"/>
  <c r="N1087" i="5"/>
  <c r="R1086" i="5"/>
  <c r="Q1086" i="5"/>
  <c r="S1086" i="5"/>
  <c r="O1086" i="5"/>
  <c r="N1086" i="5"/>
  <c r="Q1085" i="5"/>
  <c r="R1085" i="5"/>
  <c r="S1085" i="5"/>
  <c r="O1085" i="5"/>
  <c r="N1085" i="5"/>
  <c r="S1084" i="5"/>
  <c r="O1084" i="5"/>
  <c r="N1084" i="5"/>
  <c r="R1083" i="5"/>
  <c r="Q1083" i="5"/>
  <c r="N1083" i="5"/>
  <c r="O1083" i="5"/>
  <c r="S1083" i="5"/>
  <c r="O1082" i="5"/>
  <c r="N1082" i="5"/>
  <c r="S1082" i="5"/>
  <c r="S1081" i="5"/>
  <c r="O1081" i="5"/>
  <c r="N1081" i="5"/>
  <c r="R1080" i="5"/>
  <c r="Q1080" i="5"/>
  <c r="S1080" i="5"/>
  <c r="O1080" i="5"/>
  <c r="N1080" i="5"/>
  <c r="S1079" i="5"/>
  <c r="O1079" i="5"/>
  <c r="R1078" i="5"/>
  <c r="Q1078" i="5"/>
  <c r="S1078" i="5"/>
  <c r="O1078" i="5"/>
  <c r="N1078" i="5"/>
  <c r="R1077" i="5"/>
  <c r="Q1077" i="5"/>
  <c r="S1077" i="5"/>
  <c r="O1077" i="5"/>
  <c r="N1077" i="5"/>
  <c r="R1076" i="5"/>
  <c r="Q1076" i="5"/>
  <c r="S1076" i="5"/>
  <c r="O1076" i="5"/>
  <c r="N1076" i="5"/>
  <c r="Q1075" i="5"/>
  <c r="R1075" i="5"/>
  <c r="O1075" i="5"/>
  <c r="S1075" i="5"/>
  <c r="N1075" i="5"/>
  <c r="R1074" i="5"/>
  <c r="Q1074" i="5"/>
  <c r="S1074" i="5"/>
  <c r="O1074" i="5"/>
  <c r="N1074" i="5"/>
  <c r="R1073" i="5"/>
  <c r="Q1073" i="5"/>
  <c r="S1073" i="5"/>
  <c r="O1073" i="5"/>
  <c r="N1073" i="5"/>
  <c r="R1072" i="5"/>
  <c r="Q1072" i="5"/>
  <c r="N1072" i="5"/>
  <c r="O1072" i="5"/>
  <c r="S1072" i="5"/>
  <c r="R1071" i="5"/>
  <c r="Q1071" i="5"/>
  <c r="S1071" i="5"/>
  <c r="O1071" i="5"/>
  <c r="N1071" i="5"/>
  <c r="R1070" i="5"/>
  <c r="Q1070" i="5"/>
  <c r="S1070" i="5"/>
  <c r="O1070" i="5"/>
  <c r="N1070" i="5"/>
  <c r="R1069" i="5"/>
  <c r="Q1069" i="5"/>
  <c r="S1069" i="5"/>
  <c r="N1069" i="5"/>
  <c r="O1069" i="5"/>
  <c r="R1068" i="5"/>
  <c r="Q1068" i="5"/>
  <c r="S1068" i="5"/>
  <c r="O1068" i="5"/>
  <c r="N1068" i="5"/>
  <c r="Q1067" i="5"/>
  <c r="R1067" i="5"/>
  <c r="S1067" i="5"/>
  <c r="O1067" i="5"/>
  <c r="N1067" i="5"/>
  <c r="R1066" i="5"/>
  <c r="Q1066" i="5"/>
  <c r="S1066" i="5"/>
  <c r="N1066" i="5"/>
  <c r="O1066" i="5"/>
  <c r="R1065" i="5"/>
  <c r="Q1065" i="5"/>
  <c r="O1065" i="5"/>
  <c r="N1065" i="5"/>
  <c r="S1065" i="5"/>
  <c r="R1064" i="5"/>
  <c r="Q1064" i="5"/>
  <c r="S1064" i="5"/>
  <c r="O1064" i="5"/>
  <c r="N1064" i="5"/>
  <c r="R1063" i="5"/>
  <c r="Q1063" i="5"/>
  <c r="S1063" i="5"/>
  <c r="O1063" i="5"/>
  <c r="N1063" i="5"/>
  <c r="N1062" i="5"/>
  <c r="O1062" i="5"/>
  <c r="S1062" i="5"/>
  <c r="S1061" i="5"/>
  <c r="O1061" i="5"/>
  <c r="N1061" i="5"/>
  <c r="R1060" i="5"/>
  <c r="Q1060" i="5"/>
  <c r="S1060" i="5"/>
  <c r="O1060" i="5"/>
  <c r="N1060" i="5"/>
  <c r="R1059" i="5"/>
  <c r="Q1059" i="5"/>
  <c r="S1059" i="5"/>
  <c r="O1059" i="5"/>
  <c r="N1059" i="5"/>
  <c r="R1058" i="5"/>
  <c r="Q1058" i="5"/>
  <c r="N1058" i="5"/>
  <c r="S1058" i="5"/>
  <c r="O1058" i="5"/>
  <c r="Q1057" i="5"/>
  <c r="R1057" i="5"/>
  <c r="S1057" i="5"/>
  <c r="N1057" i="5"/>
  <c r="O1057" i="5"/>
  <c r="R1056" i="5"/>
  <c r="Q1056" i="5"/>
  <c r="S1056" i="5"/>
  <c r="O1056" i="5"/>
  <c r="N1056" i="5"/>
  <c r="S1055" i="5"/>
  <c r="O1055" i="5"/>
  <c r="N1055" i="5"/>
  <c r="O1054" i="5"/>
  <c r="N1054" i="5"/>
  <c r="S1054" i="5"/>
  <c r="S1053" i="5"/>
  <c r="O1053" i="5"/>
  <c r="N1053" i="5"/>
  <c r="Q1052" i="5"/>
  <c r="R1052" i="5"/>
  <c r="S1052" i="5"/>
  <c r="O1052" i="5"/>
  <c r="N1052" i="5"/>
  <c r="R1051" i="5"/>
  <c r="Q1051" i="5"/>
  <c r="O1051" i="5"/>
  <c r="N1051" i="5"/>
  <c r="S1051" i="5"/>
  <c r="R1050" i="5"/>
  <c r="Q1050" i="5"/>
  <c r="S1050" i="5"/>
  <c r="O1050" i="5"/>
  <c r="N1050" i="5"/>
  <c r="S1049" i="5"/>
  <c r="O1049" i="5"/>
  <c r="R1048" i="5"/>
  <c r="Q1048" i="5"/>
  <c r="S1048" i="5"/>
  <c r="O1048" i="5"/>
  <c r="R1047" i="5"/>
  <c r="Q1047" i="5"/>
  <c r="S1047" i="5"/>
  <c r="O1047" i="5"/>
  <c r="R1046" i="5"/>
  <c r="Q1046" i="5"/>
  <c r="S1046" i="5"/>
  <c r="O1046" i="5"/>
  <c r="R1045" i="5"/>
  <c r="Q1045" i="5"/>
  <c r="S1045" i="5"/>
  <c r="O1045" i="5"/>
  <c r="N1045" i="5"/>
  <c r="R1044" i="5"/>
  <c r="Q1044" i="5"/>
  <c r="S1044" i="5"/>
  <c r="O1044" i="5"/>
  <c r="N1044" i="5"/>
  <c r="R1043" i="5"/>
  <c r="Q1043" i="5"/>
  <c r="S1043" i="5"/>
  <c r="O1043" i="5"/>
  <c r="N1043" i="5"/>
  <c r="R1042" i="5"/>
  <c r="Q1042" i="5"/>
  <c r="O1042" i="5"/>
  <c r="S1042" i="5"/>
  <c r="N1042" i="5"/>
  <c r="Q1041" i="5"/>
  <c r="R1041" i="5"/>
  <c r="N1041" i="5"/>
  <c r="O1041" i="5"/>
  <c r="S1041" i="5"/>
  <c r="R1040" i="5"/>
  <c r="Q1040" i="5"/>
  <c r="S1040" i="5"/>
  <c r="O1040" i="5"/>
  <c r="N1040" i="5"/>
  <c r="R1039" i="5"/>
  <c r="Q1039" i="5"/>
  <c r="S1039" i="5"/>
  <c r="O1039" i="5"/>
  <c r="N1039" i="5"/>
  <c r="R1038" i="5"/>
  <c r="Q1038" i="5"/>
  <c r="S1038" i="5"/>
  <c r="O1038" i="5"/>
  <c r="N1038" i="5"/>
  <c r="R1037" i="5"/>
  <c r="Q1037" i="5"/>
  <c r="O1037" i="5"/>
  <c r="S1037" i="5"/>
  <c r="N1037" i="5"/>
  <c r="S1036" i="5"/>
  <c r="O1036" i="5"/>
  <c r="N1036" i="5"/>
  <c r="S1035" i="5"/>
  <c r="O1035" i="5"/>
  <c r="N1035" i="5"/>
  <c r="S1034" i="5"/>
  <c r="O1034" i="5"/>
  <c r="N1034" i="5"/>
  <c r="R1033" i="5"/>
  <c r="Q1033" i="5"/>
  <c r="O1033" i="5"/>
  <c r="S1033" i="5"/>
  <c r="N1033" i="5"/>
  <c r="Q1032" i="5"/>
  <c r="R1032" i="5"/>
  <c r="N1032" i="5"/>
  <c r="O1032" i="5"/>
  <c r="S1032" i="5"/>
  <c r="Q1031" i="5"/>
  <c r="R1031" i="5"/>
  <c r="N1031" i="5"/>
  <c r="O1031" i="5"/>
  <c r="S1031" i="5"/>
  <c r="R1030" i="5"/>
  <c r="Q1030" i="5"/>
  <c r="O1030" i="5"/>
  <c r="N1030" i="5"/>
  <c r="S1030" i="5"/>
  <c r="R1029" i="5"/>
  <c r="Q1029" i="5"/>
  <c r="S1029" i="5"/>
  <c r="O1029" i="5"/>
  <c r="N1029" i="5"/>
  <c r="R1028" i="5"/>
  <c r="Q1028" i="5"/>
  <c r="S1028" i="5"/>
  <c r="O1028" i="5"/>
  <c r="N1028" i="5"/>
  <c r="Q1027" i="5"/>
  <c r="R1027" i="5"/>
  <c r="S1027" i="5"/>
  <c r="O1027" i="5"/>
  <c r="N1027" i="5"/>
  <c r="Q1026" i="5"/>
  <c r="R1026" i="5"/>
  <c r="O1026" i="5"/>
  <c r="S1026" i="5"/>
  <c r="N1026" i="5"/>
  <c r="R1025" i="5"/>
  <c r="Q1025" i="5"/>
  <c r="S1025" i="5"/>
  <c r="O1025" i="5"/>
  <c r="N1025" i="5"/>
  <c r="R1024" i="5"/>
  <c r="Q1024" i="5"/>
  <c r="S1024" i="5"/>
  <c r="O1024" i="5"/>
  <c r="N1024" i="5"/>
  <c r="N1023" i="5"/>
  <c r="S1023" i="5"/>
  <c r="O1023" i="5"/>
  <c r="O1022" i="5"/>
  <c r="S1022" i="5"/>
  <c r="N1022" i="5"/>
  <c r="S1021" i="5"/>
  <c r="O1021" i="5"/>
  <c r="N1021" i="5"/>
  <c r="S1020" i="5"/>
  <c r="O1020" i="5"/>
  <c r="N1020" i="5"/>
  <c r="R1019" i="5"/>
  <c r="Q1019" i="5"/>
  <c r="S1019" i="5"/>
  <c r="O1019" i="5"/>
  <c r="N1019" i="5"/>
  <c r="Q1018" i="5"/>
  <c r="R1018" i="5"/>
  <c r="O1018" i="5"/>
  <c r="S1018" i="5"/>
  <c r="N1018" i="5"/>
  <c r="R1017" i="5"/>
  <c r="Q1017" i="5"/>
  <c r="O1017" i="5"/>
  <c r="S1017" i="5"/>
  <c r="N1017" i="5"/>
  <c r="S1016" i="5"/>
  <c r="O1016" i="5"/>
  <c r="R1015" i="5"/>
  <c r="Q1015" i="5"/>
  <c r="S1015" i="5"/>
  <c r="O1015" i="5"/>
  <c r="N1015" i="5"/>
  <c r="R1014" i="5"/>
  <c r="Q1014" i="5"/>
  <c r="S1014" i="5"/>
  <c r="O1014" i="5"/>
  <c r="N1014" i="5"/>
  <c r="R1013" i="5"/>
  <c r="Q1013" i="5"/>
  <c r="S1013" i="5"/>
  <c r="O1013" i="5"/>
  <c r="N1013" i="5"/>
  <c r="R1012" i="5"/>
  <c r="Q1012" i="5"/>
  <c r="S1012" i="5"/>
  <c r="O1012" i="5"/>
  <c r="N1012" i="5"/>
  <c r="R1011" i="5"/>
  <c r="Q1011" i="5"/>
  <c r="S1011" i="5"/>
  <c r="O1011" i="5"/>
  <c r="N1011" i="5"/>
  <c r="R1010" i="5"/>
  <c r="Q1010" i="5"/>
  <c r="N1010" i="5"/>
  <c r="S1010" i="5"/>
  <c r="O1010" i="5"/>
  <c r="Q1009" i="5"/>
  <c r="R1009" i="5"/>
  <c r="S1009" i="5"/>
  <c r="O1009" i="5"/>
  <c r="N1009" i="5"/>
  <c r="R1008" i="5"/>
  <c r="Q1008" i="5"/>
  <c r="S1008" i="5"/>
  <c r="O1008" i="5"/>
  <c r="N1008" i="5"/>
  <c r="Q1007" i="5"/>
  <c r="R1007" i="5"/>
  <c r="O1007" i="5"/>
  <c r="S1007" i="5"/>
  <c r="N1007" i="5"/>
  <c r="R1006" i="5"/>
  <c r="Q1006" i="5"/>
  <c r="N1006" i="5"/>
  <c r="S1006" i="5"/>
  <c r="O1006" i="5"/>
  <c r="S1005" i="5"/>
  <c r="O1005" i="5"/>
  <c r="N1005" i="5"/>
  <c r="S1004" i="5"/>
  <c r="O1004" i="5"/>
  <c r="S1003" i="5"/>
  <c r="O1003" i="5"/>
  <c r="N1003" i="5"/>
  <c r="S1002" i="5"/>
  <c r="O1002" i="5"/>
  <c r="N1002" i="5"/>
  <c r="R1001" i="5"/>
  <c r="Q1001" i="5"/>
  <c r="S1001" i="5"/>
  <c r="O1001" i="5"/>
  <c r="N1001" i="5"/>
  <c r="Q1000" i="5"/>
  <c r="R1000" i="5"/>
  <c r="S1000" i="5"/>
  <c r="O1000" i="5"/>
  <c r="N1000" i="5"/>
  <c r="S999" i="5"/>
  <c r="O999" i="5"/>
  <c r="R998" i="5"/>
  <c r="Q998" i="5"/>
  <c r="S998" i="5"/>
  <c r="O998" i="5"/>
  <c r="N998" i="5"/>
  <c r="Q997" i="5"/>
  <c r="R997" i="5"/>
  <c r="S997" i="5"/>
  <c r="O997" i="5"/>
  <c r="N997" i="5"/>
  <c r="R996" i="5"/>
  <c r="Q996" i="5"/>
  <c r="S996" i="5"/>
  <c r="O996" i="5"/>
  <c r="N996" i="5"/>
  <c r="R995" i="5"/>
  <c r="Q995" i="5"/>
  <c r="S995" i="5"/>
  <c r="N995" i="5"/>
  <c r="O995" i="5"/>
  <c r="Q994" i="5"/>
  <c r="R994" i="5"/>
  <c r="N994" i="5"/>
  <c r="O994" i="5"/>
  <c r="S994" i="5"/>
  <c r="Q993" i="5"/>
  <c r="R993" i="5"/>
  <c r="N993" i="5"/>
  <c r="O993" i="5"/>
  <c r="S993" i="5"/>
  <c r="Q992" i="5"/>
  <c r="R992" i="5"/>
  <c r="N992" i="5"/>
  <c r="O992" i="5"/>
  <c r="S992" i="5"/>
  <c r="Q991" i="5"/>
  <c r="R991" i="5"/>
  <c r="O991" i="5"/>
  <c r="N991" i="5"/>
  <c r="S991" i="5"/>
  <c r="Q990" i="5"/>
  <c r="R990" i="5"/>
  <c r="S990" i="5"/>
  <c r="N990" i="5"/>
  <c r="O990" i="5"/>
  <c r="Q989" i="5"/>
  <c r="R989" i="5"/>
  <c r="N989" i="5"/>
  <c r="O989" i="5"/>
  <c r="S989" i="5"/>
  <c r="R988" i="5"/>
  <c r="Q988" i="5"/>
  <c r="S988" i="5"/>
  <c r="N988" i="5"/>
  <c r="O988" i="5"/>
  <c r="O987" i="5"/>
  <c r="S987" i="5"/>
  <c r="R986" i="5"/>
  <c r="Q986" i="5"/>
  <c r="S986" i="5"/>
  <c r="N986" i="5"/>
  <c r="O986" i="5"/>
  <c r="N985" i="5"/>
  <c r="O985" i="5"/>
  <c r="S985" i="5"/>
  <c r="N984" i="5"/>
  <c r="O984" i="5"/>
  <c r="S984" i="5"/>
  <c r="O983" i="5"/>
  <c r="N983" i="5"/>
  <c r="S983" i="5"/>
  <c r="N982" i="5"/>
  <c r="O982" i="5"/>
  <c r="S982" i="5"/>
  <c r="Q981" i="5"/>
  <c r="R981" i="5"/>
  <c r="O981" i="5"/>
  <c r="S981" i="5"/>
  <c r="N981" i="5"/>
  <c r="R980" i="5"/>
  <c r="Q980" i="5"/>
  <c r="N980" i="5"/>
  <c r="O980" i="5"/>
  <c r="S980" i="5"/>
  <c r="Q979" i="5"/>
  <c r="R979" i="5"/>
  <c r="N979" i="5"/>
  <c r="O979" i="5"/>
  <c r="S979" i="5"/>
  <c r="Q978" i="5"/>
  <c r="R978" i="5"/>
  <c r="N978" i="5"/>
  <c r="O978" i="5"/>
  <c r="S978" i="5"/>
  <c r="Q977" i="5"/>
  <c r="R977" i="5"/>
  <c r="N977" i="5"/>
  <c r="O977" i="5"/>
  <c r="S977" i="5"/>
  <c r="Q976" i="5"/>
  <c r="R976" i="5"/>
  <c r="N976" i="5"/>
  <c r="O976" i="5"/>
  <c r="S976" i="5"/>
  <c r="O975" i="5"/>
  <c r="S975" i="5"/>
  <c r="N975" i="5"/>
  <c r="R974" i="5"/>
  <c r="Q974" i="5"/>
  <c r="N974" i="5"/>
  <c r="O974" i="5"/>
  <c r="S974" i="5"/>
  <c r="O973" i="5"/>
  <c r="S973" i="5"/>
  <c r="Q972" i="5"/>
  <c r="R972" i="5"/>
  <c r="N972" i="5"/>
  <c r="O972" i="5"/>
  <c r="S972" i="5"/>
  <c r="Q971" i="5"/>
  <c r="R971" i="5"/>
  <c r="N971" i="5"/>
  <c r="O971" i="5"/>
  <c r="S971" i="5"/>
  <c r="Q970" i="5"/>
  <c r="R970" i="5"/>
  <c r="N970" i="5"/>
  <c r="S970" i="5"/>
  <c r="O970" i="5"/>
  <c r="Q969" i="5"/>
  <c r="R969" i="5"/>
  <c r="O969" i="5"/>
  <c r="N969" i="5"/>
  <c r="S969" i="5"/>
  <c r="R968" i="5"/>
  <c r="Q968" i="5"/>
  <c r="S968" i="5"/>
  <c r="O968" i="5"/>
  <c r="N968" i="5"/>
  <c r="R967" i="5"/>
  <c r="Q967" i="5"/>
  <c r="S967" i="5"/>
  <c r="O967" i="5"/>
  <c r="N967" i="5"/>
  <c r="S966" i="5"/>
  <c r="O966" i="5"/>
  <c r="R965" i="5"/>
  <c r="Q965" i="5"/>
  <c r="S965" i="5"/>
  <c r="O965" i="5"/>
  <c r="N965" i="5"/>
  <c r="R964" i="5"/>
  <c r="Q964" i="5"/>
  <c r="S964" i="5"/>
  <c r="O964" i="5"/>
  <c r="N964" i="5"/>
  <c r="R963" i="5"/>
  <c r="Q963" i="5"/>
  <c r="S963" i="5"/>
  <c r="O963" i="5"/>
  <c r="N963" i="5"/>
  <c r="R962" i="5"/>
  <c r="Q962" i="5"/>
  <c r="S962" i="5"/>
  <c r="N962" i="5"/>
  <c r="O962" i="5"/>
  <c r="R961" i="5"/>
  <c r="Q961" i="5"/>
  <c r="S961" i="5"/>
  <c r="O961" i="5"/>
  <c r="N961" i="5"/>
  <c r="S960" i="5"/>
  <c r="O960" i="5"/>
  <c r="R959" i="5"/>
  <c r="Q959" i="5"/>
  <c r="N959" i="5"/>
  <c r="O959" i="5"/>
  <c r="S959" i="5"/>
  <c r="R958" i="5"/>
  <c r="Q958" i="5"/>
  <c r="O958" i="5"/>
  <c r="N958" i="5"/>
  <c r="S958" i="5"/>
  <c r="R957" i="5"/>
  <c r="Q957" i="5"/>
  <c r="S957" i="5"/>
  <c r="O957" i="5"/>
  <c r="N957" i="5"/>
  <c r="R956" i="5"/>
  <c r="Q956" i="5"/>
  <c r="S956" i="5"/>
  <c r="O956" i="5"/>
  <c r="N956" i="5"/>
  <c r="S955" i="5"/>
  <c r="O955" i="5"/>
  <c r="N955" i="5"/>
  <c r="R954" i="5"/>
  <c r="Q954" i="5"/>
  <c r="N954" i="5"/>
  <c r="S954" i="5"/>
  <c r="O954" i="5"/>
  <c r="S953" i="5"/>
  <c r="O953" i="5"/>
  <c r="N953" i="5"/>
  <c r="S952" i="5"/>
  <c r="O952" i="5"/>
  <c r="N952" i="5"/>
  <c r="S951" i="5"/>
  <c r="O951" i="5"/>
  <c r="N951" i="5"/>
  <c r="N950" i="5"/>
  <c r="S950" i="5"/>
  <c r="O950" i="5"/>
  <c r="Q949" i="5"/>
  <c r="R949" i="5"/>
  <c r="O949" i="5"/>
  <c r="N949" i="5"/>
  <c r="S949" i="5"/>
  <c r="Q948" i="5"/>
  <c r="R948" i="5"/>
  <c r="S948" i="5"/>
  <c r="O948" i="5"/>
  <c r="N948" i="5"/>
  <c r="R947" i="5"/>
  <c r="Q947" i="5"/>
  <c r="S947" i="5"/>
  <c r="O947" i="5"/>
  <c r="N947" i="5"/>
  <c r="R946" i="5"/>
  <c r="Q946" i="5"/>
  <c r="S946" i="5"/>
  <c r="O946" i="5"/>
  <c r="N946" i="5"/>
  <c r="R945" i="5"/>
  <c r="Q945" i="5"/>
  <c r="N945" i="5"/>
  <c r="O945" i="5"/>
  <c r="S945" i="5"/>
  <c r="R944" i="5"/>
  <c r="Q944" i="5"/>
  <c r="S944" i="5"/>
  <c r="N944" i="5"/>
  <c r="O944" i="5"/>
  <c r="Q943" i="5"/>
  <c r="R943" i="5"/>
  <c r="N943" i="5"/>
  <c r="O943" i="5"/>
  <c r="S943" i="5"/>
  <c r="R942" i="5"/>
  <c r="Q942" i="5"/>
  <c r="N942" i="5"/>
  <c r="S942" i="5"/>
  <c r="O942" i="5"/>
  <c r="R941" i="5"/>
  <c r="Q941" i="5"/>
  <c r="S941" i="5"/>
  <c r="O941" i="5"/>
  <c r="N941" i="5"/>
  <c r="R940" i="5"/>
  <c r="Q940" i="5"/>
  <c r="S940" i="5"/>
  <c r="O940" i="5"/>
  <c r="N940" i="5"/>
  <c r="R939" i="5"/>
  <c r="Q939" i="5"/>
  <c r="O939" i="5"/>
  <c r="N939" i="5"/>
  <c r="S939" i="5"/>
  <c r="S938" i="5"/>
  <c r="O938" i="5"/>
  <c r="R937" i="5"/>
  <c r="Q937" i="5"/>
  <c r="S937" i="5"/>
  <c r="O937" i="5"/>
  <c r="N937" i="5"/>
  <c r="R936" i="5"/>
  <c r="Q936" i="5"/>
  <c r="S936" i="5"/>
  <c r="O936" i="5"/>
  <c r="N936" i="5"/>
  <c r="R935" i="5"/>
  <c r="Q935" i="5"/>
  <c r="S935" i="5"/>
  <c r="O935" i="5"/>
  <c r="N935" i="5"/>
  <c r="R934" i="5"/>
  <c r="Q934" i="5"/>
  <c r="O934" i="5"/>
  <c r="S934" i="5"/>
  <c r="N934" i="5"/>
  <c r="R933" i="5"/>
  <c r="Q933" i="5"/>
  <c r="O933" i="5"/>
  <c r="S933" i="5"/>
  <c r="N933" i="5"/>
  <c r="R932" i="5"/>
  <c r="Q932" i="5"/>
  <c r="S932" i="5"/>
  <c r="O932" i="5"/>
  <c r="N932" i="5"/>
  <c r="R931" i="5"/>
  <c r="Q931" i="5"/>
  <c r="S931" i="5"/>
  <c r="O931" i="5"/>
  <c r="N931" i="5"/>
  <c r="R930" i="5"/>
  <c r="Q930" i="5"/>
  <c r="S930" i="5"/>
  <c r="O930" i="5"/>
  <c r="N930" i="5"/>
  <c r="Q929" i="5"/>
  <c r="R929" i="5"/>
  <c r="N929" i="5"/>
  <c r="O929" i="5"/>
  <c r="S929" i="5"/>
  <c r="R928" i="5"/>
  <c r="Q928" i="5"/>
  <c r="S928" i="5"/>
  <c r="O928" i="5"/>
  <c r="N928" i="5"/>
  <c r="N927" i="5"/>
  <c r="S927" i="5"/>
  <c r="O927" i="5"/>
  <c r="S926" i="5"/>
  <c r="O926" i="5"/>
  <c r="S925" i="5"/>
  <c r="O925" i="5"/>
  <c r="N925" i="5"/>
  <c r="S924" i="5"/>
  <c r="O924" i="5"/>
  <c r="N924" i="5"/>
  <c r="R923" i="5"/>
  <c r="Q923" i="5"/>
  <c r="O923" i="5"/>
  <c r="S923" i="5"/>
  <c r="N923" i="5"/>
  <c r="R922" i="5"/>
  <c r="Q922" i="5"/>
  <c r="S922" i="5"/>
  <c r="O922" i="5"/>
  <c r="N922" i="5"/>
  <c r="R921" i="5"/>
  <c r="Q921" i="5"/>
  <c r="S921" i="5"/>
  <c r="O921" i="5"/>
  <c r="Q920" i="5"/>
  <c r="R920" i="5"/>
  <c r="N920" i="5"/>
  <c r="O920" i="5"/>
  <c r="S920" i="5"/>
  <c r="R919" i="5"/>
  <c r="Q919" i="5"/>
  <c r="S919" i="5"/>
  <c r="O919" i="5"/>
  <c r="N919" i="5"/>
  <c r="S918" i="5"/>
  <c r="O918" i="5"/>
  <c r="S917" i="5"/>
  <c r="O917" i="5"/>
  <c r="Q916" i="5"/>
  <c r="R916" i="5"/>
  <c r="S916" i="5"/>
  <c r="O916" i="5"/>
  <c r="N916" i="5"/>
  <c r="R915" i="5"/>
  <c r="Q915" i="5"/>
  <c r="S915" i="5"/>
  <c r="O915" i="5"/>
  <c r="N915" i="5"/>
  <c r="R914" i="5"/>
  <c r="Q914" i="5"/>
  <c r="S914" i="5"/>
  <c r="O914" i="5"/>
  <c r="N914" i="5"/>
  <c r="R913" i="5"/>
  <c r="Q913" i="5"/>
  <c r="N913" i="5"/>
  <c r="S913" i="5"/>
  <c r="O913" i="5"/>
  <c r="Q912" i="5"/>
  <c r="R912" i="5"/>
  <c r="N912" i="5"/>
  <c r="O912" i="5"/>
  <c r="S912" i="5"/>
  <c r="O911" i="5"/>
  <c r="S911" i="5"/>
  <c r="N911" i="5"/>
  <c r="Q910" i="5"/>
  <c r="R910" i="5"/>
  <c r="N910" i="5"/>
  <c r="O910" i="5"/>
  <c r="S910" i="5"/>
  <c r="Q909" i="5"/>
  <c r="R909" i="5"/>
  <c r="N909" i="5"/>
  <c r="O909" i="5"/>
  <c r="S909" i="5"/>
  <c r="N908" i="5"/>
  <c r="O908" i="5"/>
  <c r="S908" i="5"/>
  <c r="N907" i="5"/>
  <c r="S907" i="5"/>
  <c r="O907" i="5"/>
  <c r="S906" i="5"/>
  <c r="O906" i="5"/>
  <c r="N906" i="5"/>
  <c r="S905" i="5"/>
  <c r="O905" i="5"/>
  <c r="N905" i="5"/>
  <c r="R904" i="5"/>
  <c r="Q904" i="5"/>
  <c r="N904" i="5"/>
  <c r="S904" i="5"/>
  <c r="O904" i="5"/>
  <c r="Q903" i="5"/>
  <c r="R903" i="5"/>
  <c r="S903" i="5"/>
  <c r="O903" i="5"/>
  <c r="N903" i="5"/>
  <c r="R902" i="5"/>
  <c r="Q902" i="5"/>
  <c r="S902" i="5"/>
  <c r="N902" i="5"/>
  <c r="O902" i="5"/>
  <c r="S901" i="5"/>
  <c r="O901" i="5"/>
  <c r="R900" i="5"/>
  <c r="Q900" i="5"/>
  <c r="O900" i="5"/>
  <c r="N900" i="5"/>
  <c r="S900" i="5"/>
  <c r="S899" i="5"/>
  <c r="O899" i="5"/>
  <c r="R898" i="5"/>
  <c r="Q898" i="5"/>
  <c r="N898" i="5"/>
  <c r="S898" i="5"/>
  <c r="O898" i="5"/>
  <c r="R897" i="5"/>
  <c r="Q897" i="5"/>
  <c r="N897" i="5"/>
  <c r="O897" i="5"/>
  <c r="S897" i="5"/>
  <c r="R896" i="5"/>
  <c r="Q896" i="5"/>
  <c r="Q895" i="5"/>
  <c r="R895" i="5"/>
  <c r="S895" i="5"/>
  <c r="O895" i="5"/>
  <c r="N895" i="5"/>
  <c r="R894" i="5"/>
  <c r="Q894" i="5"/>
  <c r="S894" i="5"/>
  <c r="O894" i="5"/>
  <c r="N894" i="5"/>
  <c r="R893" i="5"/>
  <c r="Q893" i="5"/>
  <c r="S893" i="5"/>
  <c r="O893" i="5"/>
  <c r="N893" i="5"/>
  <c r="R892" i="5"/>
  <c r="Q892" i="5"/>
  <c r="S892" i="5"/>
  <c r="O892" i="5"/>
  <c r="N892" i="5"/>
  <c r="R891" i="5"/>
  <c r="Q891" i="5"/>
  <c r="S891" i="5"/>
  <c r="O891" i="5"/>
  <c r="N891" i="5"/>
  <c r="R890" i="5"/>
  <c r="Q890" i="5"/>
  <c r="O890" i="5"/>
  <c r="N890" i="5"/>
  <c r="S890" i="5"/>
  <c r="R889" i="5"/>
  <c r="Q889" i="5"/>
  <c r="S889" i="5"/>
  <c r="O889" i="5"/>
  <c r="N889" i="5"/>
  <c r="R888" i="5"/>
  <c r="Q888" i="5"/>
  <c r="S888" i="5"/>
  <c r="O888" i="5"/>
  <c r="N888" i="5"/>
  <c r="S887" i="5"/>
  <c r="O887" i="5"/>
  <c r="N887" i="5"/>
  <c r="S886" i="5"/>
  <c r="O886" i="5"/>
  <c r="N886" i="5"/>
  <c r="O885" i="5"/>
  <c r="N885" i="5"/>
  <c r="S885" i="5"/>
  <c r="S884" i="5"/>
  <c r="O884" i="5"/>
  <c r="O883" i="5"/>
  <c r="N883" i="5"/>
  <c r="S883" i="5"/>
  <c r="R882" i="5"/>
  <c r="Q882" i="5"/>
  <c r="S882" i="5"/>
  <c r="O882" i="5"/>
  <c r="N882" i="5"/>
  <c r="S881" i="5"/>
  <c r="O881" i="5"/>
  <c r="N881" i="5"/>
  <c r="R880" i="5"/>
  <c r="Q880" i="5"/>
  <c r="S880" i="5"/>
  <c r="O880" i="5"/>
  <c r="N880" i="5"/>
  <c r="O879" i="5"/>
  <c r="N879" i="5"/>
  <c r="S879" i="5"/>
  <c r="S878" i="5"/>
  <c r="O878" i="5"/>
  <c r="R877" i="5"/>
  <c r="Q877" i="5"/>
  <c r="S877" i="5"/>
  <c r="O877" i="5"/>
  <c r="N877" i="5"/>
  <c r="R876" i="5"/>
  <c r="Q876" i="5"/>
  <c r="S876" i="5"/>
  <c r="O876" i="5"/>
  <c r="N876" i="5"/>
  <c r="S875" i="5"/>
  <c r="O875" i="5"/>
  <c r="R874" i="5"/>
  <c r="Q874" i="5"/>
  <c r="O874" i="5"/>
  <c r="N874" i="5"/>
  <c r="S874" i="5"/>
  <c r="Q873" i="5"/>
  <c r="R873" i="5"/>
  <c r="S873" i="5"/>
  <c r="O873" i="5"/>
  <c r="N873" i="5"/>
  <c r="R872" i="5"/>
  <c r="Q872" i="5"/>
  <c r="S872" i="5"/>
  <c r="O872" i="5"/>
  <c r="N872" i="5"/>
  <c r="R871" i="5"/>
  <c r="Q871" i="5"/>
  <c r="S871" i="5"/>
  <c r="O871" i="5"/>
  <c r="N871" i="5"/>
  <c r="R870" i="5"/>
  <c r="Q870" i="5"/>
  <c r="S870" i="5"/>
  <c r="O870" i="5"/>
  <c r="N870" i="5"/>
  <c r="Q869" i="5"/>
  <c r="R869" i="5"/>
  <c r="S869" i="5"/>
  <c r="O869" i="5"/>
  <c r="N869" i="5"/>
  <c r="S868" i="5"/>
  <c r="O868" i="5"/>
  <c r="R867" i="5"/>
  <c r="Q867" i="5"/>
  <c r="S867" i="5"/>
  <c r="O867" i="5"/>
  <c r="N867" i="5"/>
  <c r="S866" i="5"/>
  <c r="O866" i="5"/>
  <c r="N866" i="5"/>
  <c r="R865" i="5"/>
  <c r="Q865" i="5"/>
  <c r="S865" i="5"/>
  <c r="O865" i="5"/>
  <c r="N865" i="5"/>
  <c r="O864" i="5"/>
  <c r="N864" i="5"/>
  <c r="S864" i="5"/>
  <c r="S863" i="5"/>
  <c r="O863" i="5"/>
  <c r="N863" i="5"/>
  <c r="R862" i="5"/>
  <c r="Q862" i="5"/>
  <c r="S862" i="5"/>
  <c r="O862" i="5"/>
  <c r="N862" i="5"/>
  <c r="R861" i="5"/>
  <c r="Q861" i="5"/>
  <c r="S861" i="5"/>
  <c r="O861" i="5"/>
  <c r="N861" i="5"/>
  <c r="R860" i="5"/>
  <c r="Q860" i="5"/>
  <c r="S860" i="5"/>
  <c r="O860" i="5"/>
  <c r="Q859" i="5"/>
  <c r="R859" i="5"/>
  <c r="O859" i="5"/>
  <c r="N859" i="5"/>
  <c r="S859" i="5"/>
  <c r="S858" i="5"/>
  <c r="O858" i="5"/>
  <c r="R857" i="5"/>
  <c r="Q857" i="5"/>
  <c r="S857" i="5"/>
  <c r="O857" i="5"/>
  <c r="N857" i="5"/>
  <c r="O856" i="5"/>
  <c r="S856" i="5"/>
  <c r="N856" i="5"/>
  <c r="R855" i="5"/>
  <c r="Q855" i="5"/>
  <c r="S855" i="5"/>
  <c r="O855" i="5"/>
  <c r="N855" i="5"/>
  <c r="R854" i="5"/>
  <c r="Q854" i="5"/>
  <c r="S854" i="5"/>
  <c r="O854" i="5"/>
  <c r="N854" i="5"/>
  <c r="R853" i="5"/>
  <c r="Q853" i="5"/>
  <c r="O853" i="5"/>
  <c r="N853" i="5"/>
  <c r="S853" i="5"/>
  <c r="R852" i="5"/>
  <c r="Q852" i="5"/>
  <c r="S852" i="5"/>
  <c r="O852" i="5"/>
  <c r="N852" i="5"/>
  <c r="Q851" i="5"/>
  <c r="R851" i="5"/>
  <c r="N851" i="5"/>
  <c r="O851" i="5"/>
  <c r="S851" i="5"/>
  <c r="R850" i="5"/>
  <c r="Q850" i="5"/>
  <c r="S850" i="5"/>
  <c r="O850" i="5"/>
  <c r="N850" i="5"/>
  <c r="R849" i="5"/>
  <c r="Q849" i="5"/>
  <c r="S849" i="5"/>
  <c r="O849" i="5"/>
  <c r="N849" i="5"/>
  <c r="Q848" i="5"/>
  <c r="R848" i="5"/>
  <c r="S848" i="5"/>
  <c r="O848" i="5"/>
  <c r="N848" i="5"/>
  <c r="N847" i="5"/>
  <c r="S847" i="5"/>
  <c r="O847" i="5"/>
  <c r="N846" i="5"/>
  <c r="O846" i="5"/>
  <c r="S846" i="5"/>
  <c r="Q845" i="5"/>
  <c r="R845" i="5"/>
  <c r="N845" i="5"/>
  <c r="O845" i="5"/>
  <c r="S845" i="5"/>
  <c r="Q844" i="5"/>
  <c r="R844" i="5"/>
  <c r="N844" i="5"/>
  <c r="O844" i="5"/>
  <c r="S844" i="5"/>
  <c r="Q843" i="5"/>
  <c r="R843" i="5"/>
  <c r="O843" i="5"/>
  <c r="S843" i="5"/>
  <c r="N843" i="5"/>
  <c r="Q842" i="5"/>
  <c r="R842" i="5"/>
  <c r="O842" i="5"/>
  <c r="S842" i="5"/>
  <c r="N842" i="5"/>
  <c r="Q841" i="5"/>
  <c r="R841" i="5"/>
  <c r="O841" i="5"/>
  <c r="N841" i="5"/>
  <c r="S841" i="5"/>
  <c r="S840" i="5"/>
  <c r="O840" i="5"/>
  <c r="R839" i="5"/>
  <c r="Q839" i="5"/>
  <c r="S839" i="5"/>
  <c r="O839" i="5"/>
  <c r="N839" i="5"/>
  <c r="R838" i="5"/>
  <c r="Q838" i="5"/>
  <c r="S838" i="5"/>
  <c r="O838" i="5"/>
  <c r="N838" i="5"/>
  <c r="N837" i="5"/>
  <c r="O837" i="5"/>
  <c r="S837" i="5"/>
  <c r="O836" i="5"/>
  <c r="N836" i="5"/>
  <c r="S836" i="5"/>
  <c r="S835" i="5"/>
  <c r="O835" i="5"/>
  <c r="N835" i="5"/>
  <c r="R834" i="5"/>
  <c r="Q834" i="5"/>
  <c r="N834" i="5"/>
  <c r="O834" i="5"/>
  <c r="S834" i="5"/>
  <c r="Q833" i="5"/>
  <c r="R833" i="5"/>
  <c r="O833" i="5"/>
  <c r="N833" i="5"/>
  <c r="S833" i="5"/>
  <c r="R832" i="5"/>
  <c r="Q832" i="5"/>
  <c r="O832" i="5"/>
  <c r="N832" i="5"/>
  <c r="S832" i="5"/>
  <c r="R831" i="5"/>
  <c r="Q831" i="5"/>
  <c r="S831" i="5"/>
  <c r="O831" i="5"/>
  <c r="N831" i="5"/>
  <c r="R830" i="5"/>
  <c r="Q830" i="5"/>
  <c r="N830" i="5"/>
  <c r="S830" i="5"/>
  <c r="O830" i="5"/>
  <c r="Q829" i="5"/>
  <c r="R829" i="5"/>
  <c r="O829" i="5"/>
  <c r="N829" i="5"/>
  <c r="S829" i="5"/>
  <c r="R828" i="5"/>
  <c r="Q828" i="5"/>
  <c r="S828" i="5"/>
  <c r="O828" i="5"/>
  <c r="N828" i="5"/>
  <c r="Q827" i="5"/>
  <c r="R827" i="5"/>
  <c r="O827" i="5"/>
  <c r="S827" i="5"/>
  <c r="N827" i="5"/>
  <c r="R826" i="5"/>
  <c r="Q826" i="5"/>
  <c r="S826" i="5"/>
  <c r="O826" i="5"/>
  <c r="N826" i="5"/>
  <c r="S825" i="5"/>
  <c r="O825" i="5"/>
  <c r="N825" i="5"/>
  <c r="N824" i="5"/>
  <c r="O824" i="5"/>
  <c r="S824" i="5"/>
  <c r="S823" i="5"/>
  <c r="O823" i="5"/>
  <c r="N823" i="5"/>
  <c r="S822" i="5"/>
  <c r="O822" i="5"/>
  <c r="N822" i="5"/>
  <c r="Q821" i="5"/>
  <c r="R821" i="5"/>
  <c r="N821" i="5"/>
  <c r="O821" i="5"/>
  <c r="S821" i="5"/>
  <c r="S820" i="5"/>
  <c r="O820" i="5"/>
  <c r="N820" i="5"/>
  <c r="R819" i="5"/>
  <c r="Q819" i="5"/>
  <c r="N819" i="5"/>
  <c r="O819" i="5"/>
  <c r="S819" i="5"/>
  <c r="R818" i="5"/>
  <c r="Q818" i="5"/>
  <c r="O818" i="5"/>
  <c r="S818" i="5"/>
  <c r="N818" i="5"/>
  <c r="R817" i="5"/>
  <c r="Q817" i="5"/>
  <c r="O817" i="5"/>
  <c r="N817" i="5"/>
  <c r="S817" i="5"/>
  <c r="R816" i="5"/>
  <c r="Q816" i="5"/>
  <c r="S816" i="5"/>
  <c r="O816" i="5"/>
  <c r="N816" i="5"/>
  <c r="Q815" i="5"/>
  <c r="R815" i="5"/>
  <c r="S815" i="5"/>
  <c r="N815" i="5"/>
  <c r="O815" i="5"/>
  <c r="R814" i="5"/>
  <c r="Q814" i="5"/>
  <c r="S814" i="5"/>
  <c r="N814" i="5"/>
  <c r="O814" i="5"/>
  <c r="S813" i="5"/>
  <c r="O813" i="5"/>
  <c r="R812" i="5"/>
  <c r="Q812" i="5"/>
  <c r="O812" i="5"/>
  <c r="N812" i="5"/>
  <c r="S812" i="5"/>
  <c r="R811" i="5"/>
  <c r="Q811" i="5"/>
  <c r="S811" i="5"/>
  <c r="N811" i="5"/>
  <c r="O811" i="5"/>
  <c r="Q810" i="5"/>
  <c r="R810" i="5"/>
  <c r="S810" i="5"/>
  <c r="O810" i="5"/>
  <c r="N810" i="5"/>
  <c r="Q809" i="5"/>
  <c r="R809" i="5"/>
  <c r="O809" i="5"/>
  <c r="N809" i="5"/>
  <c r="S809" i="5"/>
  <c r="R808" i="5"/>
  <c r="Q808" i="5"/>
  <c r="S808" i="5"/>
  <c r="O808" i="5"/>
  <c r="N808" i="5"/>
  <c r="S807" i="5"/>
  <c r="O807" i="5"/>
  <c r="R806" i="5"/>
  <c r="Q806" i="5"/>
  <c r="O806" i="5"/>
  <c r="S806" i="5"/>
  <c r="N806" i="5"/>
  <c r="R805" i="5"/>
  <c r="Q805" i="5"/>
  <c r="S805" i="5"/>
  <c r="O805" i="5"/>
  <c r="N805" i="5"/>
  <c r="R804" i="5"/>
  <c r="Q804" i="5"/>
  <c r="S804" i="5"/>
  <c r="O804" i="5"/>
  <c r="N804" i="5"/>
  <c r="O803" i="5"/>
  <c r="S803" i="5"/>
  <c r="R802" i="5"/>
  <c r="Q802" i="5"/>
  <c r="S802" i="5"/>
  <c r="O802" i="5"/>
  <c r="N802" i="5"/>
  <c r="R801" i="5"/>
  <c r="Q801" i="5"/>
  <c r="O801" i="5"/>
  <c r="N801" i="5"/>
  <c r="S801" i="5"/>
  <c r="S800" i="5"/>
  <c r="O800" i="5"/>
  <c r="N800" i="5"/>
  <c r="S799" i="5"/>
  <c r="O799" i="5"/>
  <c r="N799" i="5"/>
  <c r="N798" i="5"/>
  <c r="S798" i="5"/>
  <c r="O798" i="5"/>
  <c r="R797" i="5"/>
  <c r="Q797" i="5"/>
  <c r="O797" i="5"/>
  <c r="N797" i="5"/>
  <c r="S797" i="5"/>
  <c r="R796" i="5"/>
  <c r="Q796" i="5"/>
  <c r="S796" i="5"/>
  <c r="O796" i="5"/>
  <c r="N796" i="5"/>
  <c r="O795" i="5"/>
  <c r="S795" i="5"/>
  <c r="R794" i="5"/>
  <c r="Q794" i="5"/>
  <c r="S794" i="5"/>
  <c r="O794" i="5"/>
  <c r="N794" i="5"/>
  <c r="R793" i="5"/>
  <c r="Q793" i="5"/>
  <c r="S793" i="5"/>
  <c r="O793" i="5"/>
  <c r="S792" i="5"/>
  <c r="O792" i="5"/>
  <c r="R791" i="5"/>
  <c r="Q791" i="5"/>
  <c r="S791" i="5"/>
  <c r="O791" i="5"/>
  <c r="N791" i="5"/>
  <c r="R790" i="5"/>
  <c r="Q790" i="5"/>
  <c r="O790" i="5"/>
  <c r="N790" i="5"/>
  <c r="S790" i="5"/>
  <c r="Q789" i="5"/>
  <c r="R789" i="5"/>
  <c r="O789" i="5"/>
  <c r="N789" i="5"/>
  <c r="S789" i="5"/>
  <c r="R788" i="5"/>
  <c r="Q788" i="5"/>
  <c r="S788" i="5"/>
  <c r="O788" i="5"/>
  <c r="N788" i="5"/>
  <c r="R787" i="5"/>
  <c r="Q787" i="5"/>
  <c r="O787" i="5"/>
  <c r="N787" i="5"/>
  <c r="S787" i="5"/>
  <c r="S786" i="5"/>
  <c r="O786" i="5"/>
  <c r="R785" i="5"/>
  <c r="Q785" i="5"/>
  <c r="S785" i="5"/>
  <c r="O785" i="5"/>
  <c r="N785" i="5"/>
  <c r="R784" i="5"/>
  <c r="Q784" i="5"/>
  <c r="S784" i="5"/>
  <c r="O784" i="5"/>
  <c r="N784" i="5"/>
  <c r="R783" i="5"/>
  <c r="Q783" i="5"/>
  <c r="S783" i="5"/>
  <c r="N783" i="5"/>
  <c r="O783" i="5"/>
  <c r="N782" i="5"/>
  <c r="O782" i="5"/>
  <c r="S782" i="5"/>
  <c r="Q781" i="5"/>
  <c r="R781" i="5"/>
  <c r="N781" i="5"/>
  <c r="O781" i="5"/>
  <c r="S781" i="5"/>
  <c r="R780" i="5"/>
  <c r="Q780" i="5"/>
  <c r="O780" i="5"/>
  <c r="S780" i="5"/>
  <c r="N780" i="5"/>
  <c r="S779" i="5"/>
  <c r="O779" i="5"/>
  <c r="N779" i="5"/>
  <c r="R778" i="5"/>
  <c r="Q778" i="5"/>
  <c r="S778" i="5"/>
  <c r="O778" i="5"/>
  <c r="N778" i="5"/>
  <c r="S777" i="5"/>
  <c r="O777" i="5"/>
  <c r="N777" i="5"/>
  <c r="S776" i="5"/>
  <c r="O776" i="5"/>
  <c r="N776" i="5"/>
  <c r="N775" i="5"/>
  <c r="O775" i="5"/>
  <c r="S775" i="5"/>
  <c r="R774" i="5"/>
  <c r="Q774" i="5"/>
  <c r="S774" i="5"/>
  <c r="O774" i="5"/>
  <c r="N774" i="5"/>
  <c r="R773" i="5"/>
  <c r="Q773" i="5"/>
  <c r="S773" i="5"/>
  <c r="O773" i="5"/>
  <c r="N773" i="5"/>
  <c r="R772" i="5"/>
  <c r="Q772" i="5"/>
  <c r="S772" i="5"/>
  <c r="O772" i="5"/>
  <c r="N772" i="5"/>
  <c r="R771" i="5"/>
  <c r="Q771" i="5"/>
  <c r="S771" i="5"/>
  <c r="O771" i="5"/>
  <c r="N771" i="5"/>
  <c r="R770" i="5"/>
  <c r="Q770" i="5"/>
  <c r="S770" i="5"/>
  <c r="O770" i="5"/>
  <c r="N770" i="5"/>
  <c r="R769" i="5"/>
  <c r="Q769" i="5"/>
  <c r="S769" i="5"/>
  <c r="O769" i="5"/>
  <c r="N769" i="5"/>
  <c r="R768" i="5"/>
  <c r="Q768" i="5"/>
  <c r="S768" i="5"/>
  <c r="O768" i="5"/>
  <c r="N768" i="5"/>
  <c r="R767" i="5"/>
  <c r="Q767" i="5"/>
  <c r="S767" i="5"/>
  <c r="O767" i="5"/>
  <c r="N767" i="5"/>
  <c r="R766" i="5"/>
  <c r="Q766" i="5"/>
  <c r="N766" i="5"/>
  <c r="O766" i="5"/>
  <c r="S766" i="5"/>
  <c r="O765" i="5"/>
  <c r="N765" i="5"/>
  <c r="S765" i="5"/>
  <c r="R764" i="5"/>
  <c r="Q764" i="5"/>
  <c r="S764" i="5"/>
  <c r="O764" i="5"/>
  <c r="N764" i="5"/>
  <c r="S763" i="5"/>
  <c r="O763" i="5"/>
  <c r="N763" i="5"/>
  <c r="S762" i="5"/>
  <c r="O762" i="5"/>
  <c r="S761" i="5"/>
  <c r="O761" i="5"/>
  <c r="N761" i="5"/>
  <c r="O760" i="5"/>
  <c r="S760" i="5"/>
  <c r="N760" i="5"/>
  <c r="R759" i="5"/>
  <c r="Q759" i="5"/>
  <c r="O759" i="5"/>
  <c r="N759" i="5"/>
  <c r="S759" i="5"/>
  <c r="R758" i="5"/>
  <c r="Q758" i="5"/>
  <c r="S758" i="5"/>
  <c r="O758" i="5"/>
  <c r="N758" i="5"/>
  <c r="R757" i="5"/>
  <c r="Q757" i="5"/>
  <c r="S757" i="5"/>
  <c r="O757" i="5"/>
  <c r="N757" i="5"/>
  <c r="S756" i="5"/>
  <c r="O756" i="5"/>
  <c r="N756" i="5"/>
  <c r="R755" i="5"/>
  <c r="Q755" i="5"/>
  <c r="S755" i="5"/>
  <c r="O755" i="5"/>
  <c r="N755" i="5"/>
  <c r="Q754" i="5"/>
  <c r="R754" i="5"/>
  <c r="O754" i="5"/>
  <c r="N754" i="5"/>
  <c r="S754" i="5"/>
  <c r="R753" i="5"/>
  <c r="Q753" i="5"/>
  <c r="S753" i="5"/>
  <c r="O753" i="5"/>
  <c r="N753" i="5"/>
  <c r="R752" i="5"/>
  <c r="Q752" i="5"/>
  <c r="S752" i="5"/>
  <c r="O752" i="5"/>
  <c r="N752" i="5"/>
  <c r="R751" i="5"/>
  <c r="Q751" i="5"/>
  <c r="S751" i="5"/>
  <c r="O751" i="5"/>
  <c r="N751" i="5"/>
  <c r="R750" i="5"/>
  <c r="Q750" i="5"/>
  <c r="N750" i="5"/>
  <c r="O750" i="5"/>
  <c r="S750" i="5"/>
  <c r="R749" i="5"/>
  <c r="Q749" i="5"/>
  <c r="S749" i="5"/>
  <c r="N749" i="5"/>
  <c r="O749" i="5"/>
  <c r="R748" i="5"/>
  <c r="Q748" i="5"/>
  <c r="S748" i="5"/>
  <c r="O748" i="5"/>
  <c r="N748" i="5"/>
  <c r="S747" i="5"/>
  <c r="O747" i="5"/>
  <c r="N747" i="5"/>
  <c r="S746" i="5"/>
  <c r="O746" i="5"/>
  <c r="N746" i="5"/>
  <c r="S745" i="5"/>
  <c r="O745" i="5"/>
  <c r="N745" i="5"/>
  <c r="N744" i="5"/>
  <c r="O744" i="5"/>
  <c r="S744" i="5"/>
  <c r="R743" i="5"/>
  <c r="Q743" i="5"/>
  <c r="S743" i="5"/>
  <c r="O743" i="5"/>
  <c r="N743" i="5"/>
  <c r="R742" i="5"/>
  <c r="Q742" i="5"/>
  <c r="S742" i="5"/>
  <c r="O742" i="5"/>
  <c r="N742" i="5"/>
  <c r="R741" i="5"/>
  <c r="Q741" i="5"/>
  <c r="S741" i="5"/>
  <c r="O741" i="5"/>
  <c r="N741" i="5"/>
  <c r="R740" i="5"/>
  <c r="Q740" i="5"/>
  <c r="S740" i="5"/>
  <c r="O740" i="5"/>
  <c r="N740" i="5"/>
  <c r="R739" i="5"/>
  <c r="Q739" i="5"/>
  <c r="S739" i="5"/>
  <c r="O739" i="5"/>
  <c r="N739" i="5"/>
  <c r="R738" i="5"/>
  <c r="Q738" i="5"/>
  <c r="S738" i="5"/>
  <c r="O738" i="5"/>
  <c r="N738" i="5"/>
  <c r="Q737" i="5"/>
  <c r="R737" i="5"/>
  <c r="O737" i="5"/>
  <c r="N737" i="5"/>
  <c r="S737" i="5"/>
  <c r="Q736" i="5"/>
  <c r="R736" i="5"/>
  <c r="S736" i="5"/>
  <c r="O736" i="5"/>
  <c r="N736" i="5"/>
  <c r="S735" i="5"/>
  <c r="O735" i="5"/>
  <c r="R734" i="5"/>
  <c r="Q734" i="5"/>
  <c r="S734" i="5"/>
  <c r="O734" i="5"/>
  <c r="N734" i="5"/>
  <c r="R733" i="5"/>
  <c r="Q733" i="5"/>
  <c r="N733" i="5"/>
  <c r="O733" i="5"/>
  <c r="S733" i="5"/>
  <c r="R732" i="5"/>
  <c r="Q732" i="5"/>
  <c r="S732" i="5"/>
  <c r="O732" i="5"/>
  <c r="N732" i="5"/>
  <c r="R731" i="5"/>
  <c r="Q731" i="5"/>
  <c r="S731" i="5"/>
  <c r="O731" i="5"/>
  <c r="N731" i="5"/>
  <c r="R730" i="5"/>
  <c r="Q730" i="5"/>
  <c r="S730" i="5"/>
  <c r="O730" i="5"/>
  <c r="N730" i="5"/>
  <c r="R729" i="5"/>
  <c r="Q729" i="5"/>
  <c r="S729" i="5"/>
  <c r="O729" i="5"/>
  <c r="N729" i="5"/>
  <c r="Q728" i="5"/>
  <c r="R728" i="5"/>
  <c r="O728" i="5"/>
  <c r="N728" i="5"/>
  <c r="S728" i="5"/>
  <c r="S727" i="5"/>
  <c r="O727" i="5"/>
  <c r="N727" i="5"/>
  <c r="S726" i="5"/>
  <c r="O726" i="5"/>
  <c r="N726" i="5"/>
  <c r="N725" i="5"/>
  <c r="S725" i="5"/>
  <c r="O725" i="5"/>
  <c r="N724" i="5"/>
  <c r="S724" i="5"/>
  <c r="O724" i="5"/>
  <c r="R723" i="5"/>
  <c r="Q723" i="5"/>
  <c r="S723" i="5"/>
  <c r="O723" i="5"/>
  <c r="N723" i="5"/>
  <c r="R722" i="5"/>
  <c r="Q722" i="5"/>
  <c r="S722" i="5"/>
  <c r="O722" i="5"/>
  <c r="N722" i="5"/>
  <c r="R721" i="5"/>
  <c r="Q721" i="5"/>
  <c r="N721" i="5"/>
  <c r="O721" i="5"/>
  <c r="S721" i="5"/>
  <c r="R720" i="5"/>
  <c r="Q720" i="5"/>
  <c r="S720" i="5"/>
  <c r="O720" i="5"/>
  <c r="N720" i="5"/>
  <c r="R719" i="5"/>
  <c r="Q719" i="5"/>
  <c r="S719" i="5"/>
  <c r="O719" i="5"/>
  <c r="N719" i="5"/>
  <c r="R718" i="5"/>
  <c r="Q718" i="5"/>
  <c r="S718" i="5"/>
  <c r="O718" i="5"/>
  <c r="N718" i="5"/>
  <c r="Q717" i="5"/>
  <c r="R717" i="5"/>
  <c r="S717" i="5"/>
  <c r="O717" i="5"/>
  <c r="N717" i="5"/>
  <c r="R716" i="5"/>
  <c r="Q716" i="5"/>
  <c r="S716" i="5"/>
  <c r="O716" i="5"/>
  <c r="N716" i="5"/>
  <c r="R715" i="5"/>
  <c r="Q715" i="5"/>
  <c r="S715" i="5"/>
  <c r="O715" i="5"/>
  <c r="N715" i="5"/>
  <c r="R714" i="5"/>
  <c r="Q714" i="5"/>
  <c r="N714" i="5"/>
  <c r="S714" i="5"/>
  <c r="O714" i="5"/>
  <c r="R713" i="5"/>
  <c r="Q713" i="5"/>
  <c r="O713" i="5"/>
  <c r="S713" i="5"/>
  <c r="N713" i="5"/>
  <c r="R712" i="5"/>
  <c r="Q712" i="5"/>
  <c r="S712" i="5"/>
  <c r="O712" i="5"/>
  <c r="N712" i="5"/>
  <c r="R711" i="5"/>
  <c r="Q711" i="5"/>
  <c r="N711" i="5"/>
  <c r="S711" i="5"/>
  <c r="O711" i="5"/>
  <c r="R710" i="5"/>
  <c r="Q710" i="5"/>
  <c r="N710" i="5"/>
  <c r="S710" i="5"/>
  <c r="O710" i="5"/>
  <c r="R709" i="5"/>
  <c r="Q709" i="5"/>
  <c r="S709" i="5"/>
  <c r="O709" i="5"/>
  <c r="N709" i="5"/>
  <c r="Q708" i="5"/>
  <c r="R708" i="5"/>
  <c r="N708" i="5"/>
  <c r="S708" i="5"/>
  <c r="O708" i="5"/>
  <c r="Q707" i="5"/>
  <c r="R707" i="5"/>
  <c r="O707" i="5"/>
  <c r="N707" i="5"/>
  <c r="S707" i="5"/>
  <c r="R706" i="5"/>
  <c r="Q706" i="5"/>
  <c r="S706" i="5"/>
  <c r="O706" i="5"/>
  <c r="N706" i="5"/>
  <c r="R705" i="5"/>
  <c r="Q705" i="5"/>
  <c r="S705" i="5"/>
  <c r="O705" i="5"/>
  <c r="N705" i="5"/>
  <c r="R704" i="5"/>
  <c r="Q704" i="5"/>
  <c r="O704" i="5"/>
  <c r="S704" i="5"/>
  <c r="N704" i="5"/>
  <c r="R703" i="5"/>
  <c r="Q703" i="5"/>
  <c r="S703" i="5"/>
  <c r="O703" i="5"/>
  <c r="N703" i="5"/>
  <c r="R702" i="5"/>
  <c r="Q702" i="5"/>
  <c r="S702" i="5"/>
  <c r="O702" i="5"/>
  <c r="N702" i="5"/>
  <c r="S701" i="5"/>
  <c r="O701" i="5"/>
  <c r="R700" i="5"/>
  <c r="Q700" i="5"/>
  <c r="O700" i="5"/>
  <c r="S700" i="5"/>
  <c r="N700" i="5"/>
  <c r="R699" i="5"/>
  <c r="Q699" i="5"/>
  <c r="S699" i="5"/>
  <c r="O699" i="5"/>
  <c r="N699" i="5"/>
  <c r="S698" i="5"/>
  <c r="O698" i="5"/>
  <c r="R697" i="5"/>
  <c r="Q697" i="5"/>
  <c r="S697" i="5"/>
  <c r="O697" i="5"/>
  <c r="N697" i="5"/>
  <c r="Q696" i="5"/>
  <c r="R696" i="5"/>
  <c r="N696" i="5"/>
  <c r="S696" i="5"/>
  <c r="O696" i="5"/>
  <c r="R695" i="5"/>
  <c r="Q695" i="5"/>
  <c r="S695" i="5"/>
  <c r="O695" i="5"/>
  <c r="N695" i="5"/>
  <c r="R694" i="5"/>
  <c r="Q694" i="5"/>
  <c r="S694" i="5"/>
  <c r="O694" i="5"/>
  <c r="N694" i="5"/>
  <c r="S693" i="5"/>
  <c r="O693" i="5"/>
  <c r="N692" i="5"/>
  <c r="O692" i="5"/>
  <c r="S692" i="5"/>
  <c r="R691" i="5"/>
  <c r="Q691" i="5"/>
  <c r="S691" i="5"/>
  <c r="O691" i="5"/>
  <c r="N691" i="5"/>
  <c r="S690" i="5"/>
  <c r="O690" i="5"/>
  <c r="N690" i="5"/>
  <c r="S689" i="5"/>
  <c r="O689" i="5"/>
  <c r="N689" i="5"/>
  <c r="N688" i="5"/>
  <c r="O688" i="5"/>
  <c r="S688" i="5"/>
  <c r="S687" i="5"/>
  <c r="N687" i="5"/>
  <c r="O687" i="5"/>
  <c r="R686" i="5"/>
  <c r="Q686" i="5"/>
  <c r="S686" i="5"/>
  <c r="O686" i="5"/>
  <c r="N686" i="5"/>
  <c r="R685" i="5"/>
  <c r="Q685" i="5"/>
  <c r="S685" i="5"/>
  <c r="O685" i="5"/>
  <c r="N685" i="5"/>
  <c r="R684" i="5"/>
  <c r="Q684" i="5"/>
  <c r="N684" i="5"/>
  <c r="O684" i="5"/>
  <c r="S684" i="5"/>
  <c r="S682" i="5"/>
  <c r="O682" i="5"/>
  <c r="R681" i="5"/>
  <c r="Q681" i="5"/>
  <c r="S681" i="5"/>
  <c r="O681" i="5"/>
  <c r="N681" i="5"/>
  <c r="R680" i="5"/>
  <c r="Q680" i="5"/>
  <c r="S680" i="5"/>
  <c r="O680" i="5"/>
  <c r="N680" i="5"/>
  <c r="S679" i="5"/>
  <c r="O679" i="5"/>
  <c r="N679" i="5"/>
  <c r="R678" i="5"/>
  <c r="Q678" i="5"/>
  <c r="S678" i="5"/>
  <c r="O678" i="5"/>
  <c r="N678" i="5"/>
  <c r="R677" i="5"/>
  <c r="Q677" i="5"/>
  <c r="S677" i="5"/>
  <c r="O677" i="5"/>
  <c r="N677" i="5"/>
  <c r="R676" i="5"/>
  <c r="Q676" i="5"/>
  <c r="O676" i="5"/>
  <c r="S676" i="5"/>
  <c r="N676" i="5"/>
  <c r="R675" i="5"/>
  <c r="Q675" i="5"/>
  <c r="S675" i="5"/>
  <c r="O675" i="5"/>
  <c r="N675" i="5"/>
  <c r="S674" i="5"/>
  <c r="O674" i="5"/>
  <c r="N674" i="5"/>
  <c r="R673" i="5"/>
  <c r="Q673" i="5"/>
  <c r="S673" i="5"/>
  <c r="N673" i="5"/>
  <c r="O673" i="5"/>
  <c r="Q672" i="5"/>
  <c r="R672" i="5"/>
  <c r="O672" i="5"/>
  <c r="N672" i="5"/>
  <c r="S672" i="5"/>
  <c r="R671" i="5"/>
  <c r="Q671" i="5"/>
  <c r="S671" i="5"/>
  <c r="O671" i="5"/>
  <c r="N671" i="5"/>
  <c r="R670" i="5"/>
  <c r="Q670" i="5"/>
  <c r="O670" i="5"/>
  <c r="N670" i="5"/>
  <c r="S670" i="5"/>
  <c r="S669" i="5"/>
  <c r="O669" i="5"/>
  <c r="N669" i="5"/>
  <c r="Q668" i="5"/>
  <c r="R668" i="5"/>
  <c r="N668" i="5"/>
  <c r="S668" i="5"/>
  <c r="O668" i="5"/>
  <c r="N667" i="5"/>
  <c r="S667" i="5"/>
  <c r="O667" i="5"/>
  <c r="S666" i="5"/>
  <c r="O666" i="5"/>
  <c r="N666" i="5"/>
  <c r="R665" i="5"/>
  <c r="Q665" i="5"/>
  <c r="S665" i="5"/>
  <c r="O665" i="5"/>
  <c r="N665" i="5"/>
  <c r="R664" i="5"/>
  <c r="Q664" i="5"/>
  <c r="S664" i="5"/>
  <c r="O664" i="5"/>
  <c r="N664" i="5"/>
  <c r="R663" i="5"/>
  <c r="Q663" i="5"/>
  <c r="S663" i="5"/>
  <c r="O663" i="5"/>
  <c r="N663" i="5"/>
  <c r="Q662" i="5"/>
  <c r="R662" i="5"/>
  <c r="N662" i="5"/>
  <c r="O662" i="5"/>
  <c r="S662" i="5"/>
  <c r="S661" i="5"/>
  <c r="O661" i="5"/>
  <c r="Q660" i="5"/>
  <c r="R660" i="5"/>
  <c r="O660" i="5"/>
  <c r="N660" i="5"/>
  <c r="S660" i="5"/>
  <c r="R659" i="5"/>
  <c r="Q659" i="5"/>
  <c r="N659" i="5"/>
  <c r="O659" i="5"/>
  <c r="S659" i="5"/>
  <c r="Q658" i="5"/>
  <c r="R658" i="5"/>
  <c r="N658" i="5"/>
  <c r="O658" i="5"/>
  <c r="S658" i="5"/>
  <c r="R657" i="5"/>
  <c r="Q657" i="5"/>
  <c r="S657" i="5"/>
  <c r="O657" i="5"/>
  <c r="N657" i="5"/>
  <c r="R656" i="5"/>
  <c r="Q656" i="5"/>
  <c r="S656" i="5"/>
  <c r="O656" i="5"/>
  <c r="N656" i="5"/>
  <c r="S655" i="5"/>
  <c r="O655" i="5"/>
  <c r="N655" i="5"/>
  <c r="S654" i="5"/>
  <c r="O654" i="5"/>
  <c r="N654" i="5"/>
  <c r="N653" i="5"/>
  <c r="S653" i="5"/>
  <c r="O653" i="5"/>
  <c r="R652" i="5"/>
  <c r="Q652" i="5"/>
  <c r="O652" i="5"/>
  <c r="S652" i="5"/>
  <c r="Q651" i="5"/>
  <c r="R651" i="5"/>
  <c r="N651" i="5"/>
  <c r="S651" i="5"/>
  <c r="O651" i="5"/>
  <c r="R650" i="5"/>
  <c r="Q650" i="5"/>
  <c r="S650" i="5"/>
  <c r="O650" i="5"/>
  <c r="N650" i="5"/>
  <c r="Q649" i="5"/>
  <c r="R649" i="5"/>
  <c r="S649" i="5"/>
  <c r="O649" i="5"/>
  <c r="N649" i="5"/>
  <c r="S648" i="5"/>
  <c r="O648" i="5"/>
  <c r="N648" i="5"/>
  <c r="R647" i="5"/>
  <c r="Q647" i="5"/>
  <c r="N647" i="5"/>
  <c r="S647" i="5"/>
  <c r="O647" i="5"/>
  <c r="R646" i="5"/>
  <c r="Q646" i="5"/>
  <c r="O646" i="5"/>
  <c r="N646" i="5"/>
  <c r="S646" i="5"/>
  <c r="R645" i="5"/>
  <c r="Q645" i="5"/>
  <c r="O645" i="5"/>
  <c r="N645" i="5"/>
  <c r="S645" i="5"/>
  <c r="R644" i="5"/>
  <c r="Q644" i="5"/>
  <c r="S644" i="5"/>
  <c r="O644" i="5"/>
  <c r="N644" i="5"/>
  <c r="R643" i="5"/>
  <c r="Q643" i="5"/>
  <c r="O643" i="5"/>
  <c r="N643" i="5"/>
  <c r="S643" i="5"/>
  <c r="S642" i="5"/>
  <c r="O642" i="5"/>
  <c r="N642" i="5"/>
  <c r="S641" i="5"/>
  <c r="O641" i="5"/>
  <c r="N641" i="5"/>
  <c r="N640" i="5"/>
  <c r="O640" i="5"/>
  <c r="S640" i="5"/>
  <c r="S639" i="5"/>
  <c r="O639" i="5"/>
  <c r="N639" i="5"/>
  <c r="R638" i="5"/>
  <c r="Q638" i="5"/>
  <c r="S638" i="5"/>
  <c r="O638" i="5"/>
  <c r="N638" i="5"/>
  <c r="R637" i="5"/>
  <c r="Q637" i="5"/>
  <c r="S637" i="5"/>
  <c r="O637" i="5"/>
  <c r="N637" i="5"/>
  <c r="S636" i="5"/>
  <c r="O636" i="5"/>
  <c r="N636" i="5"/>
  <c r="R635" i="5"/>
  <c r="Q635" i="5"/>
  <c r="N635" i="5"/>
  <c r="S635" i="5"/>
  <c r="O635" i="5"/>
  <c r="R634" i="5"/>
  <c r="Q634" i="5"/>
  <c r="S634" i="5"/>
  <c r="O634" i="5"/>
  <c r="N634" i="5"/>
  <c r="R633" i="5"/>
  <c r="Q633" i="5"/>
  <c r="S633" i="5"/>
  <c r="O633" i="5"/>
  <c r="N633" i="5"/>
  <c r="S632" i="5"/>
  <c r="O632" i="5"/>
  <c r="N632" i="5"/>
  <c r="R631" i="5"/>
  <c r="Q631" i="5"/>
  <c r="S631" i="5"/>
  <c r="O631" i="5"/>
  <c r="N631" i="5"/>
  <c r="R630" i="5"/>
  <c r="Q630" i="5"/>
  <c r="O630" i="5"/>
  <c r="S630" i="5"/>
  <c r="N630" i="5"/>
  <c r="O629" i="5"/>
  <c r="N629" i="5"/>
  <c r="S629" i="5"/>
  <c r="R628" i="5"/>
  <c r="Q628" i="5"/>
  <c r="S628" i="5"/>
  <c r="O628" i="5"/>
  <c r="N628" i="5"/>
  <c r="R627" i="5"/>
  <c r="Q627" i="5"/>
  <c r="S627" i="5"/>
  <c r="O627" i="5"/>
  <c r="R626" i="5"/>
  <c r="Q626" i="5"/>
  <c r="S626" i="5"/>
  <c r="O626" i="5"/>
  <c r="N626" i="5"/>
  <c r="R625" i="5"/>
  <c r="Q625" i="5"/>
  <c r="S625" i="5"/>
  <c r="O625" i="5"/>
  <c r="N625" i="5"/>
  <c r="Q624" i="5"/>
  <c r="R624" i="5"/>
  <c r="O624" i="5"/>
  <c r="N624" i="5"/>
  <c r="S624" i="5"/>
  <c r="R623" i="5"/>
  <c r="Q623" i="5"/>
  <c r="S623" i="5"/>
  <c r="O623" i="5"/>
  <c r="N623" i="5"/>
  <c r="R622" i="5"/>
  <c r="Q622" i="5"/>
  <c r="S622" i="5"/>
  <c r="O622" i="5"/>
  <c r="N622" i="5"/>
  <c r="R621" i="5"/>
  <c r="Q621" i="5"/>
  <c r="S621" i="5"/>
  <c r="O621" i="5"/>
  <c r="N621" i="5"/>
  <c r="R620" i="5"/>
  <c r="Q620" i="5"/>
  <c r="S620" i="5"/>
  <c r="O620" i="5"/>
  <c r="N620" i="5"/>
  <c r="R619" i="5"/>
  <c r="Q619" i="5"/>
  <c r="N619" i="5"/>
  <c r="S619" i="5"/>
  <c r="O619" i="5"/>
  <c r="R618" i="5"/>
  <c r="Q618" i="5"/>
  <c r="O618" i="5"/>
  <c r="N618" i="5"/>
  <c r="S618" i="5"/>
  <c r="S617" i="5"/>
  <c r="O617" i="5"/>
  <c r="N617" i="5"/>
  <c r="R616" i="5"/>
  <c r="Q616" i="5"/>
  <c r="S616" i="5"/>
  <c r="O616" i="5"/>
  <c r="N616" i="5"/>
  <c r="R615" i="5"/>
  <c r="Q615" i="5"/>
  <c r="S615" i="5"/>
  <c r="O615" i="5"/>
  <c r="N615" i="5"/>
  <c r="S614" i="5"/>
  <c r="O614" i="5"/>
  <c r="N614" i="5"/>
  <c r="N613" i="5"/>
  <c r="S613" i="5"/>
  <c r="O613" i="5"/>
  <c r="S612" i="5"/>
  <c r="O612" i="5"/>
  <c r="N612" i="5"/>
  <c r="R611" i="5"/>
  <c r="Q611" i="5"/>
  <c r="S611" i="5"/>
  <c r="O611" i="5"/>
  <c r="N611" i="5"/>
  <c r="R610" i="5"/>
  <c r="Q610" i="5"/>
  <c r="S610" i="5"/>
  <c r="O610" i="5"/>
  <c r="N610" i="5"/>
  <c r="S609" i="5"/>
  <c r="O609" i="5"/>
  <c r="N609" i="5"/>
  <c r="N608" i="5"/>
  <c r="O608" i="5"/>
  <c r="S608" i="5"/>
  <c r="S607" i="5"/>
  <c r="N607" i="5"/>
  <c r="O607" i="5"/>
  <c r="R606" i="5"/>
  <c r="Q606" i="5"/>
  <c r="O606" i="5"/>
  <c r="N606" i="5"/>
  <c r="S606" i="5"/>
  <c r="R605" i="5"/>
  <c r="Q605" i="5"/>
  <c r="S605" i="5"/>
  <c r="O605" i="5"/>
  <c r="N605" i="5"/>
  <c r="S604" i="5"/>
  <c r="O604" i="5"/>
  <c r="R603" i="5"/>
  <c r="Q603" i="5"/>
  <c r="S603" i="5"/>
  <c r="O603" i="5"/>
  <c r="N603" i="5"/>
  <c r="Q602" i="5"/>
  <c r="R602" i="5"/>
  <c r="O602" i="5"/>
  <c r="S602" i="5"/>
  <c r="N602" i="5"/>
  <c r="R601" i="5"/>
  <c r="Q601" i="5"/>
  <c r="S601" i="5"/>
  <c r="O601" i="5"/>
  <c r="N601" i="5"/>
  <c r="R600" i="5"/>
  <c r="Q600" i="5"/>
  <c r="S600" i="5"/>
  <c r="O600" i="5"/>
  <c r="N600" i="5"/>
  <c r="S599" i="5"/>
  <c r="O599" i="5"/>
  <c r="R598" i="5"/>
  <c r="Q598" i="5"/>
  <c r="S598" i="5"/>
  <c r="O598" i="5"/>
  <c r="Q597" i="5"/>
  <c r="R597" i="5"/>
  <c r="O597" i="5"/>
  <c r="S597" i="5"/>
  <c r="N597" i="5"/>
  <c r="S596" i="5"/>
  <c r="O596" i="5"/>
  <c r="R595" i="5"/>
  <c r="Q595" i="5"/>
  <c r="S595" i="5"/>
  <c r="O595" i="5"/>
  <c r="N595" i="5"/>
  <c r="R594" i="5"/>
  <c r="Q594" i="5"/>
  <c r="S594" i="5"/>
  <c r="O594" i="5"/>
  <c r="N594" i="5"/>
  <c r="R593" i="5"/>
  <c r="Q593" i="5"/>
  <c r="S593" i="5"/>
  <c r="O593" i="5"/>
  <c r="N593" i="5"/>
  <c r="S592" i="5"/>
  <c r="O592" i="5"/>
  <c r="Q591" i="5"/>
  <c r="R591" i="5"/>
  <c r="O591" i="5"/>
  <c r="N591" i="5"/>
  <c r="S591" i="5"/>
  <c r="S590" i="5"/>
  <c r="O590" i="5"/>
  <c r="R589" i="5"/>
  <c r="Q589" i="5"/>
  <c r="S589" i="5"/>
  <c r="O589" i="5"/>
  <c r="N589" i="5"/>
  <c r="R588" i="5"/>
  <c r="Q588" i="5"/>
  <c r="S588" i="5"/>
  <c r="O588" i="5"/>
  <c r="N588" i="5"/>
  <c r="R587" i="5"/>
  <c r="Q587" i="5"/>
  <c r="O587" i="5"/>
  <c r="S587" i="5"/>
  <c r="N587" i="5"/>
  <c r="S586" i="5"/>
  <c r="O586" i="5"/>
  <c r="S585" i="5"/>
  <c r="O585" i="5"/>
  <c r="S584" i="5"/>
  <c r="O584" i="5"/>
  <c r="S583" i="5"/>
  <c r="O583" i="5"/>
  <c r="S582" i="5"/>
  <c r="O582" i="5"/>
  <c r="R581" i="5"/>
  <c r="Q581" i="5"/>
  <c r="O581" i="5"/>
  <c r="N581" i="5"/>
  <c r="S581" i="5"/>
  <c r="R580" i="5"/>
  <c r="Q580" i="5"/>
  <c r="S580" i="5"/>
  <c r="O580" i="5"/>
  <c r="N580" i="5"/>
  <c r="R579" i="5"/>
  <c r="Q579" i="5"/>
  <c r="S579" i="5"/>
  <c r="N579" i="5"/>
  <c r="O579" i="5"/>
  <c r="S578" i="5"/>
  <c r="O578" i="5"/>
  <c r="O577" i="5"/>
  <c r="S577" i="5"/>
  <c r="R576" i="5"/>
  <c r="Q576" i="5"/>
  <c r="S576" i="5"/>
  <c r="O576" i="5"/>
  <c r="N576" i="5"/>
  <c r="R575" i="5"/>
  <c r="Q575" i="5"/>
  <c r="S575" i="5"/>
  <c r="O575" i="5"/>
  <c r="N575" i="5"/>
  <c r="S574" i="5"/>
  <c r="O574" i="5"/>
  <c r="R573" i="5"/>
  <c r="Q573" i="5"/>
  <c r="S573" i="5"/>
  <c r="O573" i="5"/>
  <c r="N573" i="5"/>
  <c r="R572" i="5"/>
  <c r="Q572" i="5"/>
  <c r="S572" i="5"/>
  <c r="O572" i="5"/>
  <c r="N572" i="5"/>
  <c r="R571" i="5"/>
  <c r="Q571" i="5"/>
  <c r="S571" i="5"/>
  <c r="O571" i="5"/>
  <c r="N571" i="5"/>
  <c r="S570" i="5"/>
  <c r="O570" i="5"/>
  <c r="N570" i="5"/>
  <c r="Q569" i="5"/>
  <c r="R569" i="5"/>
  <c r="N569" i="5"/>
  <c r="S569" i="5"/>
  <c r="O569" i="5"/>
  <c r="Q568" i="5"/>
  <c r="R568" i="5"/>
  <c r="N568" i="5"/>
  <c r="S568" i="5"/>
  <c r="O568" i="5"/>
  <c r="Q567" i="5"/>
  <c r="R567" i="5"/>
  <c r="N567" i="5"/>
  <c r="S567" i="5"/>
  <c r="O567" i="5"/>
  <c r="Q566" i="5"/>
  <c r="R566" i="5"/>
  <c r="N566" i="5"/>
  <c r="S566" i="5"/>
  <c r="O566" i="5"/>
  <c r="N565" i="5"/>
  <c r="S565" i="5"/>
  <c r="O565" i="5"/>
  <c r="N564" i="5"/>
  <c r="S564" i="5"/>
  <c r="O564" i="5"/>
  <c r="O563" i="5"/>
  <c r="S563" i="5"/>
  <c r="N563" i="5"/>
  <c r="O562" i="5"/>
  <c r="N562" i="5"/>
  <c r="S562" i="5"/>
  <c r="R561" i="5"/>
  <c r="Q561" i="5"/>
  <c r="S561" i="5"/>
  <c r="O561" i="5"/>
  <c r="N561" i="5"/>
  <c r="O560" i="5"/>
  <c r="S560" i="5"/>
  <c r="N560" i="5"/>
  <c r="Q559" i="5"/>
  <c r="R559" i="5"/>
  <c r="O559" i="5"/>
  <c r="N559" i="5"/>
  <c r="S559" i="5"/>
  <c r="R558" i="5"/>
  <c r="Q558" i="5"/>
  <c r="S558" i="5"/>
  <c r="O558" i="5"/>
  <c r="N558" i="5"/>
  <c r="R557" i="5"/>
  <c r="Q557" i="5"/>
  <c r="S557" i="5"/>
  <c r="O557" i="5"/>
  <c r="R556" i="5"/>
  <c r="Q556" i="5"/>
  <c r="N556" i="5"/>
  <c r="S556" i="5"/>
  <c r="O556" i="5"/>
  <c r="R555" i="5"/>
  <c r="Q555" i="5"/>
  <c r="S555" i="5"/>
  <c r="O555" i="5"/>
  <c r="N555" i="5"/>
  <c r="R554" i="5"/>
  <c r="Q554" i="5"/>
  <c r="S554" i="5"/>
  <c r="O554" i="5"/>
  <c r="N554" i="5"/>
  <c r="R553" i="5"/>
  <c r="Q553" i="5"/>
  <c r="O553" i="5"/>
  <c r="N553" i="5"/>
  <c r="S553" i="5"/>
  <c r="R552" i="5"/>
  <c r="Q552" i="5"/>
  <c r="N552" i="5"/>
  <c r="S552" i="5"/>
  <c r="O552" i="5"/>
  <c r="R551" i="5"/>
  <c r="Q551" i="5"/>
  <c r="S551" i="5"/>
  <c r="O551" i="5"/>
  <c r="N551" i="5"/>
  <c r="S550" i="5"/>
  <c r="O550" i="5"/>
  <c r="N550" i="5"/>
  <c r="R549" i="5"/>
  <c r="Q549" i="5"/>
  <c r="S549" i="5"/>
  <c r="O549" i="5"/>
  <c r="N549" i="5"/>
  <c r="R548" i="5"/>
  <c r="Q548" i="5"/>
  <c r="S548" i="5"/>
  <c r="O548" i="5"/>
  <c r="N548" i="5"/>
  <c r="S547" i="5"/>
  <c r="O547" i="5"/>
  <c r="N547" i="5"/>
  <c r="S546" i="5"/>
  <c r="O546" i="5"/>
  <c r="N546" i="5"/>
  <c r="S545" i="5"/>
  <c r="O545" i="5"/>
  <c r="N545" i="5"/>
  <c r="Q544" i="5"/>
  <c r="R544" i="5"/>
  <c r="S544" i="5"/>
  <c r="O544" i="5"/>
  <c r="N544" i="5"/>
  <c r="R543" i="5"/>
  <c r="Q543" i="5"/>
  <c r="S543" i="5"/>
  <c r="O543" i="5"/>
  <c r="N543" i="5"/>
  <c r="R542" i="5"/>
  <c r="Q542" i="5"/>
  <c r="S542" i="5"/>
  <c r="O542" i="5"/>
  <c r="N542" i="5"/>
  <c r="R541" i="5"/>
  <c r="Q541" i="5"/>
  <c r="O541" i="5"/>
  <c r="S541" i="5"/>
  <c r="N541" i="5"/>
  <c r="R540" i="5"/>
  <c r="Q540" i="5"/>
  <c r="S540" i="5"/>
  <c r="O540" i="5"/>
  <c r="R539" i="5"/>
  <c r="Q539" i="5"/>
  <c r="S539" i="5"/>
  <c r="O539" i="5"/>
  <c r="N539" i="5"/>
  <c r="R538" i="5"/>
  <c r="Q538" i="5"/>
  <c r="S538" i="5"/>
  <c r="O538" i="5"/>
  <c r="N538" i="5"/>
  <c r="Q537" i="5"/>
  <c r="R537" i="5"/>
  <c r="S537" i="5"/>
  <c r="N537" i="5"/>
  <c r="O537" i="5"/>
  <c r="R536" i="5"/>
  <c r="Q536" i="5"/>
  <c r="S536" i="5"/>
  <c r="O536" i="5"/>
  <c r="N536" i="5"/>
  <c r="R535" i="5"/>
  <c r="Q535" i="5"/>
  <c r="S535" i="5"/>
  <c r="O535" i="5"/>
  <c r="N535" i="5"/>
  <c r="R534" i="5"/>
  <c r="Q534" i="5"/>
  <c r="N534" i="5"/>
  <c r="S534" i="5"/>
  <c r="O534" i="5"/>
  <c r="Q533" i="5"/>
  <c r="R533" i="5"/>
  <c r="S533" i="5"/>
  <c r="O533" i="5"/>
  <c r="N533" i="5"/>
  <c r="R532" i="5"/>
  <c r="Q532" i="5"/>
  <c r="S532" i="5"/>
  <c r="O532" i="5"/>
  <c r="N532" i="5"/>
  <c r="R531" i="5"/>
  <c r="Q531" i="5"/>
  <c r="S531" i="5"/>
  <c r="O531" i="5"/>
  <c r="N531" i="5"/>
  <c r="R530" i="5"/>
  <c r="Q530" i="5"/>
  <c r="S530" i="5"/>
  <c r="O530" i="5"/>
  <c r="N530" i="5"/>
  <c r="S529" i="5"/>
  <c r="N529" i="5"/>
  <c r="O529" i="5"/>
  <c r="S528" i="5"/>
  <c r="O528" i="5"/>
  <c r="N528" i="5"/>
  <c r="S527" i="5"/>
  <c r="O527" i="5"/>
  <c r="N527" i="5"/>
  <c r="R526" i="5"/>
  <c r="Q526" i="5"/>
  <c r="O526" i="5"/>
  <c r="S526" i="5"/>
  <c r="N526" i="5"/>
  <c r="R525" i="5"/>
  <c r="Q525" i="5"/>
  <c r="S525" i="5"/>
  <c r="O525" i="5"/>
  <c r="N525" i="5"/>
  <c r="R524" i="5"/>
  <c r="Q524" i="5"/>
  <c r="S524" i="5"/>
  <c r="O524" i="5"/>
  <c r="R523" i="5"/>
  <c r="Q523" i="5"/>
  <c r="O523" i="5"/>
  <c r="S523" i="5"/>
  <c r="R522" i="5"/>
  <c r="Q522" i="5"/>
  <c r="N522" i="5"/>
  <c r="S522" i="5"/>
  <c r="O522" i="5"/>
  <c r="R521" i="5"/>
  <c r="Q521" i="5"/>
  <c r="O521" i="5"/>
  <c r="N521" i="5"/>
  <c r="S521" i="5"/>
  <c r="S520" i="5"/>
  <c r="O520" i="5"/>
  <c r="N520" i="5"/>
  <c r="R519" i="5"/>
  <c r="Q519" i="5"/>
  <c r="S519" i="5"/>
  <c r="O519" i="5"/>
  <c r="N519" i="5"/>
  <c r="R518" i="5"/>
  <c r="Q518" i="5"/>
  <c r="S518" i="5"/>
  <c r="O518" i="5"/>
  <c r="N518" i="5"/>
  <c r="R517" i="5"/>
  <c r="Q517" i="5"/>
  <c r="S517" i="5"/>
  <c r="O517" i="5"/>
  <c r="N517" i="5"/>
  <c r="R516" i="5"/>
  <c r="Q516" i="5"/>
  <c r="S516" i="5"/>
  <c r="O516" i="5"/>
  <c r="N516" i="5"/>
  <c r="R515" i="5"/>
  <c r="Q515" i="5"/>
  <c r="N515" i="5"/>
  <c r="S515" i="5"/>
  <c r="O515" i="5"/>
  <c r="R514" i="5"/>
  <c r="Q514" i="5"/>
  <c r="O514" i="5"/>
  <c r="S514" i="5"/>
  <c r="N514" i="5"/>
  <c r="R513" i="5"/>
  <c r="Q513" i="5"/>
  <c r="S513" i="5"/>
  <c r="O513" i="5"/>
  <c r="R512" i="5"/>
  <c r="Q512" i="5"/>
  <c r="S512" i="5"/>
  <c r="O512" i="5"/>
  <c r="N512" i="5"/>
  <c r="S511" i="5"/>
  <c r="O511" i="5"/>
  <c r="N511" i="5"/>
  <c r="S510" i="5"/>
  <c r="O510" i="5"/>
  <c r="N510" i="5"/>
  <c r="S509" i="5"/>
  <c r="O509" i="5"/>
  <c r="N509" i="5"/>
  <c r="R508" i="5"/>
  <c r="Q508" i="5"/>
  <c r="S508" i="5"/>
  <c r="O508" i="5"/>
  <c r="N508" i="5"/>
  <c r="R507" i="5"/>
  <c r="Q507" i="5"/>
  <c r="N507" i="5"/>
  <c r="S507" i="5"/>
  <c r="O507" i="5"/>
  <c r="S506" i="5"/>
  <c r="O506" i="5"/>
  <c r="S505" i="5"/>
  <c r="O505" i="5"/>
  <c r="O504" i="5"/>
  <c r="S504" i="5"/>
  <c r="S503" i="5"/>
  <c r="O503" i="5"/>
  <c r="S502" i="5"/>
  <c r="O502" i="5"/>
  <c r="R501" i="5"/>
  <c r="Q501" i="5"/>
  <c r="S501" i="5"/>
  <c r="O501" i="5"/>
  <c r="N501" i="5"/>
  <c r="Q500" i="5"/>
  <c r="R500" i="5"/>
  <c r="S500" i="5"/>
  <c r="O500" i="5"/>
  <c r="N500" i="5"/>
  <c r="S499" i="5"/>
  <c r="O499" i="5"/>
  <c r="R498" i="5"/>
  <c r="Q498" i="5"/>
  <c r="S498" i="5"/>
  <c r="O498" i="5"/>
  <c r="N498" i="5"/>
  <c r="Q497" i="5"/>
  <c r="R497" i="5"/>
  <c r="S497" i="5"/>
  <c r="O497" i="5"/>
  <c r="N497" i="5"/>
  <c r="R496" i="5"/>
  <c r="Q496" i="5"/>
  <c r="S496" i="5"/>
  <c r="O496" i="5"/>
  <c r="N496" i="5"/>
  <c r="R495" i="5"/>
  <c r="Q495" i="5"/>
  <c r="S495" i="5"/>
  <c r="O495" i="5"/>
  <c r="N495" i="5"/>
  <c r="R494" i="5"/>
  <c r="Q494" i="5"/>
  <c r="S494" i="5"/>
  <c r="O494" i="5"/>
  <c r="N494" i="5"/>
  <c r="R493" i="5"/>
  <c r="Q493" i="5"/>
  <c r="O493" i="5"/>
  <c r="S493" i="5"/>
  <c r="Q492" i="5"/>
  <c r="R492" i="5"/>
  <c r="S492" i="5"/>
  <c r="O492" i="5"/>
  <c r="Q491" i="5"/>
  <c r="R491" i="5"/>
  <c r="N491" i="5"/>
  <c r="S491" i="5"/>
  <c r="O491" i="5"/>
  <c r="Q490" i="5"/>
  <c r="R490" i="5"/>
  <c r="N490" i="5"/>
  <c r="S490" i="5"/>
  <c r="O490" i="5"/>
  <c r="Q489" i="5"/>
  <c r="R489" i="5"/>
  <c r="N489" i="5"/>
  <c r="S489" i="5"/>
  <c r="O489" i="5"/>
  <c r="Q488" i="5"/>
  <c r="R488" i="5"/>
  <c r="O488" i="5"/>
  <c r="N488" i="5"/>
  <c r="S488" i="5"/>
  <c r="R487" i="5"/>
  <c r="Q487" i="5"/>
  <c r="S487" i="5"/>
  <c r="O487" i="5"/>
  <c r="N487" i="5"/>
  <c r="R486" i="5"/>
  <c r="Q486" i="5"/>
  <c r="S486" i="5"/>
  <c r="O486" i="5"/>
  <c r="N486" i="5"/>
  <c r="S485" i="5"/>
  <c r="O485" i="5"/>
  <c r="N485" i="5"/>
  <c r="S484" i="5"/>
  <c r="O484" i="5"/>
  <c r="N484" i="5"/>
  <c r="N483" i="5"/>
  <c r="S483" i="5"/>
  <c r="O483" i="5"/>
  <c r="Q482" i="5"/>
  <c r="R482" i="5"/>
  <c r="N482" i="5"/>
  <c r="S482" i="5"/>
  <c r="O482" i="5"/>
  <c r="R481" i="5"/>
  <c r="Q481" i="5"/>
  <c r="O481" i="5"/>
  <c r="N481" i="5"/>
  <c r="S481" i="5"/>
  <c r="R480" i="5"/>
  <c r="Q480" i="5"/>
  <c r="S480" i="5"/>
  <c r="O480" i="5"/>
  <c r="N480" i="5"/>
  <c r="S479" i="5"/>
  <c r="O479" i="5"/>
  <c r="R478" i="5"/>
  <c r="Q478" i="5"/>
  <c r="S478" i="5"/>
  <c r="O478" i="5"/>
  <c r="N478" i="5"/>
  <c r="R477" i="5"/>
  <c r="Q477" i="5"/>
  <c r="S477" i="5"/>
  <c r="O477" i="5"/>
  <c r="N477" i="5"/>
  <c r="Q476" i="5"/>
  <c r="R476" i="5"/>
  <c r="O476" i="5"/>
  <c r="S476" i="5"/>
  <c r="N476" i="5"/>
  <c r="Q475" i="5"/>
  <c r="R475" i="5"/>
  <c r="S475" i="5"/>
  <c r="O475" i="5"/>
  <c r="N475" i="5"/>
  <c r="R474" i="5"/>
  <c r="Q474" i="5"/>
  <c r="S474" i="5"/>
  <c r="O474" i="5"/>
  <c r="N474" i="5"/>
  <c r="R473" i="5"/>
  <c r="Q473" i="5"/>
  <c r="S473" i="5"/>
  <c r="O473" i="5"/>
  <c r="N473" i="5"/>
  <c r="R472" i="5"/>
  <c r="Q472" i="5"/>
  <c r="S472" i="5"/>
  <c r="O472" i="5"/>
  <c r="N472" i="5"/>
  <c r="R471" i="5"/>
  <c r="Q471" i="5"/>
  <c r="S471" i="5"/>
  <c r="O471" i="5"/>
  <c r="Q470" i="5"/>
  <c r="R470" i="5"/>
  <c r="R469" i="5"/>
  <c r="Q469" i="5"/>
  <c r="O469" i="5"/>
  <c r="N469" i="5"/>
  <c r="S469" i="5"/>
  <c r="R468" i="5"/>
  <c r="Q468" i="5"/>
  <c r="S468" i="5"/>
  <c r="O468" i="5"/>
  <c r="N468" i="5"/>
  <c r="O467" i="5"/>
  <c r="S467" i="5"/>
  <c r="N467" i="5"/>
  <c r="Q466" i="5"/>
  <c r="R466" i="5"/>
  <c r="S466" i="5"/>
  <c r="O466" i="5"/>
  <c r="N466" i="5"/>
  <c r="R465" i="5"/>
  <c r="Q465" i="5"/>
  <c r="S465" i="5"/>
  <c r="O465" i="5"/>
  <c r="N465" i="5"/>
  <c r="S464" i="5"/>
  <c r="O464" i="5"/>
  <c r="N464" i="5"/>
  <c r="N463" i="5"/>
  <c r="S463" i="5"/>
  <c r="O463" i="5"/>
  <c r="O462" i="5"/>
  <c r="N462" i="5"/>
  <c r="S462" i="5"/>
  <c r="R461" i="5"/>
  <c r="Q461" i="5"/>
  <c r="S461" i="5"/>
  <c r="O461" i="5"/>
  <c r="N461" i="5"/>
  <c r="R460" i="5"/>
  <c r="Q460" i="5"/>
  <c r="S460" i="5"/>
  <c r="O460" i="5"/>
  <c r="R459" i="5"/>
  <c r="Q459" i="5"/>
  <c r="O459" i="5"/>
  <c r="N459" i="5"/>
  <c r="S459" i="5"/>
  <c r="Q458" i="5"/>
  <c r="R458" i="5"/>
  <c r="N458" i="5"/>
  <c r="S458" i="5"/>
  <c r="O458" i="5"/>
  <c r="N457" i="5"/>
  <c r="S457" i="5"/>
  <c r="O457" i="5"/>
  <c r="O456" i="5"/>
  <c r="S456" i="5"/>
  <c r="S455" i="5"/>
  <c r="O455" i="5"/>
  <c r="N455" i="5"/>
  <c r="R454" i="5"/>
  <c r="Q454" i="5"/>
  <c r="S454" i="5"/>
  <c r="O454" i="5"/>
  <c r="N454" i="5"/>
  <c r="S453" i="5"/>
  <c r="O453" i="5"/>
  <c r="R452" i="5"/>
  <c r="Q452" i="5"/>
  <c r="S452" i="5"/>
  <c r="O452" i="5"/>
  <c r="N452" i="5"/>
  <c r="R451" i="5"/>
  <c r="Q451" i="5"/>
  <c r="N451" i="5"/>
  <c r="S451" i="5"/>
  <c r="O451" i="5"/>
  <c r="O450" i="5"/>
  <c r="S450" i="5"/>
  <c r="R449" i="5"/>
  <c r="Q449" i="5"/>
  <c r="N449" i="5"/>
  <c r="S449" i="5"/>
  <c r="O449" i="5"/>
  <c r="S448" i="5"/>
  <c r="O448" i="5"/>
  <c r="Q447" i="5"/>
  <c r="R447" i="5"/>
  <c r="O447" i="5"/>
  <c r="S447" i="5"/>
  <c r="N447" i="5"/>
  <c r="Q446" i="5"/>
  <c r="R446" i="5"/>
  <c r="N446" i="5"/>
  <c r="S446" i="5"/>
  <c r="O446" i="5"/>
  <c r="Q445" i="5"/>
  <c r="R445" i="5"/>
  <c r="S445" i="5"/>
  <c r="O445" i="5"/>
  <c r="N445" i="5"/>
  <c r="R444" i="5"/>
  <c r="Q444" i="5"/>
  <c r="S444" i="5"/>
  <c r="O444" i="5"/>
  <c r="N444" i="5"/>
  <c r="O443" i="5"/>
  <c r="S443" i="5"/>
  <c r="N443" i="5"/>
  <c r="S442" i="5"/>
  <c r="O442" i="5"/>
  <c r="N442" i="5"/>
  <c r="S441" i="5"/>
  <c r="O441" i="5"/>
  <c r="N441" i="5"/>
  <c r="R440" i="5"/>
  <c r="Q440" i="5"/>
  <c r="S440" i="5"/>
  <c r="O440" i="5"/>
  <c r="N440" i="5"/>
  <c r="R439" i="5"/>
  <c r="Q439" i="5"/>
  <c r="S439" i="5"/>
  <c r="O439" i="5"/>
  <c r="N439" i="5"/>
  <c r="Q438" i="5"/>
  <c r="R438" i="5"/>
  <c r="O438" i="5"/>
  <c r="S438" i="5"/>
  <c r="R437" i="5"/>
  <c r="Q437" i="5"/>
  <c r="S437" i="5"/>
  <c r="O437" i="5"/>
  <c r="N437" i="5"/>
  <c r="S436" i="5"/>
  <c r="O436" i="5"/>
  <c r="R435" i="5"/>
  <c r="Q435" i="5"/>
  <c r="S435" i="5"/>
  <c r="O435" i="5"/>
  <c r="Q434" i="5"/>
  <c r="R434" i="5"/>
  <c r="S434" i="5"/>
  <c r="O434" i="5"/>
  <c r="O433" i="5"/>
  <c r="S433" i="5"/>
  <c r="S432" i="5"/>
  <c r="O432" i="5"/>
  <c r="R431" i="5"/>
  <c r="Q431" i="5"/>
  <c r="S431" i="5"/>
  <c r="O431" i="5"/>
  <c r="R430" i="5"/>
  <c r="Q430" i="5"/>
  <c r="S430" i="5"/>
  <c r="O430" i="5"/>
  <c r="R429" i="5"/>
  <c r="Q429" i="5"/>
  <c r="S429" i="5"/>
  <c r="O429" i="5"/>
  <c r="N429" i="5"/>
  <c r="R428" i="5"/>
  <c r="Q428" i="5"/>
  <c r="S428" i="5"/>
  <c r="O428" i="5"/>
  <c r="N428" i="5"/>
  <c r="R427" i="5"/>
  <c r="Q427" i="5"/>
  <c r="O427" i="5"/>
  <c r="N427" i="5"/>
  <c r="S427" i="5"/>
  <c r="R426" i="5"/>
  <c r="Q426" i="5"/>
  <c r="S426" i="5"/>
  <c r="O426" i="5"/>
  <c r="N426" i="5"/>
  <c r="S425" i="5"/>
  <c r="O425" i="5"/>
  <c r="N425" i="5"/>
  <c r="S424" i="5"/>
  <c r="O424" i="5"/>
  <c r="O423" i="5"/>
  <c r="S423" i="5"/>
  <c r="S422" i="5"/>
  <c r="O422" i="5"/>
  <c r="R421" i="5"/>
  <c r="Q421" i="5"/>
  <c r="S421" i="5"/>
  <c r="O421" i="5"/>
  <c r="N421" i="5"/>
  <c r="R420" i="5"/>
  <c r="Q420" i="5"/>
  <c r="S420" i="5"/>
  <c r="O420" i="5"/>
  <c r="N420" i="5"/>
  <c r="R419" i="5"/>
  <c r="Q419" i="5"/>
  <c r="S419" i="5"/>
  <c r="O419" i="5"/>
  <c r="N419" i="5"/>
  <c r="R418" i="5"/>
  <c r="Q418" i="5"/>
  <c r="O418" i="5"/>
  <c r="S418" i="5"/>
  <c r="N418" i="5"/>
  <c r="O417" i="5"/>
  <c r="S417" i="5"/>
  <c r="R416" i="5"/>
  <c r="Q416" i="5"/>
  <c r="S416" i="5"/>
  <c r="O416" i="5"/>
  <c r="R415" i="5"/>
  <c r="Q415" i="5"/>
  <c r="S415" i="5"/>
  <c r="O415" i="5"/>
  <c r="N415" i="5"/>
  <c r="Q414" i="5"/>
  <c r="R414" i="5"/>
  <c r="S414" i="5"/>
  <c r="O414" i="5"/>
  <c r="N414" i="5"/>
  <c r="R413" i="5"/>
  <c r="Q413" i="5"/>
  <c r="S413" i="5"/>
  <c r="O413" i="5"/>
  <c r="N413" i="5"/>
  <c r="R412" i="5"/>
  <c r="Q412" i="5"/>
  <c r="S412" i="5"/>
  <c r="O412" i="5"/>
  <c r="N412" i="5"/>
  <c r="R411" i="5"/>
  <c r="Q411" i="5"/>
  <c r="S411" i="5"/>
  <c r="O411" i="5"/>
  <c r="N411" i="5"/>
  <c r="R410" i="5"/>
  <c r="Q410" i="5"/>
  <c r="S410" i="5"/>
  <c r="O410" i="5"/>
  <c r="N410" i="5"/>
  <c r="R409" i="5"/>
  <c r="Q409" i="5"/>
  <c r="S409" i="5"/>
  <c r="O409" i="5"/>
  <c r="N409" i="5"/>
  <c r="R408" i="5"/>
  <c r="Q408" i="5"/>
  <c r="S408" i="5"/>
  <c r="O408" i="5"/>
  <c r="N408" i="5"/>
  <c r="S407" i="5"/>
  <c r="O407" i="5"/>
  <c r="Q406" i="5"/>
  <c r="R406" i="5"/>
  <c r="N406" i="5"/>
  <c r="S406" i="5"/>
  <c r="O406" i="5"/>
  <c r="R405" i="5"/>
  <c r="Q405" i="5"/>
  <c r="S405" i="5"/>
  <c r="O405" i="5"/>
  <c r="N405" i="5"/>
  <c r="R404" i="5"/>
  <c r="Q404" i="5"/>
  <c r="O404" i="5"/>
  <c r="N404" i="5"/>
  <c r="S404" i="5"/>
  <c r="O403" i="5"/>
  <c r="S403" i="5"/>
  <c r="N403" i="5"/>
  <c r="R402" i="5"/>
  <c r="Q402" i="5"/>
  <c r="O402" i="5"/>
  <c r="N402" i="5"/>
  <c r="S402" i="5"/>
  <c r="R401" i="5"/>
  <c r="Q401" i="5"/>
  <c r="S401" i="5"/>
  <c r="O401" i="5"/>
  <c r="N401" i="5"/>
  <c r="R400" i="5"/>
  <c r="Q400" i="5"/>
  <c r="O400" i="5"/>
  <c r="N400" i="5"/>
  <c r="S400" i="5"/>
  <c r="R399" i="5"/>
  <c r="Q399" i="5"/>
  <c r="S399" i="5"/>
  <c r="N399" i="5"/>
  <c r="O399" i="5"/>
  <c r="S398" i="5"/>
  <c r="O398" i="5"/>
  <c r="N398" i="5"/>
  <c r="S397" i="5"/>
  <c r="O397" i="5"/>
  <c r="N397" i="5"/>
  <c r="S396" i="5"/>
  <c r="O396" i="5"/>
  <c r="N396" i="5"/>
  <c r="Q395" i="5"/>
  <c r="R395" i="5"/>
  <c r="O395" i="5"/>
  <c r="S395" i="5"/>
  <c r="N395" i="5"/>
  <c r="S394" i="5"/>
  <c r="O394" i="5"/>
  <c r="R393" i="5"/>
  <c r="Q393" i="5"/>
  <c r="S393" i="5"/>
  <c r="O393" i="5"/>
  <c r="N393" i="5"/>
  <c r="R392" i="5"/>
  <c r="Q392" i="5"/>
  <c r="S392" i="5"/>
  <c r="N392" i="5"/>
  <c r="O392" i="5"/>
  <c r="R391" i="5"/>
  <c r="Q391" i="5"/>
  <c r="S391" i="5"/>
  <c r="O391" i="5"/>
  <c r="N391" i="5"/>
  <c r="R390" i="5"/>
  <c r="Q390" i="5"/>
  <c r="S390" i="5"/>
  <c r="O390" i="5"/>
  <c r="N390" i="5"/>
  <c r="Q389" i="5"/>
  <c r="R389" i="5"/>
  <c r="O389" i="5"/>
  <c r="S389" i="5"/>
  <c r="R388" i="5"/>
  <c r="Q388" i="5"/>
  <c r="O388" i="5"/>
  <c r="N388" i="5"/>
  <c r="S388" i="5"/>
  <c r="R387" i="5"/>
  <c r="Q387" i="5"/>
  <c r="S387" i="5"/>
  <c r="O387" i="5"/>
  <c r="N387" i="5"/>
  <c r="Q386" i="5"/>
  <c r="R386" i="5"/>
  <c r="S386" i="5"/>
  <c r="N386" i="5"/>
  <c r="O386" i="5"/>
  <c r="R385" i="5"/>
  <c r="Q385" i="5"/>
  <c r="S385" i="5"/>
  <c r="O385" i="5"/>
  <c r="N385" i="5"/>
  <c r="R384" i="5"/>
  <c r="Q384" i="5"/>
  <c r="S384" i="5"/>
  <c r="O384" i="5"/>
  <c r="N384" i="5"/>
  <c r="R383" i="5"/>
  <c r="Q383" i="5"/>
  <c r="N383" i="5"/>
  <c r="O383" i="5"/>
  <c r="S383" i="5"/>
  <c r="R382" i="5"/>
  <c r="Q382" i="5"/>
  <c r="S382" i="5"/>
  <c r="O382" i="5"/>
  <c r="N382" i="5"/>
  <c r="R381" i="5"/>
  <c r="Q381" i="5"/>
  <c r="S381" i="5"/>
  <c r="O381" i="5"/>
  <c r="N381" i="5"/>
  <c r="R380" i="5"/>
  <c r="Q380" i="5"/>
  <c r="S380" i="5"/>
  <c r="O380" i="5"/>
  <c r="N380" i="5"/>
  <c r="Q379" i="5"/>
  <c r="R379" i="5"/>
  <c r="S379" i="5"/>
  <c r="N379" i="5"/>
  <c r="O379" i="5"/>
  <c r="R378" i="5"/>
  <c r="Q378" i="5"/>
  <c r="S378" i="5"/>
  <c r="O378" i="5"/>
  <c r="N378" i="5"/>
  <c r="S377" i="5"/>
  <c r="O377" i="5"/>
  <c r="N377" i="5"/>
  <c r="R376" i="5"/>
  <c r="Q376" i="5"/>
  <c r="S376" i="5"/>
  <c r="O376" i="5"/>
  <c r="N376" i="5"/>
  <c r="R375" i="5"/>
  <c r="Q375" i="5"/>
  <c r="S375" i="5"/>
  <c r="O375" i="5"/>
  <c r="N375" i="5"/>
  <c r="N374" i="5"/>
  <c r="S374" i="5"/>
  <c r="O374" i="5"/>
  <c r="R373" i="5"/>
  <c r="Q373" i="5"/>
  <c r="S373" i="5"/>
  <c r="O373" i="5"/>
  <c r="N373" i="5"/>
  <c r="S372" i="5"/>
  <c r="O372" i="5"/>
  <c r="N372" i="5"/>
  <c r="S371" i="5"/>
  <c r="O371" i="5"/>
  <c r="N371" i="5"/>
  <c r="R370" i="5"/>
  <c r="Q370" i="5"/>
  <c r="S370" i="5"/>
  <c r="O370" i="5"/>
  <c r="N370" i="5"/>
  <c r="R369" i="5"/>
  <c r="Q369" i="5"/>
  <c r="S369" i="5"/>
  <c r="O369" i="5"/>
  <c r="N369" i="5"/>
  <c r="R368" i="5"/>
  <c r="Q368" i="5"/>
  <c r="S368" i="5"/>
  <c r="O368" i="5"/>
  <c r="N368" i="5"/>
  <c r="R367" i="5"/>
  <c r="Q367" i="5"/>
  <c r="S367" i="5"/>
  <c r="O367" i="5"/>
  <c r="N367" i="5"/>
  <c r="R366" i="5"/>
  <c r="Q366" i="5"/>
  <c r="S366" i="5"/>
  <c r="O366" i="5"/>
  <c r="N366" i="5"/>
  <c r="R365" i="5"/>
  <c r="Q365" i="5"/>
  <c r="N365" i="5"/>
  <c r="O365" i="5"/>
  <c r="S365" i="5"/>
  <c r="S364" i="5"/>
  <c r="O364" i="5"/>
  <c r="R363" i="5"/>
  <c r="Q363" i="5"/>
  <c r="S363" i="5"/>
  <c r="O363" i="5"/>
  <c r="R362" i="5"/>
  <c r="Q362" i="5"/>
  <c r="S362" i="5"/>
  <c r="O362" i="5"/>
  <c r="N362" i="5"/>
  <c r="S361" i="5"/>
  <c r="O361" i="5"/>
  <c r="Q360" i="5"/>
  <c r="R360" i="5"/>
  <c r="O360" i="5"/>
  <c r="N360" i="5"/>
  <c r="S360" i="5"/>
  <c r="R359" i="5"/>
  <c r="Q359" i="5"/>
  <c r="O359" i="5"/>
  <c r="N359" i="5"/>
  <c r="S359" i="5"/>
  <c r="R358" i="5"/>
  <c r="Q358" i="5"/>
  <c r="O358" i="5"/>
  <c r="N358" i="5"/>
  <c r="S358" i="5"/>
  <c r="R357" i="5"/>
  <c r="Q357" i="5"/>
  <c r="O357" i="5"/>
  <c r="N357" i="5"/>
  <c r="S357" i="5"/>
  <c r="R356" i="5"/>
  <c r="Q356" i="5"/>
  <c r="S356" i="5"/>
  <c r="O356" i="5"/>
  <c r="N356" i="5"/>
  <c r="R355" i="5"/>
  <c r="Q355" i="5"/>
  <c r="S355" i="5"/>
  <c r="O355" i="5"/>
  <c r="N355" i="5"/>
  <c r="Q354" i="5"/>
  <c r="R354" i="5"/>
  <c r="O354" i="5"/>
  <c r="N354" i="5"/>
  <c r="S354" i="5"/>
  <c r="O353" i="5"/>
  <c r="N353" i="5"/>
  <c r="S353" i="5"/>
  <c r="S352" i="5"/>
  <c r="O352" i="5"/>
  <c r="N352" i="5"/>
  <c r="S351" i="5"/>
  <c r="O351" i="5"/>
  <c r="N351" i="5"/>
  <c r="S350" i="5"/>
  <c r="O350" i="5"/>
  <c r="N350" i="5"/>
  <c r="R349" i="5"/>
  <c r="Q349" i="5"/>
  <c r="S349" i="5"/>
  <c r="O349" i="5"/>
  <c r="N349" i="5"/>
  <c r="R348" i="5"/>
  <c r="Q348" i="5"/>
  <c r="S348" i="5"/>
  <c r="N348" i="5"/>
  <c r="O348" i="5"/>
  <c r="S347" i="5"/>
  <c r="O347" i="5"/>
  <c r="R346" i="5"/>
  <c r="Q346" i="5"/>
  <c r="O346" i="5"/>
  <c r="N346" i="5"/>
  <c r="S346" i="5"/>
  <c r="S345" i="5"/>
  <c r="O345" i="5"/>
  <c r="S344" i="5"/>
  <c r="O344" i="5"/>
  <c r="N344" i="5"/>
  <c r="R343" i="5"/>
  <c r="Q343" i="5"/>
  <c r="S343" i="5"/>
  <c r="O343" i="5"/>
  <c r="N343" i="5"/>
  <c r="R342" i="5"/>
  <c r="Q342" i="5"/>
  <c r="O342" i="5"/>
  <c r="N342" i="5"/>
  <c r="S342" i="5"/>
  <c r="R341" i="5"/>
  <c r="Q341" i="5"/>
  <c r="S341" i="5"/>
  <c r="O341" i="5"/>
  <c r="N341" i="5"/>
  <c r="R340" i="5"/>
  <c r="Q340" i="5"/>
  <c r="S340" i="5"/>
  <c r="O340" i="5"/>
  <c r="N340" i="5"/>
  <c r="R339" i="5"/>
  <c r="Q339" i="5"/>
  <c r="S339" i="5"/>
  <c r="O339" i="5"/>
  <c r="N339" i="5"/>
  <c r="R338" i="5"/>
  <c r="Q338" i="5"/>
  <c r="S338" i="5"/>
  <c r="O338" i="5"/>
  <c r="N338" i="5"/>
  <c r="R337" i="5"/>
  <c r="Q337" i="5"/>
  <c r="S337" i="5"/>
  <c r="O337" i="5"/>
  <c r="N337" i="5"/>
  <c r="S336" i="5"/>
  <c r="O336" i="5"/>
  <c r="S335" i="5"/>
  <c r="O335" i="5"/>
  <c r="N335" i="5"/>
  <c r="S334" i="5"/>
  <c r="O334" i="5"/>
  <c r="N334" i="5"/>
  <c r="N333" i="5"/>
  <c r="O333" i="5"/>
  <c r="S333" i="5"/>
  <c r="R332" i="5"/>
  <c r="Q332" i="5"/>
  <c r="S332" i="5"/>
  <c r="O332" i="5"/>
  <c r="N332" i="5"/>
  <c r="R331" i="5"/>
  <c r="Q331" i="5"/>
  <c r="S331" i="5"/>
  <c r="O331" i="5"/>
  <c r="N331" i="5"/>
  <c r="R330" i="5"/>
  <c r="Q330" i="5"/>
  <c r="S330" i="5"/>
  <c r="O330" i="5"/>
  <c r="N330" i="5"/>
  <c r="R329" i="5"/>
  <c r="Q329" i="5"/>
  <c r="O329" i="5"/>
  <c r="S329" i="5"/>
  <c r="N329" i="5"/>
  <c r="S328" i="5"/>
  <c r="O328" i="5"/>
  <c r="R327" i="5"/>
  <c r="Q327" i="5"/>
  <c r="S327" i="5"/>
  <c r="O327" i="5"/>
  <c r="N327" i="5"/>
  <c r="R326" i="5"/>
  <c r="Q326" i="5"/>
  <c r="S326" i="5"/>
  <c r="O326" i="5"/>
  <c r="N326" i="5"/>
  <c r="R325" i="5"/>
  <c r="Q325" i="5"/>
  <c r="S325" i="5"/>
  <c r="O325" i="5"/>
  <c r="N325" i="5"/>
  <c r="S324" i="5"/>
  <c r="O324" i="5"/>
  <c r="R323" i="5"/>
  <c r="Q323" i="5"/>
  <c r="S323" i="5"/>
  <c r="O323" i="5"/>
  <c r="N323" i="5"/>
  <c r="O322" i="5"/>
  <c r="S322" i="5"/>
  <c r="R321" i="5"/>
  <c r="Q321" i="5"/>
  <c r="S321" i="5"/>
  <c r="O321" i="5"/>
  <c r="N321" i="5"/>
  <c r="R320" i="5"/>
  <c r="Q320" i="5"/>
  <c r="S320" i="5"/>
  <c r="O320" i="5"/>
  <c r="N320" i="5"/>
  <c r="Q319" i="5"/>
  <c r="R319" i="5"/>
  <c r="S319" i="5"/>
  <c r="O319" i="5"/>
  <c r="N319" i="5"/>
  <c r="R318" i="5"/>
  <c r="Q318" i="5"/>
  <c r="S318" i="5"/>
  <c r="O318" i="5"/>
  <c r="N318" i="5"/>
  <c r="R317" i="5"/>
  <c r="Q317" i="5"/>
  <c r="S317" i="5"/>
  <c r="O317" i="5"/>
  <c r="N317" i="5"/>
  <c r="O316" i="5"/>
  <c r="N316" i="5"/>
  <c r="S316" i="5"/>
  <c r="S315" i="5"/>
  <c r="O315" i="5"/>
  <c r="N315" i="5"/>
  <c r="S314" i="5"/>
  <c r="O314" i="5"/>
  <c r="N314" i="5"/>
  <c r="R313" i="5"/>
  <c r="Q313" i="5"/>
  <c r="S313" i="5"/>
  <c r="O313" i="5"/>
  <c r="N313" i="5"/>
  <c r="Q312" i="5"/>
  <c r="R312" i="5"/>
  <c r="O312" i="5"/>
  <c r="N312" i="5"/>
  <c r="S312" i="5"/>
  <c r="R311" i="5"/>
  <c r="Q311" i="5"/>
  <c r="S311" i="5"/>
  <c r="O311" i="5"/>
  <c r="R310" i="5"/>
  <c r="Q310" i="5"/>
  <c r="S310" i="5"/>
  <c r="O310" i="5"/>
  <c r="N310" i="5"/>
  <c r="S309" i="5"/>
  <c r="O309" i="5"/>
  <c r="R308" i="5"/>
  <c r="Q308" i="5"/>
  <c r="S308" i="5"/>
  <c r="O308" i="5"/>
  <c r="R307" i="5"/>
  <c r="Q307" i="5"/>
  <c r="S307" i="5"/>
  <c r="O307" i="5"/>
  <c r="R306" i="5"/>
  <c r="Q306" i="5"/>
  <c r="S306" i="5"/>
  <c r="N306" i="5"/>
  <c r="O306" i="5"/>
  <c r="R305" i="5"/>
  <c r="Q305" i="5"/>
  <c r="O305" i="5"/>
  <c r="S305" i="5"/>
  <c r="R304" i="5"/>
  <c r="Q304" i="5"/>
  <c r="S304" i="5"/>
  <c r="O304" i="5"/>
  <c r="N304" i="5"/>
  <c r="R303" i="5"/>
  <c r="Q303" i="5"/>
  <c r="N303" i="5"/>
  <c r="S303" i="5"/>
  <c r="O303" i="5"/>
  <c r="R302" i="5"/>
  <c r="Q302" i="5"/>
  <c r="O302" i="5"/>
  <c r="N302" i="5"/>
  <c r="S302" i="5"/>
  <c r="R301" i="5"/>
  <c r="Q301" i="5"/>
  <c r="S301" i="5"/>
  <c r="O301" i="5"/>
  <c r="N301" i="5"/>
  <c r="R300" i="5"/>
  <c r="Q300" i="5"/>
  <c r="S300" i="5"/>
  <c r="O300" i="5"/>
  <c r="N300" i="5"/>
  <c r="S299" i="5"/>
  <c r="O299" i="5"/>
  <c r="N299" i="5"/>
  <c r="Q298" i="5"/>
  <c r="R298" i="5"/>
  <c r="S298" i="5"/>
  <c r="O298" i="5"/>
  <c r="N298" i="5"/>
  <c r="R297" i="5"/>
  <c r="Q297" i="5"/>
  <c r="S297" i="5"/>
  <c r="O297" i="5"/>
  <c r="N297" i="5"/>
  <c r="S296" i="5"/>
  <c r="O296" i="5"/>
  <c r="N296" i="5"/>
  <c r="S295" i="5"/>
  <c r="O295" i="5"/>
  <c r="N295" i="5"/>
  <c r="O294" i="5"/>
  <c r="N294" i="5"/>
  <c r="S294" i="5"/>
  <c r="S293" i="5"/>
  <c r="O293" i="5"/>
  <c r="N293" i="5"/>
  <c r="R292" i="5"/>
  <c r="Q292" i="5"/>
  <c r="S292" i="5"/>
  <c r="O292" i="5"/>
  <c r="N292" i="5"/>
  <c r="R291" i="5"/>
  <c r="Q291" i="5"/>
  <c r="S291" i="5"/>
  <c r="O291" i="5"/>
  <c r="N291" i="5"/>
  <c r="Q290" i="5"/>
  <c r="R290" i="5"/>
  <c r="O290" i="5"/>
  <c r="S290" i="5"/>
  <c r="N290" i="5"/>
  <c r="R289" i="5"/>
  <c r="Q289" i="5"/>
  <c r="S289" i="5"/>
  <c r="O289" i="5"/>
  <c r="N289" i="5"/>
  <c r="R288" i="5"/>
  <c r="Q288" i="5"/>
  <c r="S288" i="5"/>
  <c r="O288" i="5"/>
  <c r="N288" i="5"/>
  <c r="R287" i="5"/>
  <c r="Q287" i="5"/>
  <c r="S287" i="5"/>
  <c r="O287" i="5"/>
  <c r="N287" i="5"/>
  <c r="R286" i="5"/>
  <c r="Q286" i="5"/>
  <c r="S286" i="5"/>
  <c r="O286" i="5"/>
  <c r="R285" i="5"/>
  <c r="Q285" i="5"/>
  <c r="S285" i="5"/>
  <c r="O285" i="5"/>
  <c r="N285" i="5"/>
  <c r="R284" i="5"/>
  <c r="Q284" i="5"/>
  <c r="S284" i="5"/>
  <c r="O284" i="5"/>
  <c r="N284" i="5"/>
  <c r="R283" i="5"/>
  <c r="Q283" i="5"/>
  <c r="O283" i="5"/>
  <c r="S283" i="5"/>
  <c r="N283" i="5"/>
  <c r="R282" i="5"/>
  <c r="Q282" i="5"/>
  <c r="S282" i="5"/>
  <c r="O282" i="5"/>
  <c r="N282" i="5"/>
  <c r="R281" i="5"/>
  <c r="Q281" i="5"/>
  <c r="S281" i="5"/>
  <c r="O281" i="5"/>
  <c r="N281" i="5"/>
  <c r="R280" i="5"/>
  <c r="Q280" i="5"/>
  <c r="N280" i="5"/>
  <c r="S280" i="5"/>
  <c r="O280" i="5"/>
  <c r="Q279" i="5"/>
  <c r="R279" i="5"/>
  <c r="S279" i="5"/>
  <c r="N279" i="5"/>
  <c r="O279" i="5"/>
  <c r="Q278" i="5"/>
  <c r="R278" i="5"/>
  <c r="O278" i="5"/>
  <c r="N278" i="5"/>
  <c r="S278" i="5"/>
  <c r="S277" i="5"/>
  <c r="O277" i="5"/>
  <c r="N277" i="5"/>
  <c r="S276" i="5"/>
  <c r="N276" i="5"/>
  <c r="O276" i="5"/>
  <c r="S275" i="5"/>
  <c r="O275" i="5"/>
  <c r="N275" i="5"/>
  <c r="R274" i="5"/>
  <c r="Q274" i="5"/>
  <c r="S274" i="5"/>
  <c r="O274" i="5"/>
  <c r="R273" i="5"/>
  <c r="Q273" i="5"/>
  <c r="O273" i="5"/>
  <c r="N273" i="5"/>
  <c r="S273" i="5"/>
  <c r="R272" i="5"/>
  <c r="Q272" i="5"/>
  <c r="S272" i="5"/>
  <c r="O272" i="5"/>
  <c r="N272" i="5"/>
  <c r="R271" i="5"/>
  <c r="Q271" i="5"/>
  <c r="S271" i="5"/>
  <c r="O271" i="5"/>
  <c r="N271" i="5"/>
  <c r="R270" i="5"/>
  <c r="Q270" i="5"/>
  <c r="O270" i="5"/>
  <c r="S270" i="5"/>
  <c r="R269" i="5"/>
  <c r="Q269" i="5"/>
  <c r="S269" i="5"/>
  <c r="N269" i="5"/>
  <c r="O269" i="5"/>
  <c r="R268" i="5"/>
  <c r="Q268" i="5"/>
  <c r="S268" i="5"/>
  <c r="O268" i="5"/>
  <c r="N268" i="5"/>
  <c r="R267" i="5"/>
  <c r="Q267" i="5"/>
  <c r="S267" i="5"/>
  <c r="O267" i="5"/>
  <c r="N267" i="5"/>
  <c r="R266" i="5"/>
  <c r="Q266" i="5"/>
  <c r="S266" i="5"/>
  <c r="O266" i="5"/>
  <c r="N266" i="5"/>
  <c r="R265" i="5"/>
  <c r="Q265" i="5"/>
  <c r="S265" i="5"/>
  <c r="O265" i="5"/>
  <c r="N265" i="5"/>
  <c r="R264" i="5"/>
  <c r="Q264" i="5"/>
  <c r="N264" i="5"/>
  <c r="S264" i="5"/>
  <c r="O264" i="5"/>
  <c r="R263" i="5"/>
  <c r="Q263" i="5"/>
  <c r="N263" i="5"/>
  <c r="O263" i="5"/>
  <c r="S263" i="5"/>
  <c r="R262" i="5"/>
  <c r="Q262" i="5"/>
  <c r="S262" i="5"/>
  <c r="O262" i="5"/>
  <c r="N262" i="5"/>
  <c r="S261" i="5"/>
  <c r="O261" i="5"/>
  <c r="R260" i="5"/>
  <c r="Q260" i="5"/>
  <c r="N260" i="5"/>
  <c r="S260" i="5"/>
  <c r="O260" i="5"/>
  <c r="R259" i="5"/>
  <c r="Q259" i="5"/>
  <c r="S259" i="5"/>
  <c r="O259" i="5"/>
  <c r="N259" i="5"/>
  <c r="R258" i="5"/>
  <c r="Q258" i="5"/>
  <c r="S258" i="5"/>
  <c r="O258" i="5"/>
  <c r="N258" i="5"/>
  <c r="R257" i="5"/>
  <c r="Q257" i="5"/>
  <c r="O257" i="5"/>
  <c r="N257" i="5"/>
  <c r="R256" i="5"/>
  <c r="Q256" i="5"/>
  <c r="O256" i="5"/>
  <c r="S256" i="5"/>
  <c r="N256" i="5"/>
  <c r="S255" i="5"/>
  <c r="N255" i="5"/>
  <c r="O255" i="5"/>
  <c r="R254" i="5"/>
  <c r="Q254" i="5"/>
  <c r="S254" i="5"/>
  <c r="O254" i="5"/>
  <c r="N254" i="5"/>
  <c r="S253" i="5"/>
  <c r="O253" i="5"/>
  <c r="N253" i="5"/>
  <c r="S252" i="5"/>
  <c r="O252" i="5"/>
  <c r="N252" i="5"/>
  <c r="R251" i="5"/>
  <c r="Q251" i="5"/>
  <c r="S251" i="5"/>
  <c r="O251" i="5"/>
  <c r="N251" i="5"/>
  <c r="R250" i="5"/>
  <c r="Q250" i="5"/>
  <c r="O250" i="5"/>
  <c r="S250" i="5"/>
  <c r="R249" i="5"/>
  <c r="Q249" i="5"/>
  <c r="O249" i="5"/>
  <c r="S249" i="5"/>
  <c r="N249" i="5"/>
  <c r="R248" i="5"/>
  <c r="Q248" i="5"/>
  <c r="S248" i="5"/>
  <c r="O248" i="5"/>
  <c r="N248" i="5"/>
  <c r="R247" i="5"/>
  <c r="Q247" i="5"/>
  <c r="N247" i="5"/>
  <c r="S247" i="5"/>
  <c r="O247" i="5"/>
  <c r="S246" i="5"/>
  <c r="O246" i="5"/>
  <c r="R245" i="5"/>
  <c r="Q245" i="5"/>
  <c r="S245" i="5"/>
  <c r="O245" i="5"/>
  <c r="N245" i="5"/>
  <c r="R244" i="5"/>
  <c r="Q244" i="5"/>
  <c r="S244" i="5"/>
  <c r="O244" i="5"/>
  <c r="R243" i="5"/>
  <c r="Q243" i="5"/>
  <c r="N243" i="5"/>
  <c r="S243" i="5"/>
  <c r="O243" i="5"/>
  <c r="R242" i="5"/>
  <c r="Q242" i="5"/>
  <c r="N242" i="5"/>
  <c r="S242" i="5"/>
  <c r="O242" i="5"/>
  <c r="Q241" i="5"/>
  <c r="R241" i="5"/>
  <c r="O241" i="5"/>
  <c r="N241" i="5"/>
  <c r="S241" i="5"/>
  <c r="Q240" i="5"/>
  <c r="R240" i="5"/>
  <c r="S240" i="5"/>
  <c r="O240" i="5"/>
  <c r="N240" i="5"/>
  <c r="R239" i="5"/>
  <c r="Q239" i="5"/>
  <c r="S239" i="5"/>
  <c r="O239" i="5"/>
  <c r="N239" i="5"/>
  <c r="R238" i="5"/>
  <c r="Q238" i="5"/>
  <c r="S238" i="5"/>
  <c r="O238" i="5"/>
  <c r="N238" i="5"/>
  <c r="O237" i="5"/>
  <c r="S237" i="5"/>
  <c r="Q236" i="5"/>
  <c r="R236" i="5"/>
  <c r="S236" i="5"/>
  <c r="O236" i="5"/>
  <c r="N236" i="5"/>
  <c r="S235" i="5"/>
  <c r="O235" i="5"/>
  <c r="N235" i="5"/>
  <c r="R234" i="5"/>
  <c r="Q234" i="5"/>
  <c r="N234" i="5"/>
  <c r="S234" i="5"/>
  <c r="O234" i="5"/>
  <c r="S233" i="5"/>
  <c r="O233" i="5"/>
  <c r="R232" i="5"/>
  <c r="Q232" i="5"/>
  <c r="S232" i="5"/>
  <c r="O232" i="5"/>
  <c r="N232" i="5"/>
  <c r="R231" i="5"/>
  <c r="Q231" i="5"/>
  <c r="N231" i="5"/>
  <c r="S231" i="5"/>
  <c r="O231" i="5"/>
  <c r="R230" i="5"/>
  <c r="Q230" i="5"/>
  <c r="N230" i="5"/>
  <c r="S230" i="5"/>
  <c r="O230" i="5"/>
  <c r="N229" i="5"/>
  <c r="S229" i="5"/>
  <c r="O229" i="5"/>
  <c r="N228" i="5"/>
  <c r="O228" i="5"/>
  <c r="S228" i="5"/>
  <c r="S227" i="5"/>
  <c r="O227" i="5"/>
  <c r="N227" i="5"/>
  <c r="R226" i="5"/>
  <c r="Q226" i="5"/>
  <c r="S226" i="5"/>
  <c r="O226" i="5"/>
  <c r="N226" i="5"/>
  <c r="S225" i="5"/>
  <c r="O225" i="5"/>
  <c r="N225" i="5"/>
  <c r="S224" i="5"/>
  <c r="O224" i="5"/>
  <c r="N224" i="5"/>
  <c r="R223" i="5"/>
  <c r="Q223" i="5"/>
  <c r="N223" i="5"/>
  <c r="S223" i="5"/>
  <c r="O223" i="5"/>
  <c r="N222" i="5"/>
  <c r="S222" i="5"/>
  <c r="O222" i="5"/>
  <c r="Q221" i="5"/>
  <c r="R221" i="5"/>
  <c r="S221" i="5"/>
  <c r="O221" i="5"/>
  <c r="N221" i="5"/>
  <c r="R220" i="5"/>
  <c r="Q220" i="5"/>
  <c r="S220" i="5"/>
  <c r="O220" i="5"/>
  <c r="N220" i="5"/>
  <c r="R219" i="5"/>
  <c r="Q219" i="5"/>
  <c r="N219" i="5"/>
  <c r="S219" i="5"/>
  <c r="O219" i="5"/>
  <c r="S218" i="5"/>
  <c r="O218" i="5"/>
  <c r="N218" i="5"/>
  <c r="R217" i="5"/>
  <c r="Q217" i="5"/>
  <c r="S217" i="5"/>
  <c r="O217" i="5"/>
  <c r="N217" i="5"/>
  <c r="R216" i="5"/>
  <c r="Q216" i="5"/>
  <c r="S216" i="5"/>
  <c r="O216" i="5"/>
  <c r="N216" i="5"/>
  <c r="R215" i="5"/>
  <c r="Q215" i="5"/>
  <c r="N215" i="5"/>
  <c r="S215" i="5"/>
  <c r="O215" i="5"/>
  <c r="R214" i="5"/>
  <c r="Q214" i="5"/>
  <c r="N214" i="5"/>
  <c r="S214" i="5"/>
  <c r="O214" i="5"/>
  <c r="Q213" i="5"/>
  <c r="R213" i="5"/>
  <c r="S213" i="5"/>
  <c r="O213" i="5"/>
  <c r="N213" i="5"/>
  <c r="Q212" i="5"/>
  <c r="R212" i="5"/>
  <c r="O212" i="5"/>
  <c r="N212" i="5"/>
  <c r="S212" i="5"/>
  <c r="R211" i="5"/>
  <c r="Q211" i="5"/>
  <c r="S211" i="5"/>
  <c r="O211" i="5"/>
  <c r="N211" i="5"/>
  <c r="S210" i="5"/>
  <c r="O210" i="5"/>
  <c r="N210" i="5"/>
  <c r="S209" i="5"/>
  <c r="O209" i="5"/>
  <c r="N209" i="5"/>
  <c r="S208" i="5"/>
  <c r="O208" i="5"/>
  <c r="O207" i="5"/>
  <c r="S207" i="5"/>
  <c r="Q206" i="5"/>
  <c r="R206" i="5"/>
  <c r="N206" i="5"/>
  <c r="S206" i="5"/>
  <c r="O206" i="5"/>
  <c r="Q205" i="5"/>
  <c r="R205" i="5"/>
  <c r="O205" i="5"/>
  <c r="S205" i="5"/>
  <c r="Q204" i="5"/>
  <c r="R204" i="5"/>
  <c r="N204" i="5"/>
  <c r="S204" i="5"/>
  <c r="O204" i="5"/>
  <c r="Q203" i="5"/>
  <c r="R203" i="5"/>
  <c r="N203" i="5"/>
  <c r="S203" i="5"/>
  <c r="O203" i="5"/>
  <c r="Q202" i="5"/>
  <c r="R202" i="5"/>
  <c r="N202" i="5"/>
  <c r="S202" i="5"/>
  <c r="O202" i="5"/>
  <c r="O201" i="5"/>
  <c r="S201" i="5"/>
  <c r="N200" i="5"/>
  <c r="S200" i="5"/>
  <c r="O200" i="5"/>
  <c r="O199" i="5"/>
  <c r="S199" i="5"/>
  <c r="O198" i="5"/>
  <c r="S198" i="5"/>
  <c r="O197" i="5"/>
  <c r="S197" i="5"/>
  <c r="S196" i="5"/>
  <c r="O196" i="5"/>
  <c r="R195" i="5"/>
  <c r="Q195" i="5"/>
  <c r="O195" i="5"/>
  <c r="N195" i="5"/>
  <c r="Q194" i="5"/>
  <c r="R194" i="5"/>
  <c r="R193" i="5"/>
  <c r="Q193" i="5"/>
  <c r="O193" i="5"/>
  <c r="N193" i="5"/>
  <c r="R192" i="5"/>
  <c r="Q192" i="5"/>
  <c r="O192" i="5"/>
  <c r="N192" i="5"/>
  <c r="O191" i="5"/>
  <c r="N191" i="5"/>
  <c r="R190" i="5"/>
  <c r="Q190" i="5"/>
  <c r="N190" i="5"/>
  <c r="O190" i="5"/>
  <c r="R189" i="5"/>
  <c r="Q189" i="5"/>
  <c r="O189" i="5"/>
  <c r="N189" i="5"/>
  <c r="R187" i="5"/>
  <c r="Q187" i="5"/>
  <c r="O187" i="5"/>
  <c r="N187" i="5"/>
  <c r="O186" i="5"/>
  <c r="N186" i="5"/>
  <c r="N184" i="5"/>
  <c r="O184" i="5"/>
  <c r="Q183" i="5"/>
  <c r="R183" i="5"/>
  <c r="O183" i="5"/>
  <c r="N183" i="5"/>
  <c r="R182" i="5"/>
  <c r="Q182" i="5"/>
  <c r="O182" i="5"/>
  <c r="N182" i="5"/>
  <c r="O181" i="5"/>
  <c r="N181" i="5"/>
  <c r="N179" i="5"/>
  <c r="O179" i="5"/>
  <c r="N178" i="5"/>
  <c r="O178" i="5"/>
  <c r="Q177" i="5"/>
  <c r="R177" i="5"/>
  <c r="N177" i="5"/>
  <c r="O177" i="5"/>
  <c r="Q176" i="5"/>
  <c r="R176" i="5"/>
  <c r="O176" i="5"/>
  <c r="N176" i="5"/>
  <c r="R175" i="5"/>
  <c r="Q175" i="5"/>
  <c r="O175" i="5"/>
  <c r="N175" i="5"/>
  <c r="R174" i="5"/>
  <c r="Q174" i="5"/>
  <c r="O174" i="5"/>
  <c r="N174" i="5"/>
  <c r="R173" i="5"/>
  <c r="Q173" i="5"/>
  <c r="O173" i="5"/>
  <c r="N173" i="5"/>
  <c r="R172" i="5"/>
  <c r="Q172" i="5"/>
  <c r="O172" i="5"/>
  <c r="N172" i="5"/>
  <c r="Q171" i="5"/>
  <c r="R171" i="5"/>
  <c r="O171" i="5"/>
  <c r="N171" i="5"/>
  <c r="R170" i="5"/>
  <c r="Q170" i="5"/>
  <c r="N170" i="5"/>
  <c r="O170" i="5"/>
  <c r="R169" i="5"/>
  <c r="Q169" i="5"/>
  <c r="O169" i="5"/>
  <c r="N169" i="5"/>
  <c r="N168" i="5"/>
  <c r="O168" i="5"/>
  <c r="Q167" i="5"/>
  <c r="R167" i="5"/>
  <c r="O167" i="5"/>
  <c r="N167" i="5"/>
  <c r="Q165" i="5"/>
  <c r="R165" i="5"/>
  <c r="N165" i="5"/>
  <c r="O165" i="5"/>
  <c r="Q164" i="5"/>
  <c r="R164" i="5"/>
  <c r="N164" i="5"/>
  <c r="O164" i="5"/>
  <c r="Q163" i="5"/>
  <c r="R163" i="5"/>
  <c r="N163" i="5"/>
  <c r="O163" i="5"/>
  <c r="Q162" i="5"/>
  <c r="R162" i="5"/>
  <c r="Q161" i="5"/>
  <c r="R161" i="5"/>
  <c r="O161" i="5"/>
  <c r="N161" i="5"/>
  <c r="R160" i="5"/>
  <c r="Q160" i="5"/>
  <c r="O160" i="5"/>
  <c r="N160" i="5"/>
  <c r="Q159" i="5"/>
  <c r="R159" i="5"/>
  <c r="O159" i="5"/>
  <c r="N159" i="5"/>
  <c r="N158" i="5"/>
  <c r="O158" i="5"/>
  <c r="N157" i="5"/>
  <c r="O157" i="5"/>
  <c r="O156" i="5"/>
  <c r="N156" i="5"/>
  <c r="O155" i="5"/>
  <c r="N155" i="5"/>
  <c r="R154" i="5"/>
  <c r="Q154" i="5"/>
  <c r="O154" i="5"/>
  <c r="N154" i="5"/>
  <c r="R152" i="5"/>
  <c r="Q152" i="5"/>
  <c r="N152" i="5"/>
  <c r="O152" i="5"/>
  <c r="Q151" i="5"/>
  <c r="R151" i="5"/>
  <c r="O151" i="5"/>
  <c r="N151" i="5"/>
  <c r="R150" i="5"/>
  <c r="Q150" i="5"/>
  <c r="O150" i="5"/>
  <c r="N150" i="5"/>
  <c r="R148" i="5"/>
  <c r="Q148" i="5"/>
  <c r="O148" i="5"/>
  <c r="N148" i="5"/>
  <c r="R146" i="5"/>
  <c r="Q146" i="5"/>
  <c r="O146" i="5"/>
  <c r="N146" i="5"/>
  <c r="R145" i="5"/>
  <c r="Q145" i="5"/>
  <c r="N145" i="5"/>
  <c r="O145" i="5"/>
  <c r="R144" i="5"/>
  <c r="Q144" i="5"/>
  <c r="N144" i="5"/>
  <c r="O144" i="5"/>
  <c r="Q142" i="5"/>
  <c r="R142" i="5"/>
  <c r="N142" i="5"/>
  <c r="O142" i="5"/>
  <c r="O141" i="5"/>
  <c r="N141" i="5"/>
  <c r="R140" i="5"/>
  <c r="Q140" i="5"/>
  <c r="O140" i="5"/>
  <c r="N140" i="5"/>
  <c r="Q139" i="5"/>
  <c r="R139" i="5"/>
  <c r="N139" i="5"/>
  <c r="O139" i="5"/>
  <c r="R136" i="5"/>
  <c r="Q136" i="5"/>
  <c r="O136" i="5"/>
  <c r="N136" i="5"/>
  <c r="Q133" i="5"/>
  <c r="R133" i="5"/>
  <c r="O133" i="5"/>
  <c r="N133" i="5"/>
  <c r="R132" i="5"/>
  <c r="Q132" i="5"/>
  <c r="O132" i="5"/>
  <c r="N132" i="5"/>
  <c r="R131" i="5"/>
  <c r="Q131" i="5"/>
  <c r="N131" i="5"/>
  <c r="O131" i="5"/>
  <c r="R130" i="5"/>
  <c r="Q130" i="5"/>
  <c r="O130" i="5"/>
  <c r="N130" i="5"/>
  <c r="R129" i="5"/>
  <c r="Q129" i="5"/>
  <c r="O129" i="5"/>
  <c r="N129" i="5"/>
  <c r="O127" i="5"/>
  <c r="N127" i="5"/>
  <c r="O126" i="5"/>
  <c r="N126" i="5"/>
  <c r="Q125" i="5"/>
  <c r="R125" i="5"/>
  <c r="O125" i="5"/>
  <c r="N125" i="5"/>
  <c r="R124" i="5"/>
  <c r="Q124" i="5"/>
  <c r="O124" i="5"/>
  <c r="N124" i="5"/>
  <c r="R123" i="5"/>
  <c r="Q123" i="5"/>
  <c r="O123" i="5"/>
  <c r="N123" i="5"/>
  <c r="R122" i="5"/>
  <c r="Q122" i="5"/>
  <c r="O122" i="5"/>
  <c r="N122" i="5"/>
  <c r="R121" i="5"/>
  <c r="Q121" i="5"/>
  <c r="O121" i="5"/>
  <c r="N121" i="5"/>
  <c r="O120" i="5"/>
  <c r="N120" i="5"/>
  <c r="R119" i="5"/>
  <c r="Q119" i="5"/>
  <c r="O119" i="5"/>
  <c r="N119" i="5"/>
  <c r="O118" i="5"/>
  <c r="N118" i="5"/>
  <c r="R117" i="5"/>
  <c r="Q117" i="5"/>
  <c r="O117" i="5"/>
  <c r="N117" i="5"/>
  <c r="O116" i="5"/>
  <c r="N116" i="5"/>
  <c r="O115" i="5"/>
  <c r="N115" i="5"/>
  <c r="O114" i="5"/>
  <c r="N114" i="5"/>
  <c r="O113" i="5"/>
  <c r="N113" i="5"/>
  <c r="R112" i="5"/>
  <c r="Q112" i="5"/>
  <c r="O112" i="5"/>
  <c r="N112" i="5"/>
  <c r="R111" i="5"/>
  <c r="Q111" i="5"/>
  <c r="O111" i="5"/>
  <c r="N111" i="5"/>
  <c r="R110" i="5"/>
  <c r="Q110" i="5"/>
  <c r="O110" i="5"/>
  <c r="N110" i="5"/>
  <c r="R109" i="5"/>
  <c r="Q109" i="5"/>
  <c r="O109" i="5"/>
  <c r="N109" i="5"/>
  <c r="R108" i="5"/>
  <c r="Q108" i="5"/>
  <c r="O108" i="5"/>
  <c r="N108" i="5"/>
  <c r="R107" i="5"/>
  <c r="Q107" i="5"/>
  <c r="O107" i="5"/>
  <c r="N107" i="5"/>
  <c r="R106" i="5"/>
  <c r="Q106" i="5"/>
  <c r="O106" i="5"/>
  <c r="N106" i="5"/>
  <c r="R105" i="5"/>
  <c r="Q105" i="5"/>
  <c r="O105" i="5"/>
  <c r="N105" i="5"/>
  <c r="R104" i="5"/>
  <c r="Q104" i="5"/>
  <c r="O104" i="5"/>
  <c r="N104" i="5"/>
  <c r="R103" i="5"/>
  <c r="Q103" i="5"/>
  <c r="O103" i="5"/>
  <c r="N103" i="5"/>
  <c r="R102" i="5"/>
  <c r="Q102" i="5"/>
  <c r="N102" i="5"/>
  <c r="O102" i="5"/>
  <c r="R100" i="5"/>
  <c r="Q100" i="5"/>
  <c r="O100" i="5"/>
  <c r="N100" i="5"/>
  <c r="O99" i="5"/>
  <c r="N99" i="5"/>
  <c r="R98" i="5"/>
  <c r="Q98" i="5"/>
  <c r="N98" i="5"/>
  <c r="O98" i="5"/>
  <c r="R97" i="5"/>
  <c r="Q97" i="5"/>
  <c r="O97" i="5"/>
  <c r="N97" i="5"/>
  <c r="R96" i="5"/>
  <c r="Q96" i="5"/>
  <c r="O96" i="5"/>
  <c r="N96" i="5"/>
  <c r="Q95" i="5"/>
  <c r="R95" i="5"/>
  <c r="N95" i="5"/>
  <c r="O95" i="5"/>
  <c r="R94" i="5"/>
  <c r="Q94" i="5"/>
  <c r="N94" i="5"/>
  <c r="O94" i="5"/>
  <c r="R93" i="5"/>
  <c r="Q93" i="5"/>
  <c r="O93" i="5"/>
  <c r="N93" i="5"/>
  <c r="R92" i="5"/>
  <c r="Q92" i="5"/>
  <c r="O92" i="5"/>
  <c r="N92" i="5"/>
  <c r="R91" i="5"/>
  <c r="Q91" i="5"/>
  <c r="N91" i="5"/>
  <c r="O91" i="5"/>
  <c r="R90" i="5"/>
  <c r="Q90" i="5"/>
  <c r="O90" i="5"/>
  <c r="N90" i="5"/>
  <c r="R89" i="5"/>
  <c r="Q89" i="5"/>
  <c r="O89" i="5"/>
  <c r="N89" i="5"/>
  <c r="O88" i="5"/>
  <c r="N88" i="5"/>
  <c r="N87" i="5"/>
  <c r="O87" i="5"/>
  <c r="R85" i="5"/>
  <c r="Q85" i="5"/>
  <c r="N85" i="5"/>
  <c r="O85" i="5"/>
  <c r="R84" i="5"/>
  <c r="Q84" i="5"/>
  <c r="O84" i="5"/>
  <c r="N84" i="5"/>
  <c r="R83" i="5"/>
  <c r="Q83" i="5"/>
  <c r="O83" i="5"/>
  <c r="N83" i="5"/>
  <c r="R82" i="5"/>
  <c r="Q82" i="5"/>
  <c r="N82" i="5"/>
  <c r="O82" i="5"/>
  <c r="Q81" i="5"/>
  <c r="R81" i="5"/>
  <c r="O81" i="5"/>
  <c r="N81" i="5"/>
  <c r="R80" i="5"/>
  <c r="Q80" i="5"/>
  <c r="O80" i="5"/>
  <c r="N80" i="5"/>
  <c r="R79" i="5"/>
  <c r="Q79" i="5"/>
  <c r="O79" i="5"/>
  <c r="N79" i="5"/>
  <c r="N78" i="5"/>
  <c r="O78" i="5"/>
  <c r="R77" i="5"/>
  <c r="Q77" i="5"/>
  <c r="O77" i="5"/>
  <c r="N77" i="5"/>
  <c r="R76" i="5"/>
  <c r="Q76" i="5"/>
  <c r="O76" i="5"/>
  <c r="N76" i="5"/>
  <c r="R75" i="5"/>
  <c r="Q75" i="5"/>
  <c r="O75" i="5"/>
  <c r="N75" i="5"/>
  <c r="Q74" i="5"/>
  <c r="R74" i="5"/>
  <c r="N74" i="5"/>
  <c r="O74" i="5"/>
  <c r="R73" i="5"/>
  <c r="Q73" i="5"/>
  <c r="O73" i="5"/>
  <c r="N73" i="5"/>
  <c r="R72" i="5"/>
  <c r="Q72" i="5"/>
  <c r="O72" i="5"/>
  <c r="N72" i="5"/>
  <c r="Q71" i="5"/>
  <c r="R71" i="5"/>
  <c r="N71" i="5"/>
  <c r="O71" i="5"/>
  <c r="Q70" i="5"/>
  <c r="R70" i="5"/>
  <c r="O70" i="5"/>
  <c r="N70" i="5"/>
  <c r="R69" i="5"/>
  <c r="Q69" i="5"/>
  <c r="O69" i="5"/>
  <c r="N69" i="5"/>
  <c r="O68" i="5"/>
  <c r="N68" i="5"/>
  <c r="R67" i="5"/>
  <c r="Q67" i="5"/>
  <c r="O67" i="5"/>
  <c r="N67" i="5"/>
  <c r="Q66" i="5"/>
  <c r="R66" i="5"/>
  <c r="N66" i="5"/>
  <c r="O66" i="5"/>
  <c r="R63" i="5"/>
  <c r="Q63" i="5"/>
  <c r="O63" i="5"/>
  <c r="N63" i="5"/>
  <c r="R62" i="5"/>
  <c r="Q62" i="5"/>
  <c r="O62" i="5"/>
  <c r="N62" i="5"/>
  <c r="R61" i="5"/>
  <c r="Q61" i="5"/>
  <c r="O61" i="5"/>
  <c r="N61" i="5"/>
  <c r="R60" i="5"/>
  <c r="Q60" i="5"/>
  <c r="R59" i="5"/>
  <c r="Q59" i="5"/>
  <c r="O59" i="5"/>
  <c r="N59" i="5"/>
  <c r="R58" i="5"/>
  <c r="Q58" i="5"/>
  <c r="O58" i="5"/>
  <c r="N58" i="5"/>
  <c r="Q56" i="5"/>
  <c r="R56" i="5"/>
  <c r="N56" i="5"/>
  <c r="O56" i="5"/>
  <c r="R55" i="5"/>
  <c r="Q55" i="5"/>
  <c r="O55" i="5"/>
  <c r="N55" i="5"/>
  <c r="R54" i="5"/>
  <c r="Q54" i="5"/>
  <c r="O54" i="5"/>
  <c r="N54" i="5"/>
  <c r="R52" i="5"/>
  <c r="Q52" i="5"/>
  <c r="N52" i="5"/>
  <c r="O52" i="5"/>
  <c r="O51" i="5"/>
  <c r="N51" i="5"/>
  <c r="R50" i="5"/>
  <c r="Q50" i="5"/>
  <c r="O50" i="5"/>
  <c r="N50" i="5"/>
  <c r="R49" i="5"/>
  <c r="Q49" i="5"/>
  <c r="O49" i="5"/>
  <c r="N49" i="5"/>
  <c r="R48" i="5"/>
  <c r="Q48" i="5"/>
  <c r="N48" i="5"/>
  <c r="O48" i="5"/>
  <c r="R46" i="5"/>
  <c r="Q46" i="5"/>
  <c r="O46" i="5"/>
  <c r="N46" i="5"/>
  <c r="O45" i="5"/>
  <c r="N45" i="5"/>
  <c r="R44" i="5"/>
  <c r="Q44" i="5"/>
  <c r="O44" i="5"/>
  <c r="N44" i="5"/>
  <c r="R43" i="5"/>
  <c r="Q43" i="5"/>
  <c r="N43" i="5"/>
  <c r="O43" i="5"/>
  <c r="R41" i="5"/>
  <c r="Q41" i="5"/>
  <c r="O41" i="5"/>
  <c r="N41" i="5"/>
  <c r="R40" i="5"/>
  <c r="Q40" i="5"/>
  <c r="N40" i="5"/>
  <c r="O40" i="5"/>
  <c r="R39" i="5"/>
  <c r="Q39" i="5"/>
  <c r="O39" i="5"/>
  <c r="N39" i="5"/>
  <c r="R38" i="5"/>
  <c r="Q38" i="5"/>
  <c r="R37" i="5"/>
  <c r="Q37" i="5"/>
  <c r="R36" i="5"/>
  <c r="Q36" i="5"/>
  <c r="O36" i="5"/>
  <c r="N36" i="5"/>
  <c r="Q35" i="5"/>
  <c r="R35" i="5"/>
  <c r="N35" i="5"/>
  <c r="O35" i="5"/>
  <c r="O34" i="5"/>
  <c r="N34" i="5"/>
  <c r="R33" i="5"/>
  <c r="Q33" i="5"/>
  <c r="N33" i="5"/>
  <c r="O33" i="5"/>
  <c r="R32" i="5"/>
  <c r="Q32" i="5"/>
  <c r="O32" i="5"/>
  <c r="N32" i="5"/>
  <c r="Q30" i="5"/>
  <c r="R30" i="5"/>
  <c r="N30" i="5"/>
  <c r="O30" i="5"/>
  <c r="R29" i="5"/>
  <c r="Q29" i="5"/>
  <c r="O29" i="5"/>
  <c r="N29" i="5"/>
  <c r="N28" i="5"/>
  <c r="O28" i="5"/>
  <c r="R27" i="5"/>
  <c r="Q27" i="5"/>
  <c r="O27" i="5"/>
  <c r="N27" i="5"/>
  <c r="O26" i="5"/>
  <c r="N26" i="5"/>
  <c r="O25" i="5"/>
  <c r="N25" i="5"/>
  <c r="N24" i="5"/>
  <c r="O24" i="5"/>
  <c r="Q23" i="5"/>
  <c r="R23" i="5"/>
  <c r="N23" i="5"/>
  <c r="O23" i="5"/>
  <c r="Q22" i="5"/>
  <c r="R22" i="5"/>
  <c r="O22" i="5"/>
  <c r="N22" i="5"/>
  <c r="O21" i="5"/>
  <c r="N21" i="5"/>
  <c r="Q20" i="5"/>
  <c r="R20" i="5"/>
  <c r="O20" i="5"/>
  <c r="N20" i="5"/>
  <c r="O19" i="5"/>
  <c r="N19" i="5"/>
  <c r="N18" i="5"/>
  <c r="O18" i="5"/>
  <c r="O17" i="5"/>
  <c r="N17" i="5"/>
  <c r="O16" i="5"/>
  <c r="N16" i="5"/>
  <c r="Q15" i="5"/>
  <c r="R15" i="5"/>
  <c r="R14" i="5"/>
  <c r="Q14" i="5"/>
  <c r="O13" i="5"/>
  <c r="N13" i="5"/>
  <c r="Q12" i="5"/>
  <c r="R12" i="5"/>
  <c r="R11" i="5"/>
  <c r="Q11" i="5"/>
  <c r="O11" i="5"/>
  <c r="N11" i="5"/>
  <c r="R10" i="5"/>
  <c r="Q10" i="5"/>
  <c r="N10" i="5"/>
  <c r="O10" i="5"/>
  <c r="R9" i="5"/>
  <c r="Q9" i="5"/>
  <c r="O9" i="5"/>
  <c r="N9" i="5"/>
  <c r="Q7" i="5"/>
  <c r="R7" i="5"/>
  <c r="O7" i="5"/>
  <c r="N7" i="5"/>
  <c r="R6" i="5"/>
  <c r="Q6" i="5"/>
  <c r="O6" i="5"/>
  <c r="N6" i="5"/>
  <c r="Q5" i="5"/>
  <c r="R5" i="5"/>
  <c r="O5" i="5"/>
  <c r="N5" i="5"/>
  <c r="R4" i="5"/>
  <c r="Q4" i="5"/>
  <c r="O4" i="5"/>
  <c r="N4" i="5"/>
  <c r="Q3" i="5"/>
  <c r="R3" i="5"/>
  <c r="O3" i="5"/>
  <c r="N3" i="5"/>
  <c r="R2" i="5"/>
  <c r="Q2" i="5"/>
  <c r="N2" i="5"/>
  <c r="O2" i="5"/>
  <c r="H76" i="3"/>
  <c r="J76" i="3" s="1"/>
  <c r="L76" i="3"/>
  <c r="H75" i="3"/>
  <c r="L75" i="3"/>
  <c r="L74" i="3"/>
  <c r="H74" i="3"/>
  <c r="H73" i="3"/>
  <c r="H72" i="3"/>
  <c r="L71" i="3"/>
  <c r="H71" i="3"/>
  <c r="L70" i="3"/>
  <c r="H70" i="3"/>
  <c r="H69" i="3"/>
  <c r="H68" i="3"/>
  <c r="H67" i="3"/>
  <c r="L67" i="3"/>
  <c r="L66" i="3"/>
  <c r="H66" i="3"/>
  <c r="H65" i="3"/>
  <c r="H64" i="3"/>
  <c r="H63" i="3"/>
  <c r="H62" i="3"/>
  <c r="L61" i="3"/>
  <c r="H61" i="3"/>
  <c r="H60" i="3"/>
  <c r="H59" i="3"/>
  <c r="H58" i="3"/>
  <c r="H57" i="3"/>
  <c r="L57" i="3"/>
  <c r="L56" i="3"/>
  <c r="H56" i="3"/>
  <c r="L55" i="3"/>
  <c r="H55" i="3"/>
  <c r="H54" i="3"/>
  <c r="L53" i="3"/>
  <c r="H53" i="3"/>
  <c r="H52" i="3"/>
  <c r="H51" i="3"/>
  <c r="H50" i="3"/>
  <c r="H49" i="3"/>
  <c r="H48" i="3"/>
  <c r="H47" i="3"/>
  <c r="H46" i="3"/>
  <c r="L45" i="3"/>
  <c r="H45" i="3"/>
  <c r="H44" i="3"/>
  <c r="H43" i="3"/>
  <c r="H42" i="3"/>
  <c r="H41" i="3"/>
  <c r="L41" i="3"/>
  <c r="L40" i="3"/>
  <c r="H40" i="3"/>
  <c r="L39" i="3"/>
  <c r="H39" i="3"/>
  <c r="L38" i="3"/>
  <c r="H38" i="3"/>
  <c r="H37" i="3"/>
  <c r="H36" i="3"/>
  <c r="L36" i="3"/>
  <c r="H35" i="3"/>
  <c r="H34" i="3"/>
  <c r="L34" i="3"/>
  <c r="H33" i="3"/>
  <c r="L33" i="3"/>
  <c r="H32" i="3"/>
  <c r="L32" i="3"/>
  <c r="H31" i="3"/>
  <c r="L31" i="3"/>
  <c r="L30" i="3"/>
  <c r="H30" i="3"/>
  <c r="H29" i="3"/>
  <c r="L28" i="3"/>
  <c r="H28" i="3"/>
  <c r="H27" i="3"/>
  <c r="H26" i="3"/>
  <c r="L25" i="3"/>
  <c r="H25" i="3"/>
  <c r="L24" i="3"/>
  <c r="H24" i="3"/>
  <c r="H23" i="3"/>
  <c r="L23" i="3"/>
  <c r="H22" i="3"/>
  <c r="L22" i="3"/>
  <c r="H21" i="3"/>
  <c r="L21" i="3"/>
  <c r="L20" i="3"/>
  <c r="H20" i="3"/>
  <c r="H19" i="3"/>
  <c r="L19" i="3"/>
  <c r="L18" i="3"/>
  <c r="H18" i="3"/>
  <c r="H17" i="3"/>
  <c r="L17" i="3"/>
  <c r="L16" i="3"/>
  <c r="H16" i="3"/>
  <c r="L15" i="3"/>
  <c r="H15" i="3"/>
  <c r="L14" i="3"/>
  <c r="H14" i="3"/>
  <c r="L13" i="3"/>
  <c r="H13" i="3"/>
  <c r="L12" i="3"/>
  <c r="H12" i="3"/>
  <c r="H11" i="3"/>
  <c r="L11" i="3"/>
  <c r="H10" i="3"/>
  <c r="H9" i="3"/>
  <c r="L9" i="3"/>
  <c r="L8" i="3"/>
  <c r="H8" i="3"/>
  <c r="H7" i="3"/>
  <c r="L7" i="3"/>
  <c r="H6" i="3"/>
  <c r="L6" i="3"/>
  <c r="K5" i="3"/>
  <c r="M5" i="3" s="1"/>
  <c r="F77" i="3"/>
  <c r="L5" i="3"/>
  <c r="H5" i="3"/>
  <c r="J5" i="3" s="1"/>
  <c r="E77" i="3"/>
  <c r="I5" i="3"/>
  <c r="D77" i="3"/>
  <c r="G22" i="2"/>
  <c r="K22" i="2"/>
  <c r="G21" i="2"/>
  <c r="G20" i="2"/>
  <c r="G19" i="2"/>
  <c r="K19" i="2"/>
  <c r="G18" i="2"/>
  <c r="G17" i="2"/>
  <c r="K16" i="2"/>
  <c r="G16" i="2"/>
  <c r="G15" i="2"/>
  <c r="G14" i="2"/>
  <c r="K14" i="2"/>
  <c r="G13" i="2"/>
  <c r="K12" i="2"/>
  <c r="G12" i="2"/>
  <c r="G11" i="2"/>
  <c r="G10" i="2"/>
  <c r="G9" i="2"/>
  <c r="G8" i="2"/>
  <c r="G7" i="2"/>
  <c r="K6" i="2"/>
  <c r="G6" i="2"/>
  <c r="E23" i="2"/>
  <c r="J5" i="2"/>
  <c r="L5" i="2" s="1"/>
  <c r="D23" i="2"/>
  <c r="K5" i="2"/>
  <c r="G5" i="2"/>
  <c r="I5" i="2" s="1"/>
  <c r="C23" i="2"/>
  <c r="H5" i="2"/>
  <c r="M73" i="3" l="1"/>
  <c r="L73" i="3"/>
  <c r="M52" i="3"/>
  <c r="L52" i="3"/>
  <c r="M51" i="3"/>
  <c r="L51" i="3"/>
  <c r="M43" i="3"/>
  <c r="L43" i="3"/>
  <c r="M63" i="3"/>
  <c r="L63" i="3"/>
  <c r="M62" i="3"/>
  <c r="L62" i="3"/>
  <c r="M60" i="3"/>
  <c r="L60" i="3"/>
  <c r="M54" i="3"/>
  <c r="L54" i="3"/>
  <c r="M44" i="3"/>
  <c r="L44" i="3"/>
  <c r="M42" i="3"/>
  <c r="L42" i="3"/>
  <c r="M35" i="3"/>
  <c r="L35" i="3"/>
  <c r="M29" i="3"/>
  <c r="L29" i="3"/>
  <c r="M27" i="3"/>
  <c r="L27" i="3"/>
  <c r="M26" i="3"/>
  <c r="L26" i="3"/>
  <c r="M58" i="3"/>
  <c r="L58" i="3"/>
  <c r="M50" i="3"/>
  <c r="L50" i="3"/>
  <c r="M49" i="3"/>
  <c r="L49" i="3"/>
  <c r="M48" i="3"/>
  <c r="L48" i="3"/>
  <c r="M47" i="3"/>
  <c r="L47" i="3"/>
  <c r="M46" i="3"/>
  <c r="L46" i="3"/>
  <c r="M37" i="3"/>
  <c r="L37" i="3"/>
  <c r="M10" i="3"/>
  <c r="L10" i="3"/>
  <c r="M72" i="3"/>
  <c r="L72" i="3"/>
  <c r="M69" i="3"/>
  <c r="L69" i="3"/>
  <c r="M68" i="3"/>
  <c r="L68" i="3"/>
  <c r="M65" i="3"/>
  <c r="L65" i="3"/>
  <c r="M64" i="3"/>
  <c r="L64" i="3"/>
  <c r="M59" i="3"/>
  <c r="L59" i="3"/>
  <c r="L11" i="2"/>
  <c r="K11" i="2"/>
  <c r="L7" i="2"/>
  <c r="K7" i="2"/>
  <c r="L8" i="2"/>
  <c r="K8" i="2"/>
  <c r="L18" i="2"/>
  <c r="K18" i="2"/>
  <c r="L15" i="2"/>
  <c r="K15" i="2"/>
  <c r="L13" i="2"/>
  <c r="K13" i="2"/>
  <c r="L9" i="2"/>
  <c r="K9" i="2"/>
  <c r="L21" i="2"/>
  <c r="K21" i="2"/>
  <c r="L20" i="2"/>
  <c r="K20" i="2"/>
  <c r="L17" i="2"/>
  <c r="K17" i="2"/>
  <c r="L10" i="2"/>
  <c r="K10" i="2"/>
  <c r="B7" i="4"/>
  <c r="B9" i="4"/>
  <c r="B11" i="4"/>
  <c r="B17" i="4"/>
  <c r="B15" i="4"/>
  <c r="B5" i="4"/>
  <c r="B10" i="4"/>
  <c r="B16" i="4"/>
  <c r="B13" i="4"/>
  <c r="B14" i="4"/>
  <c r="B12" i="4"/>
  <c r="B19" i="4"/>
  <c r="B6" i="4"/>
  <c r="B8" i="4"/>
  <c r="B18" i="4"/>
  <c r="I75" i="3"/>
  <c r="J75" i="3"/>
  <c r="I74" i="3"/>
  <c r="J74" i="3"/>
  <c r="I73" i="3"/>
  <c r="J73" i="3"/>
  <c r="I72" i="3"/>
  <c r="J72" i="3"/>
  <c r="I71" i="3"/>
  <c r="J71" i="3"/>
  <c r="I70" i="3"/>
  <c r="J70" i="3"/>
  <c r="I69" i="3"/>
  <c r="J69" i="3"/>
  <c r="I68" i="3"/>
  <c r="J68" i="3"/>
  <c r="I67" i="3"/>
  <c r="J67" i="3"/>
  <c r="I66" i="3"/>
  <c r="J66" i="3"/>
  <c r="I65" i="3"/>
  <c r="J65" i="3"/>
  <c r="I64" i="3"/>
  <c r="J64" i="3"/>
  <c r="I63" i="3"/>
  <c r="J63" i="3"/>
  <c r="I62" i="3"/>
  <c r="J62" i="3"/>
  <c r="I61" i="3"/>
  <c r="J61" i="3"/>
  <c r="I60" i="3"/>
  <c r="J60" i="3"/>
  <c r="I59" i="3"/>
  <c r="J59" i="3"/>
  <c r="I58" i="3"/>
  <c r="J58" i="3"/>
  <c r="I57" i="3"/>
  <c r="J57" i="3"/>
  <c r="I56" i="3"/>
  <c r="J56" i="3"/>
  <c r="I55" i="3"/>
  <c r="J55" i="3"/>
  <c r="I54" i="3"/>
  <c r="J54" i="3"/>
  <c r="I53" i="3"/>
  <c r="J53" i="3"/>
  <c r="I52" i="3"/>
  <c r="J52" i="3"/>
  <c r="I51" i="3"/>
  <c r="J51" i="3"/>
  <c r="I50" i="3"/>
  <c r="J50" i="3"/>
  <c r="I49" i="3"/>
  <c r="J49" i="3"/>
  <c r="I48" i="3"/>
  <c r="J48" i="3"/>
  <c r="I47" i="3"/>
  <c r="J47" i="3"/>
  <c r="I46" i="3"/>
  <c r="J46" i="3"/>
  <c r="I45" i="3"/>
  <c r="J45" i="3"/>
  <c r="I44" i="3"/>
  <c r="J44" i="3"/>
  <c r="I43" i="3"/>
  <c r="J43" i="3"/>
  <c r="I42" i="3"/>
  <c r="J42" i="3"/>
  <c r="I41" i="3"/>
  <c r="J41" i="3"/>
  <c r="I40" i="3"/>
  <c r="J40" i="3"/>
  <c r="I39" i="3"/>
  <c r="J39" i="3"/>
  <c r="I38" i="3"/>
  <c r="J38" i="3"/>
  <c r="I37" i="3"/>
  <c r="J37" i="3"/>
  <c r="I36" i="3"/>
  <c r="J36" i="3"/>
  <c r="I35" i="3"/>
  <c r="J35" i="3"/>
  <c r="I34" i="3"/>
  <c r="J34" i="3"/>
  <c r="I33" i="3"/>
  <c r="J33" i="3"/>
  <c r="I32" i="3"/>
  <c r="J32" i="3"/>
  <c r="I31" i="3"/>
  <c r="J31" i="3"/>
  <c r="I30" i="3"/>
  <c r="J30" i="3"/>
  <c r="I29" i="3"/>
  <c r="J29" i="3"/>
  <c r="I28" i="3"/>
  <c r="J28" i="3"/>
  <c r="I27" i="3"/>
  <c r="J27" i="3"/>
  <c r="I26" i="3"/>
  <c r="J26" i="3"/>
  <c r="I25" i="3"/>
  <c r="J25" i="3"/>
  <c r="I24" i="3"/>
  <c r="J24" i="3"/>
  <c r="I23" i="3"/>
  <c r="J23" i="3"/>
  <c r="I22" i="3"/>
  <c r="J22" i="3"/>
  <c r="I21" i="3"/>
  <c r="J21" i="3"/>
  <c r="I20" i="3"/>
  <c r="J20" i="3"/>
  <c r="I19" i="3"/>
  <c r="J19" i="3"/>
  <c r="I18" i="3"/>
  <c r="J18" i="3"/>
  <c r="I17" i="3"/>
  <c r="J17" i="3"/>
  <c r="I16" i="3"/>
  <c r="J16" i="3"/>
  <c r="I15" i="3"/>
  <c r="J15" i="3"/>
  <c r="I14" i="3"/>
  <c r="J14" i="3"/>
  <c r="I13" i="3"/>
  <c r="J13" i="3"/>
  <c r="I12" i="3"/>
  <c r="J12" i="3"/>
  <c r="I11" i="3"/>
  <c r="J11" i="3"/>
  <c r="I10" i="3"/>
  <c r="J10" i="3"/>
  <c r="I9" i="3"/>
  <c r="J9" i="3"/>
  <c r="I8" i="3"/>
  <c r="J8" i="3"/>
  <c r="I7" i="3"/>
  <c r="J7" i="3"/>
  <c r="I6" i="3"/>
  <c r="J6" i="3"/>
  <c r="K77" i="3"/>
  <c r="M77" i="3" s="1"/>
  <c r="F78" i="3"/>
  <c r="H77" i="3"/>
  <c r="J77" i="3" s="1"/>
  <c r="L77" i="3"/>
  <c r="E78" i="3"/>
  <c r="I77" i="3"/>
  <c r="D78" i="3"/>
  <c r="H22" i="2"/>
  <c r="I22" i="2"/>
  <c r="H21" i="2"/>
  <c r="I21" i="2"/>
  <c r="H20" i="2"/>
  <c r="I20" i="2"/>
  <c r="H19" i="2"/>
  <c r="I19" i="2"/>
  <c r="H18" i="2"/>
  <c r="I18" i="2"/>
  <c r="H17" i="2"/>
  <c r="I17" i="2"/>
  <c r="H16" i="2"/>
  <c r="I16" i="2"/>
  <c r="H15" i="2"/>
  <c r="I15" i="2"/>
  <c r="H14" i="2"/>
  <c r="I14" i="2"/>
  <c r="H13" i="2"/>
  <c r="I13" i="2"/>
  <c r="H12" i="2"/>
  <c r="I12" i="2"/>
  <c r="H11" i="2"/>
  <c r="I11" i="2"/>
  <c r="H10" i="2"/>
  <c r="I10" i="2"/>
  <c r="H9" i="2"/>
  <c r="I9" i="2"/>
  <c r="H8" i="2"/>
  <c r="I8" i="2"/>
  <c r="H7" i="2"/>
  <c r="I7" i="2"/>
  <c r="H6" i="2"/>
  <c r="I6" i="2"/>
  <c r="J23" i="2"/>
  <c r="L23" i="2" s="1"/>
  <c r="E24" i="2"/>
  <c r="G23" i="2"/>
  <c r="I23" i="2" s="1"/>
  <c r="K23" i="2"/>
  <c r="D24" i="2"/>
  <c r="H23" i="2"/>
  <c r="C24" i="2"/>
  <c r="B18" i="1"/>
  <c r="B17" i="1"/>
  <c r="D7" i="4" l="1"/>
  <c r="F7" i="4"/>
  <c r="C7" i="4"/>
  <c r="E7" i="4"/>
  <c r="G7" i="4"/>
  <c r="H7" i="4"/>
  <c r="I7" i="4"/>
  <c r="J7" i="4"/>
  <c r="K7" i="4"/>
  <c r="D9" i="4"/>
  <c r="F9" i="4"/>
  <c r="G9" i="4"/>
  <c r="H9" i="4"/>
  <c r="I9" i="4"/>
  <c r="J9" i="4"/>
  <c r="K9" i="4"/>
  <c r="C9" i="4"/>
  <c r="E9" i="4"/>
  <c r="C11" i="4"/>
  <c r="E11" i="4"/>
  <c r="I11" i="4"/>
  <c r="D11" i="4"/>
  <c r="F11" i="4"/>
  <c r="G11" i="4"/>
  <c r="H11" i="4"/>
  <c r="J11" i="4"/>
  <c r="K11" i="4"/>
  <c r="C17" i="4"/>
  <c r="D17" i="4"/>
  <c r="E17" i="4"/>
  <c r="F17" i="4"/>
  <c r="G17" i="4"/>
  <c r="H17" i="4"/>
  <c r="I17" i="4"/>
  <c r="J17" i="4"/>
  <c r="K17" i="4"/>
  <c r="C15" i="4"/>
  <c r="D15" i="4"/>
  <c r="E15" i="4"/>
  <c r="F15" i="4"/>
  <c r="G15" i="4"/>
  <c r="H15" i="4"/>
  <c r="I15" i="4"/>
  <c r="J15" i="4"/>
  <c r="K15" i="4"/>
  <c r="C5" i="4"/>
  <c r="D5" i="4"/>
  <c r="E5" i="4"/>
  <c r="F5" i="4"/>
  <c r="G5" i="4"/>
  <c r="H5" i="4"/>
  <c r="I5" i="4"/>
  <c r="J5" i="4"/>
  <c r="K5" i="4"/>
  <c r="C10" i="4"/>
  <c r="D10" i="4"/>
  <c r="E10" i="4"/>
  <c r="F10" i="4"/>
  <c r="G10" i="4"/>
  <c r="H10" i="4"/>
  <c r="I10" i="4"/>
  <c r="J10" i="4"/>
  <c r="K10" i="4"/>
  <c r="C16" i="4"/>
  <c r="D16" i="4"/>
  <c r="E16" i="4"/>
  <c r="F16" i="4"/>
  <c r="G16" i="4"/>
  <c r="H16" i="4"/>
  <c r="I16" i="4"/>
  <c r="J16" i="4"/>
  <c r="K16" i="4"/>
  <c r="C13" i="4"/>
  <c r="D13" i="4"/>
  <c r="E13" i="4"/>
  <c r="F13" i="4"/>
  <c r="G13" i="4"/>
  <c r="H13" i="4"/>
  <c r="I13" i="4"/>
  <c r="J13" i="4"/>
  <c r="K13" i="4"/>
  <c r="C14" i="4"/>
  <c r="D14" i="4"/>
  <c r="F14" i="4"/>
  <c r="G14" i="4"/>
  <c r="H14" i="4"/>
  <c r="I14" i="4"/>
  <c r="J14" i="4"/>
  <c r="K14" i="4"/>
  <c r="E14" i="4"/>
  <c r="C12" i="4"/>
  <c r="D12" i="4"/>
  <c r="F12" i="4"/>
  <c r="G12" i="4"/>
  <c r="H12" i="4"/>
  <c r="I12" i="4"/>
  <c r="J12" i="4"/>
  <c r="K12" i="4"/>
  <c r="E12" i="4"/>
  <c r="C19" i="4"/>
  <c r="D19" i="4"/>
  <c r="E19" i="4"/>
  <c r="F19" i="4"/>
  <c r="G19" i="4"/>
  <c r="H19" i="4"/>
  <c r="I19" i="4"/>
  <c r="J19" i="4"/>
  <c r="K19" i="4"/>
  <c r="D6" i="4"/>
  <c r="F6" i="4"/>
  <c r="C6" i="4"/>
  <c r="E6" i="4"/>
  <c r="G6" i="4"/>
  <c r="H6" i="4"/>
  <c r="I6" i="4"/>
  <c r="J6" i="4"/>
  <c r="K6" i="4"/>
  <c r="C8" i="4"/>
  <c r="D8" i="4"/>
  <c r="E8" i="4"/>
  <c r="F8" i="4"/>
  <c r="G8" i="4"/>
  <c r="H8" i="4"/>
  <c r="I8" i="4"/>
  <c r="J8" i="4"/>
  <c r="K8" i="4"/>
  <c r="C18" i="4"/>
  <c r="D18" i="4"/>
  <c r="E18" i="4"/>
  <c r="F18" i="4"/>
  <c r="G18" i="4"/>
  <c r="H18" i="4"/>
  <c r="I18" i="4"/>
  <c r="J18" i="4"/>
  <c r="K18" i="4"/>
</calcChain>
</file>

<file path=xl/sharedStrings.xml><?xml version="1.0" encoding="utf-8"?>
<sst xmlns="http://schemas.openxmlformats.org/spreadsheetml/2006/main" count="9467" uniqueCount="535">
  <si>
    <t>City General Fund: variance analysis, FY2019 to FY2023</t>
  </si>
  <si>
    <t>Source: Kaggle dataset "City Budget Summary and Recommendations", file fy2022-proposed-city-budget-book-1.csv (provided by the user). 1,533 rows, one fund (101: City General).</t>
  </si>
  <si>
    <t>Inputs (change the yellow cells; every flag in the workbook updates)</t>
  </si>
  <si>
    <t>Variance % threshold</t>
  </si>
  <si>
    <t>A line is flagged REVIEW only when BOTH the % and $ thresholds are met (tiny accounts with big percentage swings are ignored).</t>
  </si>
  <si>
    <t>Variance $ threshold</t>
  </si>
  <si>
    <t>If the starting amount is zero, % is undefined, so the $ threshold alone decides.</t>
  </si>
  <si>
    <t>Fund totals ($)</t>
  </si>
  <si>
    <t>Metric</t>
  </si>
  <si>
    <t>FY2019 Actual</t>
  </si>
  <si>
    <t>FY2020 Actual</t>
  </si>
  <si>
    <t>FY2021 Budget</t>
  </si>
  <si>
    <t>FY2022 Recommend</t>
  </si>
  <si>
    <t>FY2023 Forecast</t>
  </si>
  <si>
    <t>Revenues (shown as positive)</t>
  </si>
  <si>
    <t>Expenses</t>
  </si>
  <si>
    <t>Net surplus / (deficit)</t>
  </si>
  <si>
    <t>Expense growth vs prior column</t>
  </si>
  <si>
    <t>-</t>
  </si>
  <si>
    <t>Flag counts (expense lines)</t>
  </si>
  <si>
    <t>Expense lines in file</t>
  </si>
  <si>
    <t>Flagged REVIEW: 2021 Budget vs 2020 Actual</t>
  </si>
  <si>
    <t>Flagged REVIEW: 2022 Recommend vs 2021 Budget</t>
  </si>
  <si>
    <t>How to use this workbook</t>
  </si>
  <si>
    <t>Division Summary and Department Summary roll the line-level data up with SUMIFS. Top Variances ranks the 15 biggest expense changes. Data holds the 1,533 source rows plus the variance formulas.</t>
  </si>
  <si>
    <t>In the yellow "Drivers and actions" cells, write why each flagged variance happened and what should happen next. Example format: "Salaries budget appears to absorb leave lines booked separately in 2020; confirm with budget office, then restate 2020 on the same basis."</t>
  </si>
  <si>
    <t>The charts on Division Summary update when the data or thresholds change.</t>
  </si>
  <si>
    <t>Limitations of this dataset (read before presenting)</t>
  </si>
  <si>
    <t>This is NOT a true same-year budget vs actual. The file has actuals for 2019 and 2020 and budget, recommended and forecast figures for 2021 to 2023, but no 2021 actuals. The variances here compare a budget with the last actual year (2021B vs 2020A) and a proposal with the current budget (2022R vs 2021B).</t>
  </si>
  <si>
    <t>Sign convention in the source: revenues are negative, expenses positive. All variance analysis here covers expenses only. A few expense lines hold small negative actuals (credits).</t>
  </si>
  <si>
    <t>Line-level changes can reflect account reclassification, not real spending changes. Treat flags as questions to investigate, not findings.</t>
  </si>
  <si>
    <t>The source file does not state the reason for any change. Anything written in the "Drivers and actions" column is your interpretation and should be confirmed with the budget owner.</t>
  </si>
  <si>
    <t>Colour legend</t>
  </si>
  <si>
    <t>Blue text</t>
  </si>
  <si>
    <t>Source data or an input you can change</t>
  </si>
  <si>
    <t>Black text</t>
  </si>
  <si>
    <t>Formula on the same sheet</t>
  </si>
  <si>
    <t>Green text</t>
  </si>
  <si>
    <t>Formula pulling from another sheet</t>
  </si>
  <si>
    <t>Red fill</t>
  </si>
  <si>
    <t>Flag = REVIEW</t>
  </si>
  <si>
    <t>Expense variance by division</t>
  </si>
  <si>
    <t>Expenses only, in dollars. Positive variance = higher spend. Flag = REVIEW when both the $ and % thresholds on the Overview sheet are met.</t>
  </si>
  <si>
    <t>Division</t>
  </si>
  <si>
    <t>2019 Actual</t>
  </si>
  <si>
    <t>2020 Actual</t>
  </si>
  <si>
    <t>2021 Budget</t>
  </si>
  <si>
    <t>2022 Recommend</t>
  </si>
  <si>
    <t>2023 Forecast</t>
  </si>
  <si>
    <t>Var $
2021B vs 2020A</t>
  </si>
  <si>
    <t>Var %
2021B vs 2020A</t>
  </si>
  <si>
    <t>Flag</t>
  </si>
  <si>
    <t>Var $
2022R vs 2021B</t>
  </si>
  <si>
    <t>Var %
2022R vs 2021B</t>
  </si>
  <si>
    <t>General (Non-Departmental)</t>
  </si>
  <si>
    <t>Public Safety</t>
  </si>
  <si>
    <t>Department of Public Works</t>
  </si>
  <si>
    <t>Parks</t>
  </si>
  <si>
    <t>Public Property &amp; Purchasing</t>
  </si>
  <si>
    <t>Finance Departments</t>
  </si>
  <si>
    <t>Law Department / City Solicitor</t>
  </si>
  <si>
    <t>City Council</t>
  </si>
  <si>
    <t>Department of Inspections &amp; Standards</t>
  </si>
  <si>
    <t>Human Services</t>
  </si>
  <si>
    <t>Information Technology</t>
  </si>
  <si>
    <t>Planning &amp; Urban Development</t>
  </si>
  <si>
    <t>Mayoral Offices</t>
  </si>
  <si>
    <t>Recreation</t>
  </si>
  <si>
    <t>City Courts</t>
  </si>
  <si>
    <t>Personnel / Human Resources</t>
  </si>
  <si>
    <t>Miscellaneous Departments</t>
  </si>
  <si>
    <t>Office of Economic Opportunity</t>
  </si>
  <si>
    <t>Total expenses</t>
  </si>
  <si>
    <t>Check vs Data (should be 0)</t>
  </si>
  <si>
    <t>Expense variance by department</t>
  </si>
  <si>
    <t>Expenses only, in dollars. Positive variance = higher spend. Sorted by 2021 Budget (largest first).</t>
  </si>
  <si>
    <t>Department</t>
  </si>
  <si>
    <t>101-000: Non Departmental-General Fund</t>
  </si>
  <si>
    <t>101-302: Police</t>
  </si>
  <si>
    <t>101-303: Fire</t>
  </si>
  <si>
    <t>101-223: Debt Service</t>
  </si>
  <si>
    <t>101-800: Benefits</t>
  </si>
  <si>
    <t>101-506: Environmental Control</t>
  </si>
  <si>
    <t>101-304: Communications</t>
  </si>
  <si>
    <t>101-1801: Public Property</t>
  </si>
  <si>
    <t>101-1400: Grants Commissions &amp; Misc.</t>
  </si>
  <si>
    <t>101-105: Law Department</t>
  </si>
  <si>
    <t>101-702: Neighborhood Park Services</t>
  </si>
  <si>
    <t>101-01803: Heat Power &amp; Light</t>
  </si>
  <si>
    <t>101-508: Highway</t>
  </si>
  <si>
    <t>101-204: Data Processing</t>
  </si>
  <si>
    <t>101-908: Planning &amp; Urban Development</t>
  </si>
  <si>
    <t>101-101: Mayor's Office</t>
  </si>
  <si>
    <t>101-706: Zoological Services</t>
  </si>
  <si>
    <t>101-601: Recreation</t>
  </si>
  <si>
    <t>101-212: Personnel</t>
  </si>
  <si>
    <t>101-205: City Collector</t>
  </si>
  <si>
    <t>101-510: Snow Removal</t>
  </si>
  <si>
    <t>101-227: Workers Compensation</t>
  </si>
  <si>
    <t>101-301: Commissioner of Public Safety</t>
  </si>
  <si>
    <t>101-909: Office of Economic Opportunity</t>
  </si>
  <si>
    <t>101-401: Building Administration</t>
  </si>
  <si>
    <t>101-207: City Tax Assessor</t>
  </si>
  <si>
    <t>101-402: Structures &amp; Zoning</t>
  </si>
  <si>
    <t>101-916: Arts, Culture, Film, &amp; Tourism</t>
  </si>
  <si>
    <t>101-703: Forestry Services</t>
  </si>
  <si>
    <t>101-917: Human Services</t>
  </si>
  <si>
    <t>101-103: City Clerk</t>
  </si>
  <si>
    <t>101-708: Roger Williams Park Services</t>
  </si>
  <si>
    <t>101-202: City Controller</t>
  </si>
  <si>
    <t>101-106: Municipal Court</t>
  </si>
  <si>
    <t>101-910: City Council Administration</t>
  </si>
  <si>
    <t>101-305: Traffic Engineering</t>
  </si>
  <si>
    <t>101-709: Superintendent of Parks</t>
  </si>
  <si>
    <t>101-201: Finance</t>
  </si>
  <si>
    <t>101-501: Public Works Administration</t>
  </si>
  <si>
    <t>101-904: Board of Canvassers</t>
  </si>
  <si>
    <t>101-502: Engineering &amp; Sanitation</t>
  </si>
  <si>
    <t>101-511: Sewer Construction</t>
  </si>
  <si>
    <t>101-515: Garage R&amp;M Equipment</t>
  </si>
  <si>
    <t>101-905: Bureau of Licenses</t>
  </si>
  <si>
    <t>101-911: Office of the Internal Auditor</t>
  </si>
  <si>
    <t>101-102: City Council Members</t>
  </si>
  <si>
    <t>101-907: Emergency Mgmt / Homeland Sec.</t>
  </si>
  <si>
    <t>101-516: Parking Administration</t>
  </si>
  <si>
    <t>101-209: Treasury</t>
  </si>
  <si>
    <t>101-710: North Burial Ground</t>
  </si>
  <si>
    <t>101-602: Recreation Seasonal</t>
  </si>
  <si>
    <t>101-1311: PERA</t>
  </si>
  <si>
    <t>101-707: Botanical / Greenhouse</t>
  </si>
  <si>
    <t>101-107: Probate Court</t>
  </si>
  <si>
    <t>101-203: Retirement Office</t>
  </si>
  <si>
    <t>101-913: Archives</t>
  </si>
  <si>
    <t>101-901: Recorder of Deeds</t>
  </si>
  <si>
    <t>101-110: Housing Court</t>
  </si>
  <si>
    <t>101-403: Plumbing Drainage &amp; Gas Piping</t>
  </si>
  <si>
    <t>101-903: Vital Statistics</t>
  </si>
  <si>
    <t>101-404: Electrical Installation</t>
  </si>
  <si>
    <t>101-906: Human Relations</t>
  </si>
  <si>
    <t>101-104: City Sergeant</t>
  </si>
  <si>
    <t>101-1319: League of Cities &amp; Towns</t>
  </si>
  <si>
    <t>101-406: Zoning Board of Review</t>
  </si>
  <si>
    <t>101-208: Board of Tax Assessment&amp;Review</t>
  </si>
  <si>
    <t>101-407: Building Board</t>
  </si>
  <si>
    <t>101-1500: Ceremonies</t>
  </si>
  <si>
    <t>101-1309: Housing Authority</t>
  </si>
  <si>
    <t>101-1802: Purchasing</t>
  </si>
  <si>
    <t>101-408: Housing Board</t>
  </si>
  <si>
    <t>101-918: Parking Administration</t>
  </si>
  <si>
    <t>Top 15 expense lines by size of budgeted change</t>
  </si>
  <si>
    <t>Ranked by absolute $ change, 2021 Budget vs 2020 Actual. Ranking updates from the Data sheet.</t>
  </si>
  <si>
    <t>Rank</t>
  </si>
  <si>
    <t>Data row</t>
  </si>
  <si>
    <t>GL Account</t>
  </si>
  <si>
    <t>Data row = position within the Data sheet range (row 1 of the range is the first data row).</t>
  </si>
  <si>
    <t>Row ID</t>
  </si>
  <si>
    <t>Fund</t>
  </si>
  <si>
    <t>Account Type</t>
  </si>
  <si>
    <t>Summary Account</t>
  </si>
  <si>
    <t>2019 Actual ($)</t>
  </si>
  <si>
    <t>2020 Actual ($)</t>
  </si>
  <si>
    <t>2021 Budget ($)</t>
  </si>
  <si>
    <t>2022 Recommend ($)</t>
  </si>
  <si>
    <t>2023 Forecast ($)</t>
  </si>
  <si>
    <t>Var $: 2021B vs 2020A</t>
  </si>
  <si>
    <t>Var %: 2021B vs 2020A</t>
  </si>
  <si>
    <t>Flag: 2021B vs 2020A</t>
  </si>
  <si>
    <t>Var $: 2022R vs 2021B</t>
  </si>
  <si>
    <t>Var %: 2022R vs 2021B</t>
  </si>
  <si>
    <t>Flag: 2022R vs 2021B</t>
  </si>
  <si>
    <t>Rank key (expenses)</t>
  </si>
  <si>
    <t>101: City General</t>
  </si>
  <si>
    <t>REVENUES</t>
  </si>
  <si>
    <t>41000: Total TAX REVENUES</t>
  </si>
  <si>
    <t>PROPERTY TAX REVENUE</t>
  </si>
  <si>
    <t>TANGIBLE TAX REVENUE</t>
  </si>
  <si>
    <t>EXCISE TAX REVENUE</t>
  </si>
  <si>
    <t>42000: Total GRANTS</t>
  </si>
  <si>
    <t>PAYMENT IN LIEU OF TAXES</t>
  </si>
  <si>
    <t>SCHOOL DEBT CONSTRUCTION PAYMENTS</t>
  </si>
  <si>
    <t>TELEPHONE TAX</t>
  </si>
  <si>
    <t>ADDITIONAL STATE OF RI AID</t>
  </si>
  <si>
    <t>STATE REIMBURSEMENT EXCISE TAX</t>
  </si>
  <si>
    <t>DISTRESSED CITY REVENUE</t>
  </si>
  <si>
    <t>MEALS &amp; BEVERAGES TAX</t>
  </si>
  <si>
    <t>42100: Total FEDERAL GRANTS</t>
  </si>
  <si>
    <t>CORONAVIRUS RELIEF FUNDS</t>
  </si>
  <si>
    <t>42200: Total STATE GRANTS</t>
  </si>
  <si>
    <t>STATE GRANT</t>
  </si>
  <si>
    <t>43000: Total DEPARTMENTAL REVENUE</t>
  </si>
  <si>
    <t>D P REIMBURSE SCHOOL DEPARTMENT</t>
  </si>
  <si>
    <t>APPROVED REIMBURSEMENT WAIVER</t>
  </si>
  <si>
    <t>44000: Total FINES &amp; FORFEITURES</t>
  </si>
  <si>
    <t>FINES &amp; FORFEITS / MOVING VIOLATIONS</t>
  </si>
  <si>
    <t>FINES &amp; FORFEITS/BOOTS</t>
  </si>
  <si>
    <t>FINES $ FORFEITS/REG PARKING</t>
  </si>
  <si>
    <t>FINES &amp; FORFEITS / ENVIROMENTAL</t>
  </si>
  <si>
    <t>FINES &amp; FORFEITS INSTATE DELQ</t>
  </si>
  <si>
    <t>45000: Total INVESTMENT INCOME</t>
  </si>
  <si>
    <t>UNREALIZED INVESTMENT APPRECIATION</t>
  </si>
  <si>
    <t>45100: Total INTEREST INCOME</t>
  </si>
  <si>
    <t>INTEREST</t>
  </si>
  <si>
    <t>INTEREST OVERDUE CITY TAXES</t>
  </si>
  <si>
    <t>INTEREST-PORTFOLIO</t>
  </si>
  <si>
    <t>48000: Total MISCELLANEOUS RECEIPTS</t>
  </si>
  <si>
    <t>MISCELLANEOUS REVENUE</t>
  </si>
  <si>
    <t>MISCELLANEOUS REVENUE- OTHER</t>
  </si>
  <si>
    <t>48200: Total OTHER REVENUES</t>
  </si>
  <si>
    <t>REIMBURSEMENT - W.S.B.</t>
  </si>
  <si>
    <t>REIMBURSEMENTS</t>
  </si>
  <si>
    <t>ROOM TAX</t>
  </si>
  <si>
    <t>TAX STABILIZATION PLAN - ADMIN FEES</t>
  </si>
  <si>
    <t>NON-UTILIZATION TAX</t>
  </si>
  <si>
    <t>IN LIEU OF TAX ON EXEMPT PROPERTY</t>
  </si>
  <si>
    <t>PAYMENT IN LIEU OF TAXES: COLLEGES,UNIVERSITIES,HOSPITALS</t>
  </si>
  <si>
    <t>STABILIZATION TREATY - ELECTRIC CO</t>
  </si>
  <si>
    <t>PROVIDENCE PLACE MALL</t>
  </si>
  <si>
    <t>PILOT - PROVIDENCE HOUSING AUTHORITY</t>
  </si>
  <si>
    <t>TAX STABILIZATION AGREEMENTS - REAL PROP</t>
  </si>
  <si>
    <t>TAX STABILIZATION AGREEMENTS - TANGIBLE PROP</t>
  </si>
  <si>
    <t>PORT OF PROVIDENCE</t>
  </si>
  <si>
    <t>49000: Total TRANSFERS FROM FUNDS</t>
  </si>
  <si>
    <t>TRANSFER FROM FUND 252</t>
  </si>
  <si>
    <t>TRANSFER FROM FUND 256</t>
  </si>
  <si>
    <t>TRANSFER FROM ARPA FUND 263</t>
  </si>
  <si>
    <t>TRANSFER FROM FUND 283</t>
  </si>
  <si>
    <t>TRANSFER FROM NO BURIAL GD (FD 801)</t>
  </si>
  <si>
    <t>TRANSFER FROM FUND 856 - CAPITAL ASSETS</t>
  </si>
  <si>
    <t>MISCELLANEOUS FEES</t>
  </si>
  <si>
    <t>CERTIFIED COPIES</t>
  </si>
  <si>
    <t>AUCTIONEERS RETURN</t>
  </si>
  <si>
    <t>GOING OUT OF BUSINESS LICENSE</t>
  </si>
  <si>
    <t>REGISTRATIONS - DBAS</t>
  </si>
  <si>
    <t>ZONING BOOKS AND MAPS</t>
  </si>
  <si>
    <t>NOTARY FEES</t>
  </si>
  <si>
    <t>DRAFT COPIES</t>
  </si>
  <si>
    <t>ZONING CHANGES</t>
  </si>
  <si>
    <t>LOBBYING REGISTRATION FEES</t>
  </si>
  <si>
    <t>MARRIAGE LICENSES</t>
  </si>
  <si>
    <t>42500: Total MISCELLANEOUS GRANTS</t>
  </si>
  <si>
    <t>OTHER SUBGRANTED REVENUES</t>
  </si>
  <si>
    <t>CERTIFIED LISTS</t>
  </si>
  <si>
    <t>LIQUOR LICENSES</t>
  </si>
  <si>
    <t>TOBACCO LICENSES</t>
  </si>
  <si>
    <t>DANCE &amp; EXHIBITIONS</t>
  </si>
  <si>
    <t>JUNK GATHERERS</t>
  </si>
  <si>
    <t>PAWNBROKERS</t>
  </si>
  <si>
    <t>SECOND HAND STORES</t>
  </si>
  <si>
    <t>SUNDAY SALES</t>
  </si>
  <si>
    <t>DETECTIVES</t>
  </si>
  <si>
    <t>SUNDAY PARKING</t>
  </si>
  <si>
    <t>LAUNDRY</t>
  </si>
  <si>
    <t>FOOD DISPENSERS</t>
  </si>
  <si>
    <t>FROZEN DESSERTS</t>
  </si>
  <si>
    <t>CONDUCT BUSINESS 1-4</t>
  </si>
  <si>
    <t>LICENSE TRANSFER</t>
  </si>
  <si>
    <t>PEDDLERS BADGES</t>
  </si>
  <si>
    <t>IDPVD MUNICIPAL ID FEE</t>
  </si>
  <si>
    <t>FOOD TRUCKS</t>
  </si>
  <si>
    <t>ADVERTISING FEES</t>
  </si>
  <si>
    <t>FINES &amp; PENALTIES</t>
  </si>
  <si>
    <t>ENTERTAINMENT</t>
  </si>
  <si>
    <t>AMUSEMENT CENTER</t>
  </si>
  <si>
    <t>BOUNCER REGISTRATION</t>
  </si>
  <si>
    <t>EXTENSION OF PREMISES FILE FEES</t>
  </si>
  <si>
    <t>HACKNEY CARRIAGE DRIVE</t>
  </si>
  <si>
    <t>HACKNEY POWER VEHICLES</t>
  </si>
  <si>
    <t>MECHANICAL DEVICES</t>
  </si>
  <si>
    <t>MOTOR VEHICLE REPAIR</t>
  </si>
  <si>
    <t>PETROLEUM  STORAGE</t>
  </si>
  <si>
    <t>VALET LICENSES</t>
  </si>
  <si>
    <t>VENDOR INCOME</t>
  </si>
  <si>
    <t>APPLICATION FEES</t>
  </si>
  <si>
    <t>PAYROLL REIMBURSEMENT</t>
  </si>
  <si>
    <t>PROBATE COURT FEES</t>
  </si>
  <si>
    <t>ADVERTISING REVENUE</t>
  </si>
  <si>
    <t>NAME CHANGE FEES</t>
  </si>
  <si>
    <t>PETITION FOR ADMINISTRATION</t>
  </si>
  <si>
    <t>PETITION FOR GUARDIANSHIP</t>
  </si>
  <si>
    <t>CERTIFICATE OF APPOINTMENT</t>
  </si>
  <si>
    <t>PROBATE OF WILL</t>
  </si>
  <si>
    <t>ADDITIONAL PERCENTAGE</t>
  </si>
  <si>
    <t>AFFIDAVIT OF COMPLETED ADMIN.</t>
  </si>
  <si>
    <t>COURT COSTS</t>
  </si>
  <si>
    <t>FINES &amp; FORFEITS</t>
  </si>
  <si>
    <t>APPLICATION FEE-PLASTIC BAG BAN EXEMPTION</t>
  </si>
  <si>
    <t>ARAMARK ADD'L CAPITAL PROJECTS FINANCIAL COMMITMENT</t>
  </si>
  <si>
    <t>45200: Total RENTAL INCOME</t>
  </si>
  <si>
    <t>RENTAL INCOME</t>
  </si>
  <si>
    <t>46200: Total INSURANCE CHARGES</t>
  </si>
  <si>
    <t>INSURANCE PROCEEDS</t>
  </si>
  <si>
    <t>BUILDING INSPECTOR MISCELLANEOUS</t>
  </si>
  <si>
    <t>STRUCTURE ZONING</t>
  </si>
  <si>
    <t>PLUMBING DRAIN GAS</t>
  </si>
  <si>
    <t>ELECTRICAL</t>
  </si>
  <si>
    <t>MECHANICAL</t>
  </si>
  <si>
    <t>STATE FEES - ADA</t>
  </si>
  <si>
    <t>STATE FEES - RADON</t>
  </si>
  <si>
    <t>INSPECTION VIOLATIONS</t>
  </si>
  <si>
    <t>ABANDONED PROPERTIES REVENUE</t>
  </si>
  <si>
    <t>BLDG/INSP-BOARDING LIEN REVENUE</t>
  </si>
  <si>
    <t>ZONING APPLICATION FEES &amp; HOUSING</t>
  </si>
  <si>
    <t>BUILDING APPLICATION FEES</t>
  </si>
  <si>
    <t>NO. BURIAL GROUNDS FEES</t>
  </si>
  <si>
    <t>PARKING METER CASH RETURNS</t>
  </si>
  <si>
    <t>PARKING METER REVENUE - PROVPASS</t>
  </si>
  <si>
    <t>DETAIL SALARY REVENUE</t>
  </si>
  <si>
    <t>GARBAGE RECEPTACLES</t>
  </si>
  <si>
    <t>CLEANUP COLLECTIONS</t>
  </si>
  <si>
    <t>DUMPSTER FEES</t>
  </si>
  <si>
    <t>CURBWORK</t>
  </si>
  <si>
    <t>SIDEWALK CONTRACTORS</t>
  </si>
  <si>
    <t>SIDEWLK STNDS; NEWS STNDS; ETC.</t>
  </si>
  <si>
    <t>PERMITS REVENUE</t>
  </si>
  <si>
    <t>SEWER CONSTR &amp; MAINT. DRAIN FEES</t>
  </si>
  <si>
    <t>PARKING PERMITS</t>
  </si>
  <si>
    <t>PARKING CALE METERS</t>
  </si>
  <si>
    <t>VIN VERIFICATION</t>
  </si>
  <si>
    <t>OFFICER COURT FEES</t>
  </si>
  <si>
    <t>BUREAU OF CRIME INDENTIFICATION</t>
  </si>
  <si>
    <t>POLICE PHOTO COPY</t>
  </si>
  <si>
    <t>FALSE POLICE ALARM BILLINGS REVENUE</t>
  </si>
  <si>
    <t>SCHOOL ZONE TRAFFIC CAMERAS</t>
  </si>
  <si>
    <t>POLICE - RED LIGHT CAMERAS</t>
  </si>
  <si>
    <t>FINES &amp; PENALTIES (% STATE SUMMONS)</t>
  </si>
  <si>
    <t>PLAN REVIEW FEES</t>
  </si>
  <si>
    <t>RESCUE BILLINGS REVENUE</t>
  </si>
  <si>
    <t>FIRE DEPARTMENT INSPECTIONS</t>
  </si>
  <si>
    <t>TELEPHONE</t>
  </si>
  <si>
    <t>CIVIL DEFENSE REIMBURSEMENT</t>
  </si>
  <si>
    <t>WITNESS FEES</t>
  </si>
  <si>
    <t>EXP OF COLLECT GENERAL PROPERTY TAX</t>
  </si>
  <si>
    <t>SEARCHING RECORDS</t>
  </si>
  <si>
    <t>COPIES</t>
  </si>
  <si>
    <t>CUSTOMER USE OF COPY MACHINES</t>
  </si>
  <si>
    <t>RECORDER OF DEEDS FEES</t>
  </si>
  <si>
    <t>IRS LIEN DISCHARGES</t>
  </si>
  <si>
    <t>RHODE ISLAND REAL ESTATE CONVEY TAX</t>
  </si>
  <si>
    <t>EXPENSES</t>
  </si>
  <si>
    <t>50000: Total PERSONNEL SALARIES</t>
  </si>
  <si>
    <t>SALARIES</t>
  </si>
  <si>
    <t>51000: Total EMPLOYEE BENEFITS</t>
  </si>
  <si>
    <t>DENTAL INSURANCE</t>
  </si>
  <si>
    <t>F.I.C.A.</t>
  </si>
  <si>
    <t>TRANSFER TO ACTIVE MEDICAL INS FUND</t>
  </si>
  <si>
    <t>52500: Total BANK CHARGES</t>
  </si>
  <si>
    <t>TELLER SHORTAGE/OVERAGE</t>
  </si>
  <si>
    <t>53500: Total OTHER SERVICES</t>
  </si>
  <si>
    <t>MISC. EXPENSES</t>
  </si>
  <si>
    <t>55000: Total OTHER EXPENDITURES</t>
  </si>
  <si>
    <t>CONTINGENCIES</t>
  </si>
  <si>
    <t>NEIGHBORHOOD REINVESTMENT</t>
  </si>
  <si>
    <t>NEIGHBORHOOD SERVICES</t>
  </si>
  <si>
    <t>59000: Total TRANSFERS TO</t>
  </si>
  <si>
    <t>RAINY DAY &amp; DEFICIT REDUCTION</t>
  </si>
  <si>
    <t>TRANSFER TO SCHOOL CO. 10</t>
  </si>
  <si>
    <t>TRANSFER TO  FUND 351</t>
  </si>
  <si>
    <t>TRANSFER TO MARY E SHARP TREE FUND 676</t>
  </si>
  <si>
    <t>TRANSFER TO 829</t>
  </si>
  <si>
    <t>TRANSFER TO 830</t>
  </si>
  <si>
    <t>52400: Total UTILITIES</t>
  </si>
  <si>
    <t>HEAT &amp; LIGHT &amp; POWER</t>
  </si>
  <si>
    <t>GRANT EXPENDITURES</t>
  </si>
  <si>
    <t>CEREMONIES</t>
  </si>
  <si>
    <t>52100: Total G&amp;A SERVICES</t>
  </si>
  <si>
    <t>DEBT SERVICE - PRINCIPAL</t>
  </si>
  <si>
    <t>DEBT SERVICE - INTEREST</t>
  </si>
  <si>
    <t>PRINCIPAL PAYMENTS -  MASTER LEASES</t>
  </si>
  <si>
    <t>INTEREST PAYMENTS - MASTER LEASES</t>
  </si>
  <si>
    <t>DEBT SERVICE RESERVE</t>
  </si>
  <si>
    <t>FISCAL AGENTS FEES</t>
  </si>
  <si>
    <t>53040: Total LEASE COSTS</t>
  </si>
  <si>
    <t>PRINCIPAL  RENTAL PAYMENTS - PPBA</t>
  </si>
  <si>
    <t>INTEREST RENTAL PAYMENTS - PPBA</t>
  </si>
  <si>
    <t>MEDICAL SERVICES - WORKMANS COMPENS</t>
  </si>
  <si>
    <t>LABORERS INT'L PENSION</t>
  </si>
  <si>
    <t>CITY OF PROVIDENCE PENSION EXPENSE</t>
  </si>
  <si>
    <t>INJURY PAYMENTS</t>
  </si>
  <si>
    <t>LOCAL 1033 BENEFITS EXPENSE</t>
  </si>
  <si>
    <t>FEES NOT CLASSIFIED</t>
  </si>
  <si>
    <t>EMPLOYEE DEATH BENEFITS</t>
  </si>
  <si>
    <t>STATE UNEMPLOY COMP</t>
  </si>
  <si>
    <t>TRANSFER TO RETIREE MEDICAL INS FUND</t>
  </si>
  <si>
    <t>POSTAGE</t>
  </si>
  <si>
    <t>53200: Total PROFESSIONAL FEES</t>
  </si>
  <si>
    <t>AUDIT</t>
  </si>
  <si>
    <t>54000: Total OFFICE SUPPLIES</t>
  </si>
  <si>
    <t>STATIONERY</t>
  </si>
  <si>
    <t>TRANSFER - COUNCIL CONTINGENCY</t>
  </si>
  <si>
    <t>SALARIES-TEMPORARIES</t>
  </si>
  <si>
    <t>OVERTIME</t>
  </si>
  <si>
    <t>SICK LEAVE</t>
  </si>
  <si>
    <t>VACATION</t>
  </si>
  <si>
    <t>CALL BACK</t>
  </si>
  <si>
    <t>HOLIDAY</t>
  </si>
  <si>
    <t>LONGEVITY</t>
  </si>
  <si>
    <t>AUTO ALLOWANCE</t>
  </si>
  <si>
    <t>ADVERTISING/MARKETING</t>
  </si>
  <si>
    <t>DUES &amp; SUBSCRIPTIONS</t>
  </si>
  <si>
    <t>PRINTING</t>
  </si>
  <si>
    <t>52700: Total TRAINING &amp; DEVELOPMENT</t>
  </si>
  <si>
    <t>TRAINING</t>
  </si>
  <si>
    <t>52910: Total R&amp;M OTHER</t>
  </si>
  <si>
    <t>MAIN &amp; SERVICE</t>
  </si>
  <si>
    <t>52900: Total R&amp;M EQUIPMENT</t>
  </si>
  <si>
    <t>REPAIRS TO OFFICE EQUIPMENT</t>
  </si>
  <si>
    <t>HEALTHCARE EE CASH PAYMENT</t>
  </si>
  <si>
    <t>53100: Total TRAVEL &amp; ENTERTAINMENT</t>
  </si>
  <si>
    <t>TRANSPORTATION OF PERSONS-TRAINING</t>
  </si>
  <si>
    <t>53400: Total CONTRACT SERVICES</t>
  </si>
  <si>
    <t>PRIVATE CONTRACTORS</t>
  </si>
  <si>
    <t>54700: Total OTHER SUPPLY</t>
  </si>
  <si>
    <t>MISCELLANEOUS MATERIALS AND SUPPLIES</t>
  </si>
  <si>
    <t>OFFICE SUPPLIES</t>
  </si>
  <si>
    <t>52860: Total FURNITURE AND FIXTURES</t>
  </si>
  <si>
    <t>OFFICE FURNITURE</t>
  </si>
  <si>
    <t>COPIERS LEASE AND MAINTENANCE</t>
  </si>
  <si>
    <t>ELECTION OFFICIALS</t>
  </si>
  <si>
    <t>52800: Total EQUIPMENT</t>
  </si>
  <si>
    <t>MACHINERY &amp; EQUIPMENT</t>
  </si>
  <si>
    <t>53000: Total RENT OTHER</t>
  </si>
  <si>
    <t>RENTAL OF LAND AND BUILDINGS</t>
  </si>
  <si>
    <t>53010: Total RENT EQUIPMENT</t>
  </si>
  <si>
    <t>RENTAL OF EQUIPMENT</t>
  </si>
  <si>
    <t>DIFFERENTIAL PAY</t>
  </si>
  <si>
    <t>ALTERNATIVE WORK WEEK</t>
  </si>
  <si>
    <t>LEGAL EXPENSES</t>
  </si>
  <si>
    <t>TRAVEL</t>
  </si>
  <si>
    <t>CONTRACTUAL SERVICES/OTHER SERVICES</t>
  </si>
  <si>
    <t>PROGRAM EXPENSE</t>
  </si>
  <si>
    <t>52880: Total OTHER CAPITAL EXPENSES</t>
  </si>
  <si>
    <t>MISC PROJECT EXPENSE</t>
  </si>
  <si>
    <t>CONTRACTUAL SERVICES</t>
  </si>
  <si>
    <t>FOOD</t>
  </si>
  <si>
    <t>TRANSPORTATION</t>
  </si>
  <si>
    <t>RENTALS NO CLASSIFIED</t>
  </si>
  <si>
    <t>WITNESS FEE</t>
  </si>
  <si>
    <t>52850: Total COMPUTER EQUIPMENT</t>
  </si>
  <si>
    <t>COMPUTER EQUIPMENT</t>
  </si>
  <si>
    <t>STIPENDS</t>
  </si>
  <si>
    <t>52000: Total DEPARTMENTAL SERVICES</t>
  </si>
  <si>
    <t>REFUSE PROCESSING</t>
  </si>
  <si>
    <t>LIABILITY INSURANCE</t>
  </si>
  <si>
    <t>PEST CONTROL</t>
  </si>
  <si>
    <t>STRUCTURES &amp; IMPROVEMENTS</t>
  </si>
  <si>
    <t>REPAIRS TO AUTOS &amp; TRUCKS</t>
  </si>
  <si>
    <t>REPAIRS TO BUILDINGS</t>
  </si>
  <si>
    <t>SMALL TOOLS   SHOP SUPPLIES</t>
  </si>
  <si>
    <t>54270: Total HIGHWAY DEPT</t>
  </si>
  <si>
    <t>LUBRICANTS</t>
  </si>
  <si>
    <t>FUEL</t>
  </si>
  <si>
    <t>HOUSEKEEPING SUPPLIES</t>
  </si>
  <si>
    <t>MIS PAINT SUPPLIES</t>
  </si>
  <si>
    <t>MOTOR FUEL</t>
  </si>
  <si>
    <t>TIRES</t>
  </si>
  <si>
    <t>UNIFORMS/WEARING APPAREL</t>
  </si>
  <si>
    <t>VARIOUS SCHOOL REHAB REHAB PROJECTS</t>
  </si>
  <si>
    <t>GASB34: Total GASB34 ACCOUNTS</t>
  </si>
  <si>
    <t>DEPRECIATION- STRUCTURES &amp; IMPROVEMENTS</t>
  </si>
  <si>
    <t>COURT REPORTERS</t>
  </si>
  <si>
    <t>REPAIRS TO OTHER EQUIPMENT</t>
  </si>
  <si>
    <t>54200: Total COMMUNICATION DEPT SUPPLIES</t>
  </si>
  <si>
    <t>PLUMBING</t>
  </si>
  <si>
    <t>CONST &amp; MAINT SUPPLIES</t>
  </si>
  <si>
    <t>GRAVEL SAND</t>
  </si>
  <si>
    <t>AUTO PARTS</t>
  </si>
  <si>
    <t>LOAM</t>
  </si>
  <si>
    <t>LUMBER AND HARDWARE</t>
  </si>
  <si>
    <t>PIPE</t>
  </si>
  <si>
    <t>57000: Total WATER SUPPLY DEPT</t>
  </si>
  <si>
    <t>SEEDS FERTILIZER TREES &amp; SHRUBS</t>
  </si>
  <si>
    <t>EDUC &amp; REC SUPPLIES</t>
  </si>
  <si>
    <t>BUILDING INSURANCE</t>
  </si>
  <si>
    <t>REPAIRS OFFICE MACH.   FURNITURE</t>
  </si>
  <si>
    <t>TAXES - REAL ESTATE</t>
  </si>
  <si>
    <t>54150: Total FIRE DEPT SUPPLIES</t>
  </si>
  <si>
    <t>MED CHEM &amp; LAB SUPPLIES</t>
  </si>
  <si>
    <t>REPAIRS TO EQUIPMENT</t>
  </si>
  <si>
    <t>MISCELLANEOUS PROFESSIONAL SERVICES</t>
  </si>
  <si>
    <t>54250: Total TRAFFIC ENGINEERING SUPPLIES</t>
  </si>
  <si>
    <t>TRAFFIC SIGNS</t>
  </si>
  <si>
    <t>HURRICANE BARRIER MAINTENANCE</t>
  </si>
  <si>
    <t>RECYCLING PICK UP</t>
  </si>
  <si>
    <t>WASTE RECYCLING EDUCATION</t>
  </si>
  <si>
    <t>GARBAGE PICK UP</t>
  </si>
  <si>
    <t>54260: Total ENVIRONMENTAL MANAGEMENT</t>
  </si>
  <si>
    <t>CHEMICAL SUPPLIES</t>
  </si>
  <si>
    <t>POLICE &amp; FIRE DETAILS FOR CITY DEPTS</t>
  </si>
  <si>
    <t>STREET SWEEPING</t>
  </si>
  <si>
    <t>54280: Total BRIDGE MAINTENANCE</t>
  </si>
  <si>
    <t>ASPHALTIC PRODUCTS</t>
  </si>
  <si>
    <t>CEMENT PLASTER &amp; PRODUCTS</t>
  </si>
  <si>
    <t>SNOW REMOVAL OVERTIME</t>
  </si>
  <si>
    <t>MATERIALS SNOW &amp; ICE REMOVAL</t>
  </si>
  <si>
    <t>54290: Total SNOW REMOVAL</t>
  </si>
  <si>
    <t>SPECIAL CASTINGS</t>
  </si>
  <si>
    <t>OTHER SERVICES</t>
  </si>
  <si>
    <t>PBA EXPENSES</t>
  </si>
  <si>
    <t>OVERTIME - SPECIAL EVENTS</t>
  </si>
  <si>
    <t>OVERTIME - TRAINING</t>
  </si>
  <si>
    <t>SICK LEAVE BONUS</t>
  </si>
  <si>
    <t>SERVICE OUT OF RANK</t>
  </si>
  <si>
    <t>INJURED EMPLOYEES</t>
  </si>
  <si>
    <t>HOLIDAY PAY POLICE FIRE</t>
  </si>
  <si>
    <t>POLICE LEGAL FUND</t>
  </si>
  <si>
    <t>RUBBISH REMOVAL</t>
  </si>
  <si>
    <t>PROMOTIONAL EXAMS</t>
  </si>
  <si>
    <t>52600: Total RECRUITMENT COSTS</t>
  </si>
  <si>
    <t>PERSONNEL RECRUITMENT</t>
  </si>
  <si>
    <t>BACKGROUND CHECK</t>
  </si>
  <si>
    <t>TUITION</t>
  </si>
  <si>
    <t>EXTERIOR MAINT - VEHICLES</t>
  </si>
  <si>
    <t>RED LIGHT CAMERA FEES</t>
  </si>
  <si>
    <t>SPEED ZONE CAMERA EXPENSE</t>
  </si>
  <si>
    <t>54100: Total POLICE DEPT SUPPLIES</t>
  </si>
  <si>
    <t>ANIMAL FOOD</t>
  </si>
  <si>
    <t>CANINE UNIT - SUPPLIES</t>
  </si>
  <si>
    <t>EQUESTRIAN ACCOUNT</t>
  </si>
  <si>
    <t>EQUESTRIAN UNIT - SUPPLIES</t>
  </si>
  <si>
    <t>EQUESTRIAN UNIT - PROF CARE</t>
  </si>
  <si>
    <t>GUNS &amp; AMMUNITION</t>
  </si>
  <si>
    <t>EDUCATIONAL INCENTIVE SALARIES</t>
  </si>
  <si>
    <t>54600: Total SCHOOL SUPPLIES</t>
  </si>
  <si>
    <t>EDUCATIONAL MATERIALS</t>
  </si>
  <si>
    <t>RADIO PARTS &amp; SUPPLIES</t>
  </si>
  <si>
    <t>COMMUNICATIONS HARDWARE</t>
  </si>
  <si>
    <t>COMMUNICATION EQUIPMENT</t>
  </si>
  <si>
    <t>SUPPLIES</t>
  </si>
  <si>
    <t>DATA PROC DIV CHARGES</t>
  </si>
  <si>
    <t>INFORMATION TECHNOLOGY</t>
  </si>
  <si>
    <t>EXAMINING TITLES</t>
  </si>
  <si>
    <t>AUCTIONEERS SERVICES</t>
  </si>
  <si>
    <t>CONTRACTUAL SERVICES/TRAINING</t>
  </si>
  <si>
    <t>PAY OF CLAIMS &amp; DAMAGES</t>
  </si>
  <si>
    <t>REFERENCE BOOKS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</si>
</sst>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"/>
    <numFmt numFmtId="165" formatCode="#,##0;\(#,##0\);\-"/>
    <numFmt numFmtId="166" formatCode="0.0%;\(0.0%\);\-"/>
    <numFmt numFmtId="167" formatCode="0.000000"/>
  </numFmts>
  <fonts count="8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i/>
      <sz val="9"/>
      <color rgb="FF59595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b/>
      <sz val="10"/>
      <color rgb="FFFFFFFF"/>
      <name val="Arial"/>
      <family val="2"/>
    </font>
    <font>
      <sz val="10"/>
      <color rgb="FF008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F8CBAD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4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4" fillId="0" borderId="0" xfId="0" applyFont="1"/>
    <xf numFmtId="9" fontId="5" fillId="3" borderId="0" xfId="0" applyNumberFormat="1" applyFont="1" applyFill="1"/>
    <xf numFmtId="164" fontId="5" fillId="3" borderId="0" xfId="0" applyNumberFormat="1" applyFont="1" applyFill="1"/>
    <xf numFmtId="0" fontId="6" fillId="4" borderId="0" xfId="0" applyFont="1" applyFill="1" applyAlignment="1">
      <alignment horizontal="center" wrapText="1"/>
    </xf>
    <xf numFmtId="0" fontId="4" fillId="0" borderId="1" xfId="0" applyFont="1" applyBorder="1"/>
    <xf numFmtId="165" fontId="7" fillId="0" borderId="1" xfId="0" applyNumberFormat="1" applyFont="1" applyBorder="1"/>
    <xf numFmtId="0" fontId="3" fillId="0" borderId="1" xfId="0" applyFont="1" applyBorder="1"/>
    <xf numFmtId="165" fontId="3" fillId="0" borderId="1" xfId="0" applyNumberFormat="1" applyFont="1" applyBorder="1"/>
    <xf numFmtId="0" fontId="4" fillId="0" borderId="1" xfId="0" applyFont="1" applyBorder="1" applyAlignment="1">
      <alignment horizontal="right"/>
    </xf>
    <xf numFmtId="166" fontId="4" fillId="0" borderId="1" xfId="0" applyNumberFormat="1" applyFont="1" applyBorder="1"/>
    <xf numFmtId="3" fontId="7" fillId="0" borderId="0" xfId="0" applyNumberFormat="1" applyFont="1"/>
    <xf numFmtId="0" fontId="5" fillId="0" borderId="0" xfId="0" applyFont="1"/>
    <xf numFmtId="0" fontId="7" fillId="0" borderId="0" xfId="0" applyFont="1"/>
    <xf numFmtId="0" fontId="4" fillId="5" borderId="0" xfId="0" applyFont="1" applyFill="1"/>
    <xf numFmtId="0" fontId="6" fillId="4" borderId="0" xfId="0" applyFont="1" applyFill="1" applyAlignment="1">
      <alignment horizontal="center" vertical="center" wrapText="1"/>
    </xf>
    <xf numFmtId="165" fontId="4" fillId="0" borderId="1" xfId="0" applyNumberFormat="1" applyFont="1" applyBorder="1"/>
    <xf numFmtId="0" fontId="3" fillId="2" borderId="1" xfId="0" applyFont="1" applyFill="1" applyBorder="1"/>
    <xf numFmtId="165" fontId="3" fillId="2" borderId="1" xfId="0" applyNumberFormat="1" applyFont="1" applyFill="1" applyBorder="1"/>
    <xf numFmtId="166" fontId="3" fillId="2" borderId="1" xfId="0" applyNumberFormat="1" applyFont="1" applyFill="1" applyBorder="1"/>
    <xf numFmtId="0" fontId="0" fillId="2" borderId="1" xfId="0" applyFill="1" applyBorder="1"/>
    <xf numFmtId="165" fontId="2" fillId="0" borderId="0" xfId="0" applyNumberFormat="1" applyFont="1"/>
    <xf numFmtId="0" fontId="7" fillId="0" borderId="1" xfId="0" applyFont="1" applyBorder="1"/>
    <xf numFmtId="166" fontId="7" fillId="0" borderId="1" xfId="0" applyNumberFormat="1" applyFont="1" applyBorder="1"/>
    <xf numFmtId="0" fontId="6" fillId="4" borderId="0" xfId="0" applyFont="1" applyFill="1" applyAlignment="1">
      <alignment vertical="center" wrapText="1"/>
    </xf>
    <xf numFmtId="165" fontId="5" fillId="0" borderId="0" xfId="0" applyNumberFormat="1" applyFont="1"/>
    <xf numFmtId="165" fontId="4" fillId="0" borderId="0" xfId="0" applyNumberFormat="1" applyFont="1"/>
    <xf numFmtId="166" fontId="4" fillId="0" borderId="0" xfId="0" applyNumberFormat="1" applyFont="1"/>
    <xf numFmtId="167" fontId="4" fillId="0" borderId="0" xfId="0" applyNumberFormat="1" applyFont="1"/>
  </cellXfs>
  <cellStyles count="1">
    <cellStyle name="Normal" xfId="0" builtinId="0"/>
  </cellStyles>
  <dxfs count="7"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9F9F9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Budgeted change in spend by division: 2021 Budget vs 2020 Actual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'Division Summary'!$G$4</c:f>
              <c:strCache>
                <c:ptCount val="1"/>
                <c:pt idx="0">
                  <c:v>Var $
2021B vs 2020A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'Division Summary'!$A$5:$A$22</c:f>
              <c:strCache>
                <c:ptCount val="18"/>
                <c:pt idx="0">
                  <c:v>General (Non-Departmental)</c:v>
                </c:pt>
                <c:pt idx="1">
                  <c:v>Public Safety</c:v>
                </c:pt>
                <c:pt idx="2">
                  <c:v>Department of Public Works</c:v>
                </c:pt>
                <c:pt idx="3">
                  <c:v>Parks</c:v>
                </c:pt>
                <c:pt idx="4">
                  <c:v>Public Property &amp; Purchasing</c:v>
                </c:pt>
                <c:pt idx="5">
                  <c:v>Finance Departments</c:v>
                </c:pt>
                <c:pt idx="6">
                  <c:v>Law Department / City Solicitor</c:v>
                </c:pt>
                <c:pt idx="7">
                  <c:v>City Council</c:v>
                </c:pt>
                <c:pt idx="8">
                  <c:v>Department of Inspections &amp; Standards</c:v>
                </c:pt>
                <c:pt idx="9">
                  <c:v>Human Services</c:v>
                </c:pt>
                <c:pt idx="10">
                  <c:v>Information Technology</c:v>
                </c:pt>
                <c:pt idx="11">
                  <c:v>Planning &amp; Urban Development</c:v>
                </c:pt>
                <c:pt idx="12">
                  <c:v>Mayoral Offices</c:v>
                </c:pt>
                <c:pt idx="13">
                  <c:v>Recreation</c:v>
                </c:pt>
                <c:pt idx="14">
                  <c:v>City Courts</c:v>
                </c:pt>
                <c:pt idx="15">
                  <c:v>Personnel / Human Resources</c:v>
                </c:pt>
                <c:pt idx="16">
                  <c:v>Miscellaneous Departments</c:v>
                </c:pt>
                <c:pt idx="17">
                  <c:v>Office of Economic Opportunity</c:v>
                </c:pt>
              </c:strCache>
            </c:strRef>
          </c:cat>
          <c:val>
            <c:numRef>
              <c:f>'Division Summary'!$G$5:$G$22</c:f>
              <c:numCache>
                <c:formatCode>#,##0;\(#,##0\);\-</c:formatCode>
                <c:ptCount val="18"/>
                <c:pt idx="0">
                  <c:v>-9110999</c:v>
                </c:pt>
                <c:pt idx="1">
                  <c:v>31524032</c:v>
                </c:pt>
                <c:pt idx="2">
                  <c:v>2129476</c:v>
                </c:pt>
                <c:pt idx="3">
                  <c:v>119517</c:v>
                </c:pt>
                <c:pt idx="4">
                  <c:v>259254</c:v>
                </c:pt>
                <c:pt idx="5">
                  <c:v>-170775</c:v>
                </c:pt>
                <c:pt idx="6">
                  <c:v>-490258</c:v>
                </c:pt>
                <c:pt idx="7">
                  <c:v>943897</c:v>
                </c:pt>
                <c:pt idx="8">
                  <c:v>365626</c:v>
                </c:pt>
                <c:pt idx="9">
                  <c:v>1464402</c:v>
                </c:pt>
                <c:pt idx="10">
                  <c:v>315445</c:v>
                </c:pt>
                <c:pt idx="11">
                  <c:v>-123862</c:v>
                </c:pt>
                <c:pt idx="12">
                  <c:v>108889</c:v>
                </c:pt>
                <c:pt idx="13">
                  <c:v>-399369</c:v>
                </c:pt>
                <c:pt idx="14">
                  <c:v>112825</c:v>
                </c:pt>
                <c:pt idx="15">
                  <c:v>197065</c:v>
                </c:pt>
                <c:pt idx="16">
                  <c:v>546485</c:v>
                </c:pt>
                <c:pt idx="17">
                  <c:v>121738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13-2F48-BCF8-3B2B3613D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452504"/>
        <c:axId val="51975210"/>
      </c:barChart>
      <c:catAx>
        <c:axId val="99452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1975210"/>
        <c:crosses val="autoZero"/>
        <c:auto val="1"/>
        <c:lblAlgn val="ctr"/>
        <c:lblOffset val="100"/>
        <c:noMultiLvlLbl val="0"/>
      </c:catAx>
      <c:valAx>
        <c:axId val="5197521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45250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Budgeted change in spend by division: 2021 Budget vs 2020 Actual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'Division Summary'!$H$4</c:f>
              <c:strCache>
                <c:ptCount val="1"/>
                <c:pt idx="0">
                  <c:v>Var %
2021B vs 2020A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'Division Summary'!$A$5:$A$22</c:f>
              <c:strCache>
                <c:ptCount val="18"/>
                <c:pt idx="0">
                  <c:v>General (Non-Departmental)</c:v>
                </c:pt>
                <c:pt idx="1">
                  <c:v>Public Safety</c:v>
                </c:pt>
                <c:pt idx="2">
                  <c:v>Department of Public Works</c:v>
                </c:pt>
                <c:pt idx="3">
                  <c:v>Parks</c:v>
                </c:pt>
                <c:pt idx="4">
                  <c:v>Public Property &amp; Purchasing</c:v>
                </c:pt>
                <c:pt idx="5">
                  <c:v>Finance Departments</c:v>
                </c:pt>
                <c:pt idx="6">
                  <c:v>Law Department / City Solicitor</c:v>
                </c:pt>
                <c:pt idx="7">
                  <c:v>City Council</c:v>
                </c:pt>
                <c:pt idx="8">
                  <c:v>Department of Inspections &amp; Standards</c:v>
                </c:pt>
                <c:pt idx="9">
                  <c:v>Human Services</c:v>
                </c:pt>
                <c:pt idx="10">
                  <c:v>Information Technology</c:v>
                </c:pt>
                <c:pt idx="11">
                  <c:v>Planning &amp; Urban Development</c:v>
                </c:pt>
                <c:pt idx="12">
                  <c:v>Mayoral Offices</c:v>
                </c:pt>
                <c:pt idx="13">
                  <c:v>Recreation</c:v>
                </c:pt>
                <c:pt idx="14">
                  <c:v>City Courts</c:v>
                </c:pt>
                <c:pt idx="15">
                  <c:v>Personnel / Human Resources</c:v>
                </c:pt>
                <c:pt idx="16">
                  <c:v>Miscellaneous Departments</c:v>
                </c:pt>
                <c:pt idx="17">
                  <c:v>Office of Economic Opportunity</c:v>
                </c:pt>
              </c:strCache>
            </c:strRef>
          </c:cat>
          <c:val>
            <c:numRef>
              <c:f>'Division Summary'!$H$5:$H$22</c:f>
              <c:numCache>
                <c:formatCode>0.0%;\(0.0%\);\-</c:formatCode>
                <c:ptCount val="18"/>
                <c:pt idx="0">
                  <c:v>-3.8141988535030237E-2</c:v>
                </c:pt>
                <c:pt idx="1">
                  <c:v>0.20551569562272354</c:v>
                </c:pt>
                <c:pt idx="2">
                  <c:v>9.4241152351047852E-2</c:v>
                </c:pt>
                <c:pt idx="3">
                  <c:v>8.6714827301693619E-3</c:v>
                </c:pt>
                <c:pt idx="4">
                  <c:v>3.4555262308714418E-2</c:v>
                </c:pt>
                <c:pt idx="5">
                  <c:v>-2.2419799738773723E-2</c:v>
                </c:pt>
                <c:pt idx="6">
                  <c:v>-7.4999694039897202E-2</c:v>
                </c:pt>
                <c:pt idx="7">
                  <c:v>0.19713932984946228</c:v>
                </c:pt>
                <c:pt idx="8">
                  <c:v>9.4631396029594542E-2</c:v>
                </c:pt>
                <c:pt idx="9">
                  <c:v>0.6257031887575254</c:v>
                </c:pt>
                <c:pt idx="10">
                  <c:v>9.043516502923242E-2</c:v>
                </c:pt>
                <c:pt idx="11">
                  <c:v>-3.4109810556741546E-2</c:v>
                </c:pt>
                <c:pt idx="12">
                  <c:v>3.2416104065908093E-2</c:v>
                </c:pt>
                <c:pt idx="13">
                  <c:v>-0.11637409161280961</c:v>
                </c:pt>
                <c:pt idx="14">
                  <c:v>4.9009365751694858E-2</c:v>
                </c:pt>
                <c:pt idx="15">
                  <c:v>9.3231011747963791E-2</c:v>
                </c:pt>
                <c:pt idx="16">
                  <c:v>0.31933014208682281</c:v>
                </c:pt>
                <c:pt idx="17">
                  <c:v>7.2502842332016537E-2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19-2F44-9106-23D01E504A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15209"/>
        <c:axId val="63569792"/>
      </c:barChart>
      <c:catAx>
        <c:axId val="641520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569792"/>
        <c:crosses val="autoZero"/>
        <c:auto val="1"/>
        <c:lblAlgn val="ctr"/>
        <c:lblOffset val="100"/>
        <c:noMultiLvlLbl val="0"/>
      </c:catAx>
      <c:valAx>
        <c:axId val="6356979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1520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25</xdr:row>
      <xdr:rowOff>160920</xdr:rowOff>
    </xdr:from>
    <xdr:to>
      <xdr:col>6</xdr:col>
      <xdr:colOff>166320</xdr:colOff>
      <xdr:row>46</xdr:row>
      <xdr:rowOff>119880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25</xdr:row>
      <xdr:rowOff>160920</xdr:rowOff>
    </xdr:from>
    <xdr:to>
      <xdr:col>12</xdr:col>
      <xdr:colOff>1716840</xdr:colOff>
      <xdr:row>46</xdr:row>
      <xdr:rowOff>119880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showGridLines="0" tabSelected="1" zoomScaleNormal="100" workbookViewId="0">
      <selection activeCell="A44" sqref="A44"/>
    </sheetView>
  </sheetViews>
  <sheetFormatPr baseColWidth="10" defaultColWidth="8.6640625" defaultRowHeight="15" x14ac:dyDescent="0.2"/>
  <cols>
    <col min="1" max="1" width="48" customWidth="1"/>
    <col min="2" max="6" width="19" customWidth="1"/>
  </cols>
  <sheetData>
    <row r="1" spans="1:6" ht="18" x14ac:dyDescent="0.2">
      <c r="A1" s="2" t="s">
        <v>0</v>
      </c>
    </row>
    <row r="2" spans="1:6" x14ac:dyDescent="0.2">
      <c r="A2" s="3" t="s">
        <v>1</v>
      </c>
    </row>
    <row r="4" spans="1:6" x14ac:dyDescent="0.2">
      <c r="A4" s="4" t="s">
        <v>2</v>
      </c>
      <c r="B4" s="5"/>
      <c r="C4" s="5"/>
      <c r="D4" s="5"/>
      <c r="E4" s="5"/>
      <c r="F4" s="5"/>
    </row>
    <row r="5" spans="1:6" x14ac:dyDescent="0.2">
      <c r="A5" s="6" t="s">
        <v>3</v>
      </c>
      <c r="B5" s="7">
        <v>0.1</v>
      </c>
      <c r="C5" s="3" t="s">
        <v>4</v>
      </c>
    </row>
    <row r="6" spans="1:6" x14ac:dyDescent="0.2">
      <c r="A6" s="6" t="s">
        <v>5</v>
      </c>
      <c r="B6" s="8">
        <v>250000</v>
      </c>
      <c r="C6" s="3" t="s">
        <v>6</v>
      </c>
    </row>
    <row r="8" spans="1:6" x14ac:dyDescent="0.2">
      <c r="A8" s="4" t="s">
        <v>7</v>
      </c>
      <c r="B8" s="5"/>
      <c r="C8" s="5"/>
      <c r="D8" s="5"/>
      <c r="E8" s="5"/>
      <c r="F8" s="5"/>
    </row>
    <row r="9" spans="1:6" x14ac:dyDescent="0.2">
      <c r="A9" s="9" t="s">
        <v>8</v>
      </c>
      <c r="B9" s="9" t="s">
        <v>9</v>
      </c>
      <c r="C9" s="9" t="s">
        <v>10</v>
      </c>
      <c r="D9" s="9" t="s">
        <v>11</v>
      </c>
      <c r="E9" s="9" t="s">
        <v>12</v>
      </c>
      <c r="F9" s="9" t="s">
        <v>13</v>
      </c>
    </row>
    <row r="10" spans="1:6" x14ac:dyDescent="0.2">
      <c r="A10" s="10" t="s">
        <v>14</v>
      </c>
      <c r="B10" s="11">
        <f>-SUMIFS(Data!$H$2:$H$1534,Data!$C$2:$C$1534,"REVENUES")</f>
        <v>498182808</v>
      </c>
      <c r="C10" s="11">
        <f>-SUMIFS(Data!$I$2:$I$1534,Data!$C$2:$C$1534,"REVENUES")</f>
        <v>487205336</v>
      </c>
      <c r="D10" s="11">
        <f>-SUMIFS(Data!$J$2:$J$1534,Data!$C$2:$C$1534,"REVENUES")</f>
        <v>510917760</v>
      </c>
      <c r="E10" s="11">
        <f>-SUMIFS(Data!$K$2:$K$1534,Data!$C$2:$C$1534,"REVENUES")</f>
        <v>539937743</v>
      </c>
      <c r="F10" s="11">
        <f>-SUMIFS(Data!$L$2:$L$1534,Data!$C$2:$C$1534,"REVENUES")</f>
        <v>543790104</v>
      </c>
    </row>
    <row r="11" spans="1:6" x14ac:dyDescent="0.2">
      <c r="A11" s="10" t="s">
        <v>15</v>
      </c>
      <c r="B11" s="11">
        <f>SUMIFS(Data!$H$2:$H$1534,Data!$C$2:$C$1534,"EXPENSES")</f>
        <v>489443567</v>
      </c>
      <c r="C11" s="11">
        <f>SUMIFS(Data!$I$2:$I$1534,Data!$C$2:$C$1534,"EXPENSES")</f>
        <v>483004372</v>
      </c>
      <c r="D11" s="11">
        <f>SUMIFS(Data!$J$2:$J$1534,Data!$C$2:$C$1534,"EXPENSES")</f>
        <v>510917760</v>
      </c>
      <c r="E11" s="11">
        <f>SUMIFS(Data!$K$2:$K$1534,Data!$C$2:$C$1534,"EXPENSES")</f>
        <v>539937743</v>
      </c>
      <c r="F11" s="11">
        <f>SUMIFS(Data!$L$2:$L$1534,Data!$C$2:$C$1534,"EXPENSES")</f>
        <v>556002789</v>
      </c>
    </row>
    <row r="12" spans="1:6" x14ac:dyDescent="0.2">
      <c r="A12" s="12" t="s">
        <v>16</v>
      </c>
      <c r="B12" s="13">
        <f>B10-B11</f>
        <v>8739241</v>
      </c>
      <c r="C12" s="13">
        <f>C10-C11</f>
        <v>4200964</v>
      </c>
      <c r="D12" s="13">
        <f>D10-D11</f>
        <v>0</v>
      </c>
      <c r="E12" s="13">
        <f>E10-E11</f>
        <v>0</v>
      </c>
      <c r="F12" s="13">
        <f>F10-F11</f>
        <v>-12212685</v>
      </c>
    </row>
    <row r="13" spans="1:6" x14ac:dyDescent="0.2">
      <c r="A13" s="10" t="s">
        <v>17</v>
      </c>
      <c r="B13" s="14" t="s">
        <v>18</v>
      </c>
      <c r="C13" s="15">
        <f>C11/B11-1</f>
        <v>-1.3156154118989627E-2</v>
      </c>
      <c r="D13" s="15">
        <f>D11/C11-1</f>
        <v>5.7791170469984943E-2</v>
      </c>
      <c r="E13" s="15">
        <f>E11/D11-1</f>
        <v>5.6799714693809067E-2</v>
      </c>
      <c r="F13" s="15">
        <f>F11/E11-1</f>
        <v>2.9753515490025695E-2</v>
      </c>
    </row>
    <row r="15" spans="1:6" x14ac:dyDescent="0.2">
      <c r="A15" s="4" t="s">
        <v>19</v>
      </c>
      <c r="B15" s="5"/>
      <c r="C15" s="5"/>
      <c r="D15" s="5"/>
      <c r="E15" s="5"/>
      <c r="F15" s="5"/>
    </row>
    <row r="16" spans="1:6" x14ac:dyDescent="0.2">
      <c r="A16" s="6" t="s">
        <v>20</v>
      </c>
      <c r="B16" s="16">
        <f>COUNTIFS(Data!$C$2:$C$1534,"EXPENSES")</f>
        <v>1339</v>
      </c>
    </row>
    <row r="17" spans="1:6" x14ac:dyDescent="0.2">
      <c r="A17" s="6" t="s">
        <v>21</v>
      </c>
      <c r="B17" s="16">
        <f>COUNTIFS(Data!$C$2:$C$1534,"EXPENSES",Data!$O$2:$O$1534,"REVIEW*")</f>
        <v>52</v>
      </c>
    </row>
    <row r="18" spans="1:6" x14ac:dyDescent="0.2">
      <c r="A18" s="6" t="s">
        <v>22</v>
      </c>
      <c r="B18" s="16">
        <f>COUNTIFS(Data!$C$2:$C$1534,"EXPENSES",Data!$R$2:$R$1534,"REVIEW*")</f>
        <v>20</v>
      </c>
    </row>
    <row r="20" spans="1:6" x14ac:dyDescent="0.2">
      <c r="A20" s="4" t="s">
        <v>23</v>
      </c>
      <c r="B20" s="5"/>
      <c r="C20" s="5"/>
      <c r="D20" s="5"/>
      <c r="E20" s="5"/>
      <c r="F20" s="5"/>
    </row>
    <row r="21" spans="1:6" ht="42" customHeight="1" x14ac:dyDescent="0.2">
      <c r="A21" s="1" t="s">
        <v>24</v>
      </c>
      <c r="B21" s="1"/>
      <c r="C21" s="1"/>
      <c r="D21" s="1"/>
      <c r="E21" s="1"/>
      <c r="F21" s="1"/>
    </row>
    <row r="22" spans="1:6" ht="42" customHeight="1" x14ac:dyDescent="0.2">
      <c r="A22" s="1" t="s">
        <v>25</v>
      </c>
      <c r="B22" s="1"/>
      <c r="C22" s="1"/>
      <c r="D22" s="1"/>
      <c r="E22" s="1"/>
      <c r="F22" s="1"/>
    </row>
    <row r="23" spans="1:6" ht="42" customHeight="1" x14ac:dyDescent="0.2">
      <c r="A23" s="1" t="s">
        <v>26</v>
      </c>
      <c r="B23" s="1"/>
      <c r="C23" s="1"/>
      <c r="D23" s="1"/>
      <c r="E23" s="1"/>
      <c r="F23" s="1"/>
    </row>
    <row r="25" spans="1:6" x14ac:dyDescent="0.2">
      <c r="A25" s="4" t="s">
        <v>27</v>
      </c>
      <c r="B25" s="5"/>
      <c r="C25" s="5"/>
      <c r="D25" s="5"/>
      <c r="E25" s="5"/>
      <c r="F25" s="5"/>
    </row>
    <row r="26" spans="1:6" ht="43.5" customHeight="1" x14ac:dyDescent="0.2">
      <c r="A26" s="1" t="s">
        <v>28</v>
      </c>
      <c r="B26" s="1"/>
      <c r="C26" s="1"/>
      <c r="D26" s="1"/>
      <c r="E26" s="1"/>
      <c r="F26" s="1"/>
    </row>
    <row r="27" spans="1:6" ht="43.5" customHeight="1" x14ac:dyDescent="0.2">
      <c r="A27" s="1" t="s">
        <v>29</v>
      </c>
      <c r="B27" s="1"/>
      <c r="C27" s="1"/>
      <c r="D27" s="1"/>
      <c r="E27" s="1"/>
      <c r="F27" s="1"/>
    </row>
    <row r="28" spans="1:6" ht="43.5" customHeight="1" x14ac:dyDescent="0.2">
      <c r="A28" s="1" t="s">
        <v>30</v>
      </c>
      <c r="B28" s="1"/>
      <c r="C28" s="1"/>
      <c r="D28" s="1"/>
      <c r="E28" s="1"/>
      <c r="F28" s="1"/>
    </row>
    <row r="29" spans="1:6" ht="43.5" customHeight="1" x14ac:dyDescent="0.2">
      <c r="A29" s="1" t="s">
        <v>31</v>
      </c>
      <c r="B29" s="1"/>
      <c r="C29" s="1"/>
      <c r="D29" s="1"/>
      <c r="E29" s="1"/>
      <c r="F29" s="1"/>
    </row>
    <row r="31" spans="1:6" x14ac:dyDescent="0.2">
      <c r="A31" s="4" t="s">
        <v>32</v>
      </c>
      <c r="B31" s="5"/>
      <c r="C31" s="5"/>
      <c r="D31" s="5"/>
      <c r="E31" s="5"/>
      <c r="F31" s="5"/>
    </row>
    <row r="32" spans="1:6" x14ac:dyDescent="0.2">
      <c r="A32" s="17" t="s">
        <v>33</v>
      </c>
      <c r="B32" s="6" t="s">
        <v>34</v>
      </c>
    </row>
    <row r="33" spans="1:2" x14ac:dyDescent="0.2">
      <c r="A33" s="6" t="s">
        <v>35</v>
      </c>
      <c r="B33" s="6" t="s">
        <v>36</v>
      </c>
    </row>
    <row r="34" spans="1:2" x14ac:dyDescent="0.2">
      <c r="A34" s="18" t="s">
        <v>37</v>
      </c>
      <c r="B34" s="6" t="s">
        <v>38</v>
      </c>
    </row>
    <row r="35" spans="1:2" x14ac:dyDescent="0.2">
      <c r="A35" s="19" t="s">
        <v>39</v>
      </c>
      <c r="B35" s="6" t="s">
        <v>40</v>
      </c>
    </row>
  </sheetData>
  <mergeCells count="7">
    <mergeCell ref="A28:F28"/>
    <mergeCell ref="A29:F29"/>
    <mergeCell ref="A21:F21"/>
    <mergeCell ref="A22:F22"/>
    <mergeCell ref="A23:F23"/>
    <mergeCell ref="A26:F26"/>
    <mergeCell ref="A27:F2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4"/>
  <sheetViews>
    <sheetView zoomScaleNormal="100" workbookViewId="0">
      <selection activeCell="M14" sqref="M14"/>
    </sheetView>
  </sheetViews>
  <sheetFormatPr baseColWidth="10" defaultColWidth="8.6640625" defaultRowHeight="15" x14ac:dyDescent="0.2"/>
  <cols>
    <col min="1" max="1" width="40" customWidth="1"/>
    <col min="2" max="6" width="14" customWidth="1"/>
    <col min="7" max="7" width="15" customWidth="1"/>
    <col min="8" max="8" width="11" customWidth="1"/>
    <col min="9" max="9" width="18" customWidth="1"/>
    <col min="10" max="10" width="15" customWidth="1"/>
    <col min="11" max="11" width="11" customWidth="1"/>
    <col min="12" max="12" width="18" customWidth="1"/>
    <col min="13" max="13" width="50" customWidth="1"/>
  </cols>
  <sheetData>
    <row r="1" spans="1:12" ht="18" x14ac:dyDescent="0.2">
      <c r="A1" s="2" t="s">
        <v>41</v>
      </c>
    </row>
    <row r="2" spans="1:12" x14ac:dyDescent="0.2">
      <c r="A2" s="3" t="s">
        <v>42</v>
      </c>
    </row>
    <row r="4" spans="1:12" ht="43.5" customHeight="1" x14ac:dyDescent="0.2">
      <c r="A4" s="20" t="s">
        <v>43</v>
      </c>
      <c r="B4" s="20" t="s">
        <v>44</v>
      </c>
      <c r="C4" s="20" t="s">
        <v>45</v>
      </c>
      <c r="D4" s="20" t="s">
        <v>46</v>
      </c>
      <c r="E4" s="20" t="s">
        <v>47</v>
      </c>
      <c r="F4" s="20" t="s">
        <v>48</v>
      </c>
      <c r="G4" s="20" t="s">
        <v>49</v>
      </c>
      <c r="H4" s="20" t="s">
        <v>50</v>
      </c>
      <c r="I4" s="20" t="s">
        <v>51</v>
      </c>
      <c r="J4" s="20" t="s">
        <v>52</v>
      </c>
      <c r="K4" s="20" t="s">
        <v>53</v>
      </c>
      <c r="L4" s="20" t="s">
        <v>51</v>
      </c>
    </row>
    <row r="5" spans="1:12" x14ac:dyDescent="0.2">
      <c r="A5" s="10" t="s">
        <v>54</v>
      </c>
      <c r="B5" s="11">
        <f>SUMIFS(Data!$H$2:$H$1534,Data!$D$2:$D$1534,$A5,Data!$C$2:$C$1534,"EXPENSES")</f>
        <v>233404683</v>
      </c>
      <c r="C5" s="11">
        <f>SUMIFS(Data!$I$2:$I$1534,Data!$D$2:$D$1534,$A5,Data!$C$2:$C$1534,"EXPENSES")</f>
        <v>238870582</v>
      </c>
      <c r="D5" s="11">
        <f>SUMIFS(Data!$J$2:$J$1534,Data!$D$2:$D$1534,$A5,Data!$C$2:$C$1534,"EXPENSES")</f>
        <v>229759583</v>
      </c>
      <c r="E5" s="11">
        <f>SUMIFS(Data!$K$2:$K$1534,Data!$D$2:$D$1534,$A5,Data!$C$2:$C$1534,"EXPENSES")</f>
        <v>244148000</v>
      </c>
      <c r="F5" s="11">
        <f>SUMIFS(Data!$L$2:$L$1534,Data!$D$2:$D$1534,$A5,Data!$C$2:$C$1534,"EXPENSES")</f>
        <v>253461670</v>
      </c>
      <c r="G5" s="21">
        <f t="shared" ref="G5:G23" si="0">D5-C5</f>
        <v>-9110999</v>
      </c>
      <c r="H5" s="15">
        <f t="shared" ref="H5:H23" si="1">IF(C5=0,"n/a",G5/ABS(C5))</f>
        <v>-3.8141988535030237E-2</v>
      </c>
      <c r="I5" s="10" t="str">
        <f>IF(ABS(G5)&lt;Overview!$B$6,"OK",IF(C5=0,"REVIEW (zero base)",IF(ABS(G5/ABS(C5))&gt;=Overview!$B$5,"REVIEW","OK")))</f>
        <v>OK</v>
      </c>
      <c r="J5" s="21">
        <f t="shared" ref="J5:J23" si="2">E5-D5</f>
        <v>14388417</v>
      </c>
      <c r="K5" s="15">
        <f t="shared" ref="K5:K23" si="3">IF(D5=0,"n/a",J5/ABS(D5))</f>
        <v>6.262379489085336E-2</v>
      </c>
      <c r="L5" s="10" t="str">
        <f>IF(ABS(J5)&lt;Overview!$B$6,"OK",IF(D5=0,"REVIEW (zero base)",IF(ABS(J5/ABS(D5))&gt;=Overview!$B$5,"REVIEW","OK")))</f>
        <v>OK</v>
      </c>
    </row>
    <row r="6" spans="1:12" x14ac:dyDescent="0.2">
      <c r="A6" s="10" t="s">
        <v>55</v>
      </c>
      <c r="B6" s="11">
        <f>SUMIFS(Data!$H$2:$H$1534,Data!$D$2:$D$1534,$A6,Data!$C$2:$C$1534,"EXPENSES")</f>
        <v>163932338</v>
      </c>
      <c r="C6" s="11">
        <f>SUMIFS(Data!$I$2:$I$1534,Data!$D$2:$D$1534,$A6,Data!$C$2:$C$1534,"EXPENSES")</f>
        <v>153389900</v>
      </c>
      <c r="D6" s="11">
        <f>SUMIFS(Data!$J$2:$J$1534,Data!$D$2:$D$1534,$A6,Data!$C$2:$C$1534,"EXPENSES")</f>
        <v>184913932</v>
      </c>
      <c r="E6" s="11">
        <f>SUMIFS(Data!$K$2:$K$1534,Data!$D$2:$D$1534,$A6,Data!$C$2:$C$1534,"EXPENSES")</f>
        <v>189616148</v>
      </c>
      <c r="F6" s="11">
        <f>SUMIFS(Data!$L$2:$L$1534,Data!$D$2:$D$1534,$A6,Data!$C$2:$C$1534,"EXPENSES")</f>
        <v>195449323</v>
      </c>
      <c r="G6" s="21">
        <f t="shared" si="0"/>
        <v>31524032</v>
      </c>
      <c r="H6" s="15">
        <f t="shared" si="1"/>
        <v>0.20551569562272354</v>
      </c>
      <c r="I6" s="10" t="str">
        <f>IF(ABS(G6)&lt;Overview!$B$6,"OK",IF(C6=0,"REVIEW (zero base)",IF(ABS(G6/ABS(C6))&gt;=Overview!$B$5,"REVIEW","OK")))</f>
        <v>REVIEW</v>
      </c>
      <c r="J6" s="21">
        <f t="shared" si="2"/>
        <v>4702216</v>
      </c>
      <c r="K6" s="15">
        <f t="shared" si="3"/>
        <v>2.5429214278997646E-2</v>
      </c>
      <c r="L6" s="10" t="str">
        <f>IF(ABS(J6)&lt;Overview!$B$6,"OK",IF(D6=0,"REVIEW (zero base)",IF(ABS(J6/ABS(D6))&gt;=Overview!$B$5,"REVIEW","OK")))</f>
        <v>OK</v>
      </c>
    </row>
    <row r="7" spans="1:12" x14ac:dyDescent="0.2">
      <c r="A7" s="10" t="s">
        <v>56</v>
      </c>
      <c r="B7" s="11">
        <f>SUMIFS(Data!$H$2:$H$1534,Data!$D$2:$D$1534,$A7,Data!$C$2:$C$1534,"EXPENSES")</f>
        <v>23136706</v>
      </c>
      <c r="C7" s="11">
        <f>SUMIFS(Data!$I$2:$I$1534,Data!$D$2:$D$1534,$A7,Data!$C$2:$C$1534,"EXPENSES")</f>
        <v>22596031</v>
      </c>
      <c r="D7" s="11">
        <f>SUMIFS(Data!$J$2:$J$1534,Data!$D$2:$D$1534,$A7,Data!$C$2:$C$1534,"EXPENSES")</f>
        <v>24725507</v>
      </c>
      <c r="E7" s="11">
        <f>SUMIFS(Data!$K$2:$K$1534,Data!$D$2:$D$1534,$A7,Data!$C$2:$C$1534,"EXPENSES")</f>
        <v>26036349</v>
      </c>
      <c r="F7" s="11">
        <f>SUMIFS(Data!$L$2:$L$1534,Data!$D$2:$D$1534,$A7,Data!$C$2:$C$1534,"EXPENSES")</f>
        <v>26319384</v>
      </c>
      <c r="G7" s="21">
        <f t="shared" si="0"/>
        <v>2129476</v>
      </c>
      <c r="H7" s="15">
        <f t="shared" si="1"/>
        <v>9.4241152351047852E-2</v>
      </c>
      <c r="I7" s="10" t="str">
        <f>IF(ABS(G7)&lt;Overview!$B$6,"OK",IF(C7=0,"REVIEW (zero base)",IF(ABS(G7/ABS(C7))&gt;=Overview!$B$5,"REVIEW","OK")))</f>
        <v>OK</v>
      </c>
      <c r="J7" s="21">
        <f t="shared" si="2"/>
        <v>1310842</v>
      </c>
      <c r="K7" s="15">
        <f t="shared" si="3"/>
        <v>5.3015778402440851E-2</v>
      </c>
      <c r="L7" s="10" t="str">
        <f>IF(ABS(J7)&lt;Overview!$B$6,"OK",IF(D7=0,"REVIEW (zero base)",IF(ABS(J7/ABS(D7))&gt;=Overview!$B$5,"REVIEW","OK")))</f>
        <v>OK</v>
      </c>
    </row>
    <row r="8" spans="1:12" x14ac:dyDescent="0.2">
      <c r="A8" s="10" t="s">
        <v>57</v>
      </c>
      <c r="B8" s="11">
        <f>SUMIFS(Data!$H$2:$H$1534,Data!$D$2:$D$1534,$A8,Data!$C$2:$C$1534,"EXPENSES")</f>
        <v>13229022</v>
      </c>
      <c r="C8" s="11">
        <f>SUMIFS(Data!$I$2:$I$1534,Data!$D$2:$D$1534,$A8,Data!$C$2:$C$1534,"EXPENSES")</f>
        <v>13782764</v>
      </c>
      <c r="D8" s="11">
        <f>SUMIFS(Data!$J$2:$J$1534,Data!$D$2:$D$1534,$A8,Data!$C$2:$C$1534,"EXPENSES")</f>
        <v>13902281</v>
      </c>
      <c r="E8" s="11">
        <f>SUMIFS(Data!$K$2:$K$1534,Data!$D$2:$D$1534,$A8,Data!$C$2:$C$1534,"EXPENSES")</f>
        <v>15131122</v>
      </c>
      <c r="F8" s="11">
        <f>SUMIFS(Data!$L$2:$L$1534,Data!$D$2:$D$1534,$A8,Data!$C$2:$C$1534,"EXPENSES")</f>
        <v>15387150</v>
      </c>
      <c r="G8" s="21">
        <f t="shared" si="0"/>
        <v>119517</v>
      </c>
      <c r="H8" s="15">
        <f t="shared" si="1"/>
        <v>8.6714827301693619E-3</v>
      </c>
      <c r="I8" s="10" t="str">
        <f>IF(ABS(G8)&lt;Overview!$B$6,"OK",IF(C8=0,"REVIEW (zero base)",IF(ABS(G8/ABS(C8))&gt;=Overview!$B$5,"REVIEW","OK")))</f>
        <v>OK</v>
      </c>
      <c r="J8" s="21">
        <f t="shared" si="2"/>
        <v>1228841</v>
      </c>
      <c r="K8" s="15">
        <f t="shared" si="3"/>
        <v>8.839132225855599E-2</v>
      </c>
      <c r="L8" s="10" t="str">
        <f>IF(ABS(J8)&lt;Overview!$B$6,"OK",IF(D8=0,"REVIEW (zero base)",IF(ABS(J8/ABS(D8))&gt;=Overview!$B$5,"REVIEW","OK")))</f>
        <v>OK</v>
      </c>
    </row>
    <row r="9" spans="1:12" x14ac:dyDescent="0.2">
      <c r="A9" s="10" t="s">
        <v>58</v>
      </c>
      <c r="B9" s="11">
        <f>SUMIFS(Data!$H$2:$H$1534,Data!$D$2:$D$1534,$A9,Data!$C$2:$C$1534,"EXPENSES")</f>
        <v>8679036</v>
      </c>
      <c r="C9" s="11">
        <f>SUMIFS(Data!$I$2:$I$1534,Data!$D$2:$D$1534,$A9,Data!$C$2:$C$1534,"EXPENSES")</f>
        <v>7502591</v>
      </c>
      <c r="D9" s="11">
        <f>SUMIFS(Data!$J$2:$J$1534,Data!$D$2:$D$1534,$A9,Data!$C$2:$C$1534,"EXPENSES")</f>
        <v>7761845</v>
      </c>
      <c r="E9" s="11">
        <f>SUMIFS(Data!$K$2:$K$1534,Data!$D$2:$D$1534,$A9,Data!$C$2:$C$1534,"EXPENSES")</f>
        <v>8046972</v>
      </c>
      <c r="F9" s="11">
        <f>SUMIFS(Data!$L$2:$L$1534,Data!$D$2:$D$1534,$A9,Data!$C$2:$C$1534,"EXPENSES")</f>
        <v>8143094</v>
      </c>
      <c r="G9" s="21">
        <f t="shared" si="0"/>
        <v>259254</v>
      </c>
      <c r="H9" s="15">
        <f t="shared" si="1"/>
        <v>3.4555262308714418E-2</v>
      </c>
      <c r="I9" s="10" t="str">
        <f>IF(ABS(G9)&lt;Overview!$B$6,"OK",IF(C9=0,"REVIEW (zero base)",IF(ABS(G9/ABS(C9))&gt;=Overview!$B$5,"REVIEW","OK")))</f>
        <v>OK</v>
      </c>
      <c r="J9" s="21">
        <f t="shared" si="2"/>
        <v>285127</v>
      </c>
      <c r="K9" s="15">
        <f t="shared" si="3"/>
        <v>3.6734436206855459E-2</v>
      </c>
      <c r="L9" s="10" t="str">
        <f>IF(ABS(J9)&lt;Overview!$B$6,"OK",IF(D9=0,"REVIEW (zero base)",IF(ABS(J9/ABS(D9))&gt;=Overview!$B$5,"REVIEW","OK")))</f>
        <v>OK</v>
      </c>
    </row>
    <row r="10" spans="1:12" x14ac:dyDescent="0.2">
      <c r="A10" s="10" t="s">
        <v>59</v>
      </c>
      <c r="B10" s="11">
        <f>SUMIFS(Data!$H$2:$H$1534,Data!$D$2:$D$1534,$A10,Data!$C$2:$C$1534,"EXPENSES")</f>
        <v>8081683</v>
      </c>
      <c r="C10" s="11">
        <f>SUMIFS(Data!$I$2:$I$1534,Data!$D$2:$D$1534,$A10,Data!$C$2:$C$1534,"EXPENSES")</f>
        <v>7617151</v>
      </c>
      <c r="D10" s="11">
        <f>SUMIFS(Data!$J$2:$J$1534,Data!$D$2:$D$1534,$A10,Data!$C$2:$C$1534,"EXPENSES")</f>
        <v>7446376</v>
      </c>
      <c r="E10" s="11">
        <f>SUMIFS(Data!$K$2:$K$1534,Data!$D$2:$D$1534,$A10,Data!$C$2:$C$1534,"EXPENSES")</f>
        <v>8701561</v>
      </c>
      <c r="F10" s="11">
        <f>SUMIFS(Data!$L$2:$L$1534,Data!$D$2:$D$1534,$A10,Data!$C$2:$C$1534,"EXPENSES")</f>
        <v>8312457</v>
      </c>
      <c r="G10" s="21">
        <f t="shared" si="0"/>
        <v>-170775</v>
      </c>
      <c r="H10" s="15">
        <f t="shared" si="1"/>
        <v>-2.2419799738773723E-2</v>
      </c>
      <c r="I10" s="10" t="str">
        <f>IF(ABS(G10)&lt;Overview!$B$6,"OK",IF(C10=0,"REVIEW (zero base)",IF(ABS(G10/ABS(C10))&gt;=Overview!$B$5,"REVIEW","OK")))</f>
        <v>OK</v>
      </c>
      <c r="J10" s="21">
        <f t="shared" si="2"/>
        <v>1255185</v>
      </c>
      <c r="K10" s="15">
        <f t="shared" si="3"/>
        <v>0.16856320443662798</v>
      </c>
      <c r="L10" s="10" t="str">
        <f>IF(ABS(J10)&lt;Overview!$B$6,"OK",IF(D10=0,"REVIEW (zero base)",IF(ABS(J10/ABS(D10))&gt;=Overview!$B$5,"REVIEW","OK")))</f>
        <v>REVIEW</v>
      </c>
    </row>
    <row r="11" spans="1:12" x14ac:dyDescent="0.2">
      <c r="A11" s="10" t="s">
        <v>60</v>
      </c>
      <c r="B11" s="11">
        <f>SUMIFS(Data!$H$2:$H$1534,Data!$D$2:$D$1534,$A11,Data!$C$2:$C$1534,"EXPENSES")</f>
        <v>6930266</v>
      </c>
      <c r="C11" s="11">
        <f>SUMIFS(Data!$I$2:$I$1534,Data!$D$2:$D$1534,$A11,Data!$C$2:$C$1534,"EXPENSES")</f>
        <v>6536800</v>
      </c>
      <c r="D11" s="11">
        <f>SUMIFS(Data!$J$2:$J$1534,Data!$D$2:$D$1534,$A11,Data!$C$2:$C$1534,"EXPENSES")</f>
        <v>6046542</v>
      </c>
      <c r="E11" s="11">
        <f>SUMIFS(Data!$K$2:$K$1534,Data!$D$2:$D$1534,$A11,Data!$C$2:$C$1534,"EXPENSES")</f>
        <v>6273172</v>
      </c>
      <c r="F11" s="11">
        <f>SUMIFS(Data!$L$2:$L$1534,Data!$D$2:$D$1534,$A11,Data!$C$2:$C$1534,"EXPENSES")</f>
        <v>6361766</v>
      </c>
      <c r="G11" s="21">
        <f t="shared" si="0"/>
        <v>-490258</v>
      </c>
      <c r="H11" s="15">
        <f t="shared" si="1"/>
        <v>-7.4999694039897202E-2</v>
      </c>
      <c r="I11" s="10" t="str">
        <f>IF(ABS(G11)&lt;Overview!$B$6,"OK",IF(C11=0,"REVIEW (zero base)",IF(ABS(G11/ABS(C11))&gt;=Overview!$B$5,"REVIEW","OK")))</f>
        <v>OK</v>
      </c>
      <c r="J11" s="21">
        <f t="shared" si="2"/>
        <v>226630</v>
      </c>
      <c r="K11" s="15">
        <f t="shared" si="3"/>
        <v>3.748092711503534E-2</v>
      </c>
      <c r="L11" s="10" t="str">
        <f>IF(ABS(J11)&lt;Overview!$B$6,"OK",IF(D11=0,"REVIEW (zero base)",IF(ABS(J11/ABS(D11))&gt;=Overview!$B$5,"REVIEW","OK")))</f>
        <v>OK</v>
      </c>
    </row>
    <row r="12" spans="1:12" x14ac:dyDescent="0.2">
      <c r="A12" s="10" t="s">
        <v>61</v>
      </c>
      <c r="B12" s="11">
        <f>SUMIFS(Data!$H$2:$H$1534,Data!$D$2:$D$1534,$A12,Data!$C$2:$C$1534,"EXPENSES")</f>
        <v>4464844</v>
      </c>
      <c r="C12" s="11">
        <f>SUMIFS(Data!$I$2:$I$1534,Data!$D$2:$D$1534,$A12,Data!$C$2:$C$1534,"EXPENSES")</f>
        <v>4787969</v>
      </c>
      <c r="D12" s="11">
        <f>SUMIFS(Data!$J$2:$J$1534,Data!$D$2:$D$1534,$A12,Data!$C$2:$C$1534,"EXPENSES")</f>
        <v>5731866</v>
      </c>
      <c r="E12" s="11">
        <f>SUMIFS(Data!$K$2:$K$1534,Data!$D$2:$D$1534,$A12,Data!$C$2:$C$1534,"EXPENSES")</f>
        <v>6216840</v>
      </c>
      <c r="F12" s="11">
        <f>SUMIFS(Data!$L$2:$L$1534,Data!$D$2:$D$1534,$A12,Data!$C$2:$C$1534,"EXPENSES")</f>
        <v>6300606</v>
      </c>
      <c r="G12" s="21">
        <f t="shared" si="0"/>
        <v>943897</v>
      </c>
      <c r="H12" s="15">
        <f t="shared" si="1"/>
        <v>0.19713932984946228</v>
      </c>
      <c r="I12" s="10" t="str">
        <f>IF(ABS(G12)&lt;Overview!$B$6,"OK",IF(C12=0,"REVIEW (zero base)",IF(ABS(G12/ABS(C12))&gt;=Overview!$B$5,"REVIEW","OK")))</f>
        <v>REVIEW</v>
      </c>
      <c r="J12" s="21">
        <f t="shared" si="2"/>
        <v>484974</v>
      </c>
      <c r="K12" s="15">
        <f t="shared" si="3"/>
        <v>8.46101426655822E-2</v>
      </c>
      <c r="L12" s="10" t="str">
        <f>IF(ABS(J12)&lt;Overview!$B$6,"OK",IF(D12=0,"REVIEW (zero base)",IF(ABS(J12/ABS(D12))&gt;=Overview!$B$5,"REVIEW","OK")))</f>
        <v>OK</v>
      </c>
    </row>
    <row r="13" spans="1:12" x14ac:dyDescent="0.2">
      <c r="A13" s="10" t="s">
        <v>62</v>
      </c>
      <c r="B13" s="11">
        <f>SUMIFS(Data!$H$2:$H$1534,Data!$D$2:$D$1534,$A13,Data!$C$2:$C$1534,"EXPENSES")</f>
        <v>3855019</v>
      </c>
      <c r="C13" s="11">
        <f>SUMIFS(Data!$I$2:$I$1534,Data!$D$2:$D$1534,$A13,Data!$C$2:$C$1534,"EXPENSES")</f>
        <v>3863686</v>
      </c>
      <c r="D13" s="11">
        <f>SUMIFS(Data!$J$2:$J$1534,Data!$D$2:$D$1534,$A13,Data!$C$2:$C$1534,"EXPENSES")</f>
        <v>4229312</v>
      </c>
      <c r="E13" s="11">
        <f>SUMIFS(Data!$K$2:$K$1534,Data!$D$2:$D$1534,$A13,Data!$C$2:$C$1534,"EXPENSES")</f>
        <v>4514314</v>
      </c>
      <c r="F13" s="11">
        <f>SUMIFS(Data!$L$2:$L$1534,Data!$D$2:$D$1534,$A13,Data!$C$2:$C$1534,"EXPENSES")</f>
        <v>4589619</v>
      </c>
      <c r="G13" s="21">
        <f t="shared" si="0"/>
        <v>365626</v>
      </c>
      <c r="H13" s="15">
        <f t="shared" si="1"/>
        <v>9.4631396029594542E-2</v>
      </c>
      <c r="I13" s="10" t="str">
        <f>IF(ABS(G13)&lt;Overview!$B$6,"OK",IF(C13=0,"REVIEW (zero base)",IF(ABS(G13/ABS(C13))&gt;=Overview!$B$5,"REVIEW","OK")))</f>
        <v>OK</v>
      </c>
      <c r="J13" s="21">
        <f t="shared" si="2"/>
        <v>285002</v>
      </c>
      <c r="K13" s="15">
        <f t="shared" si="3"/>
        <v>6.738731973427356E-2</v>
      </c>
      <c r="L13" s="10" t="str">
        <f>IF(ABS(J13)&lt;Overview!$B$6,"OK",IF(D13=0,"REVIEW (zero base)",IF(ABS(J13/ABS(D13))&gt;=Overview!$B$5,"REVIEW","OK")))</f>
        <v>OK</v>
      </c>
    </row>
    <row r="14" spans="1:12" x14ac:dyDescent="0.2">
      <c r="A14" s="10" t="s">
        <v>63</v>
      </c>
      <c r="B14" s="11">
        <f>SUMIFS(Data!$H$2:$H$1534,Data!$D$2:$D$1534,$A14,Data!$C$2:$C$1534,"EXPENSES")</f>
        <v>2145633</v>
      </c>
      <c r="C14" s="11">
        <f>SUMIFS(Data!$I$2:$I$1534,Data!$D$2:$D$1534,$A14,Data!$C$2:$C$1534,"EXPENSES")</f>
        <v>2340410</v>
      </c>
      <c r="D14" s="11">
        <f>SUMIFS(Data!$J$2:$J$1534,Data!$D$2:$D$1534,$A14,Data!$C$2:$C$1534,"EXPENSES")</f>
        <v>3804812</v>
      </c>
      <c r="E14" s="11">
        <f>SUMIFS(Data!$K$2:$K$1534,Data!$D$2:$D$1534,$A14,Data!$C$2:$C$1534,"EXPENSES")</f>
        <v>4754322</v>
      </c>
      <c r="F14" s="11">
        <f>SUMIFS(Data!$L$2:$L$1534,Data!$D$2:$D$1534,$A14,Data!$C$2:$C$1534,"EXPENSES")</f>
        <v>4795422</v>
      </c>
      <c r="G14" s="21">
        <f t="shared" si="0"/>
        <v>1464402</v>
      </c>
      <c r="H14" s="15">
        <f t="shared" si="1"/>
        <v>0.6257031887575254</v>
      </c>
      <c r="I14" s="10" t="str">
        <f>IF(ABS(G14)&lt;Overview!$B$6,"OK",IF(C14=0,"REVIEW (zero base)",IF(ABS(G14/ABS(C14))&gt;=Overview!$B$5,"REVIEW","OK")))</f>
        <v>REVIEW</v>
      </c>
      <c r="J14" s="21">
        <f t="shared" si="2"/>
        <v>949510</v>
      </c>
      <c r="K14" s="15">
        <f t="shared" si="3"/>
        <v>0.24955503714769614</v>
      </c>
      <c r="L14" s="10" t="str">
        <f>IF(ABS(J14)&lt;Overview!$B$6,"OK",IF(D14=0,"REVIEW (zero base)",IF(ABS(J14/ABS(D14))&gt;=Overview!$B$5,"REVIEW","OK")))</f>
        <v>REVIEW</v>
      </c>
    </row>
    <row r="15" spans="1:12" x14ac:dyDescent="0.2">
      <c r="A15" s="10" t="s">
        <v>64</v>
      </c>
      <c r="B15" s="11">
        <f>SUMIFS(Data!$H$2:$H$1534,Data!$D$2:$D$1534,$A15,Data!$C$2:$C$1534,"EXPENSES")</f>
        <v>3484604</v>
      </c>
      <c r="C15" s="11">
        <f>SUMIFS(Data!$I$2:$I$1534,Data!$D$2:$D$1534,$A15,Data!$C$2:$C$1534,"EXPENSES")</f>
        <v>3488079</v>
      </c>
      <c r="D15" s="11">
        <f>SUMIFS(Data!$J$2:$J$1534,Data!$D$2:$D$1534,$A15,Data!$C$2:$C$1534,"EXPENSES")</f>
        <v>3803524</v>
      </c>
      <c r="E15" s="11">
        <f>SUMIFS(Data!$K$2:$K$1534,Data!$D$2:$D$1534,$A15,Data!$C$2:$C$1534,"EXPENSES")</f>
        <v>4299333</v>
      </c>
      <c r="F15" s="11">
        <f>SUMIFS(Data!$L$2:$L$1534,Data!$D$2:$D$1534,$A15,Data!$C$2:$C$1534,"EXPENSES")</f>
        <v>4356660</v>
      </c>
      <c r="G15" s="21">
        <f t="shared" si="0"/>
        <v>315445</v>
      </c>
      <c r="H15" s="15">
        <f t="shared" si="1"/>
        <v>9.043516502923242E-2</v>
      </c>
      <c r="I15" s="10" t="str">
        <f>IF(ABS(G15)&lt;Overview!$B$6,"OK",IF(C15=0,"REVIEW (zero base)",IF(ABS(G15/ABS(C15))&gt;=Overview!$B$5,"REVIEW","OK")))</f>
        <v>OK</v>
      </c>
      <c r="J15" s="21">
        <f t="shared" si="2"/>
        <v>495809</v>
      </c>
      <c r="K15" s="15">
        <f t="shared" si="3"/>
        <v>0.13035516536769584</v>
      </c>
      <c r="L15" s="10" t="str">
        <f>IF(ABS(J15)&lt;Overview!$B$6,"OK",IF(D15=0,"REVIEW (zero base)",IF(ABS(J15/ABS(D15))&gt;=Overview!$B$5,"REVIEW","OK")))</f>
        <v>REVIEW</v>
      </c>
    </row>
    <row r="16" spans="1:12" x14ac:dyDescent="0.2">
      <c r="A16" s="10" t="s">
        <v>65</v>
      </c>
      <c r="B16" s="11">
        <f>SUMIFS(Data!$H$2:$H$1534,Data!$D$2:$D$1534,$A16,Data!$C$2:$C$1534,"EXPENSES")</f>
        <v>3553595</v>
      </c>
      <c r="C16" s="11">
        <f>SUMIFS(Data!$I$2:$I$1534,Data!$D$2:$D$1534,$A16,Data!$C$2:$C$1534,"EXPENSES")</f>
        <v>3631272</v>
      </c>
      <c r="D16" s="11">
        <f>SUMIFS(Data!$J$2:$J$1534,Data!$D$2:$D$1534,$A16,Data!$C$2:$C$1534,"EXPENSES")</f>
        <v>3507410</v>
      </c>
      <c r="E16" s="11">
        <f>SUMIFS(Data!$K$2:$K$1534,Data!$D$2:$D$1534,$A16,Data!$C$2:$C$1534,"EXPENSES")</f>
        <v>3941012</v>
      </c>
      <c r="F16" s="11">
        <f>SUMIFS(Data!$L$2:$L$1534,Data!$D$2:$D$1534,$A16,Data!$C$2:$C$1534,"EXPENSES")</f>
        <v>4007677</v>
      </c>
      <c r="G16" s="21">
        <f t="shared" si="0"/>
        <v>-123862</v>
      </c>
      <c r="H16" s="15">
        <f t="shared" si="1"/>
        <v>-3.4109810556741546E-2</v>
      </c>
      <c r="I16" s="10" t="str">
        <f>IF(ABS(G16)&lt;Overview!$B$6,"OK",IF(C16=0,"REVIEW (zero base)",IF(ABS(G16/ABS(C16))&gt;=Overview!$B$5,"REVIEW","OK")))</f>
        <v>OK</v>
      </c>
      <c r="J16" s="21">
        <f t="shared" si="2"/>
        <v>433602</v>
      </c>
      <c r="K16" s="15">
        <f t="shared" si="3"/>
        <v>0.12362455487097317</v>
      </c>
      <c r="L16" s="10" t="str">
        <f>IF(ABS(J16)&lt;Overview!$B$6,"OK",IF(D16=0,"REVIEW (zero base)",IF(ABS(J16/ABS(D16))&gt;=Overview!$B$5,"REVIEW","OK")))</f>
        <v>REVIEW</v>
      </c>
    </row>
    <row r="17" spans="1:12" x14ac:dyDescent="0.2">
      <c r="A17" s="10" t="s">
        <v>66</v>
      </c>
      <c r="B17" s="11">
        <f>SUMIFS(Data!$H$2:$H$1534,Data!$D$2:$D$1534,$A17,Data!$C$2:$C$1534,"EXPENSES")</f>
        <v>3058926</v>
      </c>
      <c r="C17" s="11">
        <f>SUMIFS(Data!$I$2:$I$1534,Data!$D$2:$D$1534,$A17,Data!$C$2:$C$1534,"EXPENSES")</f>
        <v>3359102</v>
      </c>
      <c r="D17" s="11">
        <f>SUMIFS(Data!$J$2:$J$1534,Data!$D$2:$D$1534,$A17,Data!$C$2:$C$1534,"EXPENSES")</f>
        <v>3467991</v>
      </c>
      <c r="E17" s="11">
        <f>SUMIFS(Data!$K$2:$K$1534,Data!$D$2:$D$1534,$A17,Data!$C$2:$C$1534,"EXPENSES")</f>
        <v>4085462</v>
      </c>
      <c r="F17" s="11">
        <f>SUMIFS(Data!$L$2:$L$1534,Data!$D$2:$D$1534,$A17,Data!$C$2:$C$1534,"EXPENSES")</f>
        <v>4154987</v>
      </c>
      <c r="G17" s="21">
        <f t="shared" si="0"/>
        <v>108889</v>
      </c>
      <c r="H17" s="15">
        <f t="shared" si="1"/>
        <v>3.2416104065908093E-2</v>
      </c>
      <c r="I17" s="10" t="str">
        <f>IF(ABS(G17)&lt;Overview!$B$6,"OK",IF(C17=0,"REVIEW (zero base)",IF(ABS(G17/ABS(C17))&gt;=Overview!$B$5,"REVIEW","OK")))</f>
        <v>OK</v>
      </c>
      <c r="J17" s="21">
        <f t="shared" si="2"/>
        <v>617471</v>
      </c>
      <c r="K17" s="15">
        <f t="shared" si="3"/>
        <v>0.17804861661982399</v>
      </c>
      <c r="L17" s="10" t="str">
        <f>IF(ABS(J17)&lt;Overview!$B$6,"OK",IF(D17=0,"REVIEW (zero base)",IF(ABS(J17/ABS(D17))&gt;=Overview!$B$5,"REVIEW","OK")))</f>
        <v>REVIEW</v>
      </c>
    </row>
    <row r="18" spans="1:12" x14ac:dyDescent="0.2">
      <c r="A18" s="10" t="s">
        <v>67</v>
      </c>
      <c r="B18" s="11">
        <f>SUMIFS(Data!$H$2:$H$1534,Data!$D$2:$D$1534,$A18,Data!$C$2:$C$1534,"EXPENSES")</f>
        <v>3206941</v>
      </c>
      <c r="C18" s="11">
        <f>SUMIFS(Data!$I$2:$I$1534,Data!$D$2:$D$1534,$A18,Data!$C$2:$C$1534,"EXPENSES")</f>
        <v>3431769</v>
      </c>
      <c r="D18" s="11">
        <f>SUMIFS(Data!$J$2:$J$1534,Data!$D$2:$D$1534,$A18,Data!$C$2:$C$1534,"EXPENSES")</f>
        <v>3032400</v>
      </c>
      <c r="E18" s="11">
        <f>SUMIFS(Data!$K$2:$K$1534,Data!$D$2:$D$1534,$A18,Data!$C$2:$C$1534,"EXPENSES")</f>
        <v>4794923</v>
      </c>
      <c r="F18" s="11">
        <f>SUMIFS(Data!$L$2:$L$1534,Data!$D$2:$D$1534,$A18,Data!$C$2:$C$1534,"EXPENSES")</f>
        <v>4841598</v>
      </c>
      <c r="G18" s="21">
        <f t="shared" si="0"/>
        <v>-399369</v>
      </c>
      <c r="H18" s="15">
        <f t="shared" si="1"/>
        <v>-0.11637409161280961</v>
      </c>
      <c r="I18" s="10" t="str">
        <f>IF(ABS(G18)&lt;Overview!$B$6,"OK",IF(C18=0,"REVIEW (zero base)",IF(ABS(G18/ABS(C18))&gt;=Overview!$B$5,"REVIEW","OK")))</f>
        <v>REVIEW</v>
      </c>
      <c r="J18" s="21">
        <f t="shared" si="2"/>
        <v>1762523</v>
      </c>
      <c r="K18" s="15">
        <f t="shared" si="3"/>
        <v>0.58123037857802395</v>
      </c>
      <c r="L18" s="10" t="str">
        <f>IF(ABS(J18)&lt;Overview!$B$6,"OK",IF(D18=0,"REVIEW (zero base)",IF(ABS(J18/ABS(D18))&gt;=Overview!$B$5,"REVIEW","OK")))</f>
        <v>REVIEW</v>
      </c>
    </row>
    <row r="19" spans="1:12" x14ac:dyDescent="0.2">
      <c r="A19" s="10" t="s">
        <v>68</v>
      </c>
      <c r="B19" s="11">
        <f>SUMIFS(Data!$H$2:$H$1534,Data!$D$2:$D$1534,$A19,Data!$C$2:$C$1534,"EXPENSES")</f>
        <v>2279114</v>
      </c>
      <c r="C19" s="11">
        <f>SUMIFS(Data!$I$2:$I$1534,Data!$D$2:$D$1534,$A19,Data!$C$2:$C$1534,"EXPENSES")</f>
        <v>2302111</v>
      </c>
      <c r="D19" s="11">
        <f>SUMIFS(Data!$J$2:$J$1534,Data!$D$2:$D$1534,$A19,Data!$C$2:$C$1534,"EXPENSES")</f>
        <v>2414936</v>
      </c>
      <c r="E19" s="11">
        <f>SUMIFS(Data!$K$2:$K$1534,Data!$D$2:$D$1534,$A19,Data!$C$2:$C$1534,"EXPENSES")</f>
        <v>2558447</v>
      </c>
      <c r="F19" s="11">
        <f>SUMIFS(Data!$L$2:$L$1534,Data!$D$2:$D$1534,$A19,Data!$C$2:$C$1534,"EXPENSES")</f>
        <v>2604426</v>
      </c>
      <c r="G19" s="21">
        <f t="shared" si="0"/>
        <v>112825</v>
      </c>
      <c r="H19" s="15">
        <f t="shared" si="1"/>
        <v>4.9009365751694858E-2</v>
      </c>
      <c r="I19" s="10" t="str">
        <f>IF(ABS(G19)&lt;Overview!$B$6,"OK",IF(C19=0,"REVIEW (zero base)",IF(ABS(G19/ABS(C19))&gt;=Overview!$B$5,"REVIEW","OK")))</f>
        <v>OK</v>
      </c>
      <c r="J19" s="21">
        <f t="shared" si="2"/>
        <v>143511</v>
      </c>
      <c r="K19" s="15">
        <f t="shared" si="3"/>
        <v>5.9426419582133856E-2</v>
      </c>
      <c r="L19" s="10" t="str">
        <f>IF(ABS(J19)&lt;Overview!$B$6,"OK",IF(D19=0,"REVIEW (zero base)",IF(ABS(J19/ABS(D19))&gt;=Overview!$B$5,"REVIEW","OK")))</f>
        <v>OK</v>
      </c>
    </row>
    <row r="20" spans="1:12" x14ac:dyDescent="0.2">
      <c r="A20" s="10" t="s">
        <v>69</v>
      </c>
      <c r="B20" s="11">
        <f>SUMIFS(Data!$H$2:$H$1534,Data!$D$2:$D$1534,$A20,Data!$C$2:$C$1534,"EXPENSES")</f>
        <v>2077609</v>
      </c>
      <c r="C20" s="11">
        <f>SUMIFS(Data!$I$2:$I$1534,Data!$D$2:$D$1534,$A20,Data!$C$2:$C$1534,"EXPENSES")</f>
        <v>2113728</v>
      </c>
      <c r="D20" s="11">
        <f>SUMIFS(Data!$J$2:$J$1534,Data!$D$2:$D$1534,$A20,Data!$C$2:$C$1534,"EXPENSES")</f>
        <v>2310793</v>
      </c>
      <c r="E20" s="11">
        <f>SUMIFS(Data!$K$2:$K$1534,Data!$D$2:$D$1534,$A20,Data!$C$2:$C$1534,"EXPENSES")</f>
        <v>2953971</v>
      </c>
      <c r="F20" s="11">
        <f>SUMIFS(Data!$L$2:$L$1534,Data!$D$2:$D$1534,$A20,Data!$C$2:$C$1534,"EXPENSES")</f>
        <v>3000968</v>
      </c>
      <c r="G20" s="21">
        <f t="shared" si="0"/>
        <v>197065</v>
      </c>
      <c r="H20" s="15">
        <f t="shared" si="1"/>
        <v>9.3231011747963791E-2</v>
      </c>
      <c r="I20" s="10" t="str">
        <f>IF(ABS(G20)&lt;Overview!$B$6,"OK",IF(C20=0,"REVIEW (zero base)",IF(ABS(G20/ABS(C20))&gt;=Overview!$B$5,"REVIEW","OK")))</f>
        <v>OK</v>
      </c>
      <c r="J20" s="21">
        <f t="shared" si="2"/>
        <v>643178</v>
      </c>
      <c r="K20" s="15">
        <f t="shared" si="3"/>
        <v>0.27833648448822546</v>
      </c>
      <c r="L20" s="10" t="str">
        <f>IF(ABS(J20)&lt;Overview!$B$6,"OK",IF(D20=0,"REVIEW (zero base)",IF(ABS(J20/ABS(D20))&gt;=Overview!$B$5,"REVIEW","OK")))</f>
        <v>REVIEW</v>
      </c>
    </row>
    <row r="21" spans="1:12" x14ac:dyDescent="0.2">
      <c r="A21" s="10" t="s">
        <v>70</v>
      </c>
      <c r="B21" s="11">
        <f>SUMIFS(Data!$H$2:$H$1534,Data!$D$2:$D$1534,$A21,Data!$C$2:$C$1534,"EXPENSES")</f>
        <v>2144114</v>
      </c>
      <c r="C21" s="11">
        <f>SUMIFS(Data!$I$2:$I$1534,Data!$D$2:$D$1534,$A21,Data!$C$2:$C$1534,"EXPENSES")</f>
        <v>1711348</v>
      </c>
      <c r="D21" s="11">
        <f>SUMIFS(Data!$J$2:$J$1534,Data!$D$2:$D$1534,$A21,Data!$C$2:$C$1534,"EXPENSES")</f>
        <v>2257833</v>
      </c>
      <c r="E21" s="11">
        <f>SUMIFS(Data!$K$2:$K$1534,Data!$D$2:$D$1534,$A21,Data!$C$2:$C$1534,"EXPENSES")</f>
        <v>1941860</v>
      </c>
      <c r="F21" s="11">
        <f>SUMIFS(Data!$L$2:$L$1534,Data!$D$2:$D$1534,$A21,Data!$C$2:$C$1534,"EXPENSES")</f>
        <v>1973569</v>
      </c>
      <c r="G21" s="21">
        <f t="shared" si="0"/>
        <v>546485</v>
      </c>
      <c r="H21" s="15">
        <f t="shared" si="1"/>
        <v>0.31933014208682281</v>
      </c>
      <c r="I21" s="10" t="str">
        <f>IF(ABS(G21)&lt;Overview!$B$6,"OK",IF(C21=0,"REVIEW (zero base)",IF(ABS(G21/ABS(C21))&gt;=Overview!$B$5,"REVIEW","OK")))</f>
        <v>REVIEW</v>
      </c>
      <c r="J21" s="21">
        <f t="shared" si="2"/>
        <v>-315973</v>
      </c>
      <c r="K21" s="15">
        <f t="shared" si="3"/>
        <v>-0.13994524838639527</v>
      </c>
      <c r="L21" s="10" t="str">
        <f>IF(ABS(J21)&lt;Overview!$B$6,"OK",IF(D21=0,"REVIEW (zero base)",IF(ABS(J21/ABS(D21))&gt;=Overview!$B$5,"REVIEW","OK")))</f>
        <v>REVIEW</v>
      </c>
    </row>
    <row r="22" spans="1:12" x14ac:dyDescent="0.2">
      <c r="A22" s="10" t="s">
        <v>71</v>
      </c>
      <c r="B22" s="11">
        <f>SUMIFS(Data!$H$2:$H$1534,Data!$D$2:$D$1534,$A22,Data!$C$2:$C$1534,"EXPENSES")</f>
        <v>1779434</v>
      </c>
      <c r="C22" s="11">
        <f>SUMIFS(Data!$I$2:$I$1534,Data!$D$2:$D$1534,$A22,Data!$C$2:$C$1534,"EXPENSES")</f>
        <v>1679079</v>
      </c>
      <c r="D22" s="11">
        <f>SUMIFS(Data!$J$2:$J$1534,Data!$D$2:$D$1534,$A22,Data!$C$2:$C$1534,"EXPENSES")</f>
        <v>1800817</v>
      </c>
      <c r="E22" s="11">
        <f>SUMIFS(Data!$K$2:$K$1534,Data!$D$2:$D$1534,$A22,Data!$C$2:$C$1534,"EXPENSES")</f>
        <v>1923935</v>
      </c>
      <c r="F22" s="11">
        <f>SUMIFS(Data!$L$2:$L$1534,Data!$D$2:$D$1534,$A22,Data!$C$2:$C$1534,"EXPENSES")</f>
        <v>1942413</v>
      </c>
      <c r="G22" s="21">
        <f t="shared" si="0"/>
        <v>121738</v>
      </c>
      <c r="H22" s="15">
        <f t="shared" si="1"/>
        <v>7.2502842332016537E-2</v>
      </c>
      <c r="I22" s="10" t="str">
        <f>IF(ABS(G22)&lt;Overview!$B$6,"OK",IF(C22=0,"REVIEW (zero base)",IF(ABS(G22/ABS(C22))&gt;=Overview!$B$5,"REVIEW","OK")))</f>
        <v>OK</v>
      </c>
      <c r="J22" s="21">
        <f t="shared" si="2"/>
        <v>123118</v>
      </c>
      <c r="K22" s="15">
        <f t="shared" si="3"/>
        <v>6.8367857478022473E-2</v>
      </c>
      <c r="L22" s="10" t="str">
        <f>IF(ABS(J22)&lt;Overview!$B$6,"OK",IF(D22=0,"REVIEW (zero base)",IF(ABS(J22/ABS(D22))&gt;=Overview!$B$5,"REVIEW","OK")))</f>
        <v>OK</v>
      </c>
    </row>
    <row r="23" spans="1:12" x14ac:dyDescent="0.2">
      <c r="A23" s="22" t="s">
        <v>72</v>
      </c>
      <c r="B23" s="23">
        <f>SUM(B5:B22)</f>
        <v>489443567</v>
      </c>
      <c r="C23" s="23">
        <f>SUM(C5:C22)</f>
        <v>483004372</v>
      </c>
      <c r="D23" s="23">
        <f>SUM(D5:D22)</f>
        <v>510917760</v>
      </c>
      <c r="E23" s="23">
        <f>SUM(E5:E22)</f>
        <v>539937743</v>
      </c>
      <c r="F23" s="23">
        <f>SUM(F5:F22)</f>
        <v>556002789</v>
      </c>
      <c r="G23" s="23">
        <f t="shared" si="0"/>
        <v>27913388</v>
      </c>
      <c r="H23" s="24">
        <f t="shared" si="1"/>
        <v>5.7791170469984894E-2</v>
      </c>
      <c r="I23" s="22" t="str">
        <f>IF(ABS(G23)&lt;Overview!$B$6,"OK",IF(C23=0,"REVIEW (zero base)",IF(ABS(G23/ABS(C23))&gt;=Overview!$B$5,"REVIEW","OK")))</f>
        <v>OK</v>
      </c>
      <c r="J23" s="23">
        <f t="shared" si="2"/>
        <v>29019983</v>
      </c>
      <c r="K23" s="24">
        <f t="shared" si="3"/>
        <v>5.6799714693809039E-2</v>
      </c>
      <c r="L23" s="22" t="str">
        <f>IF(ABS(J23)&lt;Overview!$B$6,"OK",IF(D23=0,"REVIEW (zero base)",IF(ABS(J23/ABS(D23))&gt;=Overview!$B$5,"REVIEW","OK")))</f>
        <v>OK</v>
      </c>
    </row>
    <row r="24" spans="1:12" x14ac:dyDescent="0.2">
      <c r="A24" s="3" t="s">
        <v>73</v>
      </c>
      <c r="B24" s="26">
        <f>B23-SUMIFS(Data!$H$2:$H$1534,Data!$C$2:$C$1534,"EXPENSES")</f>
        <v>0</v>
      </c>
      <c r="C24" s="26">
        <f>C23-SUMIFS(Data!$I$2:$I$1534,Data!$C$2:$C$1534,"EXPENSES")</f>
        <v>0</v>
      </c>
      <c r="D24" s="26">
        <f>D23-SUMIFS(Data!$J$2:$J$1534,Data!$C$2:$C$1534,"EXPENSES")</f>
        <v>0</v>
      </c>
      <c r="E24" s="26">
        <f>E23-SUMIFS(Data!$K$2:$K$1534,Data!$C$2:$C$1534,"EXPENSES")</f>
        <v>0</v>
      </c>
      <c r="F24" s="26">
        <f>F23-SUMIFS(Data!$L$2:$L$1534,Data!$C$2:$C$1534,"EXPENSES")</f>
        <v>0</v>
      </c>
    </row>
  </sheetData>
  <conditionalFormatting sqref="I5:I22">
    <cfRule type="expression" dxfId="6" priority="2">
      <formula>LEFT(I5,6)="REVIEW"</formula>
    </cfRule>
  </conditionalFormatting>
  <conditionalFormatting sqref="L5:L22">
    <cfRule type="expression" dxfId="5" priority="3">
      <formula>LEFT(L5,6)="REVIEW"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8"/>
  <sheetViews>
    <sheetView zoomScaleNormal="100" workbookViewId="0">
      <selection activeCell="D13" sqref="D13"/>
    </sheetView>
  </sheetViews>
  <sheetFormatPr baseColWidth="10" defaultColWidth="8.6640625" defaultRowHeight="15" x14ac:dyDescent="0.2"/>
  <cols>
    <col min="1" max="1" width="40" customWidth="1"/>
    <col min="2" max="2" width="32" customWidth="1"/>
    <col min="3" max="7" width="14" customWidth="1"/>
    <col min="8" max="8" width="15" customWidth="1"/>
    <col min="9" max="9" width="11" customWidth="1"/>
    <col min="10" max="10" width="18" customWidth="1"/>
    <col min="11" max="11" width="15" customWidth="1"/>
    <col min="12" max="12" width="11" customWidth="1"/>
    <col min="13" max="13" width="18" customWidth="1"/>
    <col min="14" max="14" width="50" customWidth="1"/>
  </cols>
  <sheetData>
    <row r="1" spans="1:13" ht="18" x14ac:dyDescent="0.2">
      <c r="A1" s="2" t="s">
        <v>74</v>
      </c>
    </row>
    <row r="2" spans="1:13" x14ac:dyDescent="0.2">
      <c r="A2" s="3" t="s">
        <v>75</v>
      </c>
    </row>
    <row r="4" spans="1:13" ht="43.5" customHeight="1" x14ac:dyDescent="0.2">
      <c r="A4" s="20" t="s">
        <v>76</v>
      </c>
      <c r="B4" s="20" t="s">
        <v>43</v>
      </c>
      <c r="C4" s="20" t="s">
        <v>44</v>
      </c>
      <c r="D4" s="20" t="s">
        <v>45</v>
      </c>
      <c r="E4" s="20" t="s">
        <v>46</v>
      </c>
      <c r="F4" s="20" t="s">
        <v>47</v>
      </c>
      <c r="G4" s="20" t="s">
        <v>48</v>
      </c>
      <c r="H4" s="20" t="s">
        <v>49</v>
      </c>
      <c r="I4" s="20" t="s">
        <v>50</v>
      </c>
      <c r="J4" s="20" t="s">
        <v>51</v>
      </c>
      <c r="K4" s="20" t="s">
        <v>52</v>
      </c>
      <c r="L4" s="20" t="s">
        <v>53</v>
      </c>
      <c r="M4" s="20" t="s">
        <v>51</v>
      </c>
    </row>
    <row r="5" spans="1:13" x14ac:dyDescent="0.2">
      <c r="A5" s="10" t="s">
        <v>77</v>
      </c>
      <c r="B5" s="10" t="s">
        <v>54</v>
      </c>
      <c r="C5" s="11">
        <f>SUMIFS(Data!$H$2:$H$1534,Data!$E$2:$E$1534,$A5,Data!$C$2:$C$1534,"EXPENSES")</f>
        <v>131141819</v>
      </c>
      <c r="D5" s="11">
        <f>SUMIFS(Data!$I$2:$I$1534,Data!$E$2:$E$1534,$A5,Data!$C$2:$C$1534,"EXPENSES")</f>
        <v>134694954</v>
      </c>
      <c r="E5" s="11">
        <f>SUMIFS(Data!$J$2:$J$1534,Data!$E$2:$E$1534,$A5,Data!$C$2:$C$1534,"EXPENSES")</f>
        <v>133214611</v>
      </c>
      <c r="F5" s="11">
        <f>SUMIFS(Data!$K$2:$K$1534,Data!$E$2:$E$1534,$A5,Data!$C$2:$C$1534,"EXPENSES")</f>
        <v>137837350</v>
      </c>
      <c r="G5" s="11">
        <f>SUMIFS(Data!$L$2:$L$1534,Data!$E$2:$E$1534,$A5,Data!$C$2:$C$1534,"EXPENSES")</f>
        <v>142796001</v>
      </c>
      <c r="H5" s="21">
        <f t="shared" ref="H5:H36" si="0">E5-D5</f>
        <v>-1480343</v>
      </c>
      <c r="I5" s="15">
        <f t="shared" ref="I5:I36" si="1">IF(D5=0,"n/a",H5/ABS(D5))</f>
        <v>-1.0990337470251485E-2</v>
      </c>
      <c r="J5" s="10" t="str">
        <f>IF(ABS(H5)&lt;Overview!$B$6,"OK",IF(D5=0,"REVIEW (zero base)",IF(ABS(H5/ABS(D5))&gt;=Overview!$B$5,"REVIEW","OK")))</f>
        <v>OK</v>
      </c>
      <c r="K5" s="21">
        <f t="shared" ref="K5:K36" si="2">F5-E5</f>
        <v>4622739</v>
      </c>
      <c r="L5" s="15">
        <f t="shared" ref="L5:L36" si="3">IF(E5=0,"n/a",K5/ABS(E5))</f>
        <v>3.4701441270582549E-2</v>
      </c>
      <c r="M5" s="10" t="str">
        <f>IF(ABS(K5)&lt;Overview!$B$6,"OK",IF(E5=0,"REVIEW (zero base)",IF(ABS(K5/ABS(E5))&gt;=Overview!$B$5,"REVIEW","OK")))</f>
        <v>OK</v>
      </c>
    </row>
    <row r="6" spans="1:13" x14ac:dyDescent="0.2">
      <c r="A6" s="10" t="s">
        <v>78</v>
      </c>
      <c r="B6" s="10" t="s">
        <v>55</v>
      </c>
      <c r="C6" s="11">
        <f>SUMIFS(Data!$H$2:$H$1534,Data!$E$2:$E$1534,$A6,Data!$C$2:$C$1534,"EXPENSES")</f>
        <v>84997596</v>
      </c>
      <c r="D6" s="11">
        <f>SUMIFS(Data!$I$2:$I$1534,Data!$E$2:$E$1534,$A6,Data!$C$2:$C$1534,"EXPENSES")</f>
        <v>73467235</v>
      </c>
      <c r="E6" s="11">
        <f>SUMIFS(Data!$J$2:$J$1534,Data!$E$2:$E$1534,$A6,Data!$C$2:$C$1534,"EXPENSES")</f>
        <v>91643503</v>
      </c>
      <c r="F6" s="11">
        <f>SUMIFS(Data!$K$2:$K$1534,Data!$E$2:$E$1534,$A6,Data!$C$2:$C$1534,"EXPENSES")</f>
        <v>93816418</v>
      </c>
      <c r="G6" s="11">
        <f>SUMIFS(Data!$L$2:$L$1534,Data!$E$2:$E$1534,$A6,Data!$C$2:$C$1534,"EXPENSES")</f>
        <v>97545249</v>
      </c>
      <c r="H6" s="21">
        <f t="shared" si="0"/>
        <v>18176268</v>
      </c>
      <c r="I6" s="15">
        <f t="shared" si="1"/>
        <v>0.2474064526860171</v>
      </c>
      <c r="J6" s="10" t="str">
        <f>IF(ABS(H6)&lt;Overview!$B$6,"OK",IF(D6=0,"REVIEW (zero base)",IF(ABS(H6/ABS(D6))&gt;=Overview!$B$5,"REVIEW","OK")))</f>
        <v>REVIEW</v>
      </c>
      <c r="K6" s="21">
        <f t="shared" si="2"/>
        <v>2172915</v>
      </c>
      <c r="L6" s="15">
        <f t="shared" si="3"/>
        <v>2.3710518791495782E-2</v>
      </c>
      <c r="M6" s="10" t="str">
        <f>IF(ABS(K6)&lt;Overview!$B$6,"OK",IF(E6=0,"REVIEW (zero base)",IF(ABS(K6/ABS(E6))&gt;=Overview!$B$5,"REVIEW","OK")))</f>
        <v>OK</v>
      </c>
    </row>
    <row r="7" spans="1:13" x14ac:dyDescent="0.2">
      <c r="A7" s="10" t="s">
        <v>79</v>
      </c>
      <c r="B7" s="10" t="s">
        <v>55</v>
      </c>
      <c r="C7" s="11">
        <f>SUMIFS(Data!$H$2:$H$1534,Data!$E$2:$E$1534,$A7,Data!$C$2:$C$1534,"EXPENSES")</f>
        <v>67100059</v>
      </c>
      <c r="D7" s="11">
        <f>SUMIFS(Data!$I$2:$I$1534,Data!$E$2:$E$1534,$A7,Data!$C$2:$C$1534,"EXPENSES")</f>
        <v>68989373</v>
      </c>
      <c r="E7" s="11">
        <f>SUMIFS(Data!$J$2:$J$1534,Data!$E$2:$E$1534,$A7,Data!$C$2:$C$1534,"EXPENSES")</f>
        <v>81319299</v>
      </c>
      <c r="F7" s="11">
        <f>SUMIFS(Data!$K$2:$K$1534,Data!$E$2:$E$1534,$A7,Data!$C$2:$C$1534,"EXPENSES")</f>
        <v>82786691</v>
      </c>
      <c r="G7" s="11">
        <f>SUMIFS(Data!$L$2:$L$1534,Data!$E$2:$E$1534,$A7,Data!$C$2:$C$1534,"EXPENSES")</f>
        <v>84715420</v>
      </c>
      <c r="H7" s="21">
        <f t="shared" si="0"/>
        <v>12329926</v>
      </c>
      <c r="I7" s="15">
        <f t="shared" si="1"/>
        <v>0.17872210550456807</v>
      </c>
      <c r="J7" s="10" t="str">
        <f>IF(ABS(H7)&lt;Overview!$B$6,"OK",IF(D7=0,"REVIEW (zero base)",IF(ABS(H7/ABS(D7))&gt;=Overview!$B$5,"REVIEW","OK")))</f>
        <v>REVIEW</v>
      </c>
      <c r="K7" s="21">
        <f t="shared" si="2"/>
        <v>1467392</v>
      </c>
      <c r="L7" s="15">
        <f t="shared" si="3"/>
        <v>1.8044818610647394E-2</v>
      </c>
      <c r="M7" s="10" t="str">
        <f>IF(ABS(K7)&lt;Overview!$B$6,"OK",IF(E7=0,"REVIEW (zero base)",IF(ABS(K7/ABS(E7))&gt;=Overview!$B$5,"REVIEW","OK")))</f>
        <v>OK</v>
      </c>
    </row>
    <row r="8" spans="1:13" x14ac:dyDescent="0.2">
      <c r="A8" s="10" t="s">
        <v>80</v>
      </c>
      <c r="B8" s="10" t="s">
        <v>54</v>
      </c>
      <c r="C8" s="11">
        <f>SUMIFS(Data!$H$2:$H$1534,Data!$E$2:$E$1534,$A8,Data!$C$2:$C$1534,"EXPENSES")</f>
        <v>62913576</v>
      </c>
      <c r="D8" s="11">
        <f>SUMIFS(Data!$I$2:$I$1534,Data!$E$2:$E$1534,$A8,Data!$C$2:$C$1534,"EXPENSES")</f>
        <v>60551056</v>
      </c>
      <c r="E8" s="11">
        <f>SUMIFS(Data!$J$2:$J$1534,Data!$E$2:$E$1534,$A8,Data!$C$2:$C$1534,"EXPENSES")</f>
        <v>55344275</v>
      </c>
      <c r="F8" s="11">
        <f>SUMIFS(Data!$K$2:$K$1534,Data!$E$2:$E$1534,$A8,Data!$C$2:$C$1534,"EXPENSES")</f>
        <v>65716345</v>
      </c>
      <c r="G8" s="11">
        <f>SUMIFS(Data!$L$2:$L$1534,Data!$E$2:$E$1534,$A8,Data!$C$2:$C$1534,"EXPENSES")</f>
        <v>69505195</v>
      </c>
      <c r="H8" s="21">
        <f t="shared" si="0"/>
        <v>-5206781</v>
      </c>
      <c r="I8" s="15">
        <f t="shared" si="1"/>
        <v>-8.5989928895707446E-2</v>
      </c>
      <c r="J8" s="10" t="str">
        <f>IF(ABS(H8)&lt;Overview!$B$6,"OK",IF(D8=0,"REVIEW (zero base)",IF(ABS(H8/ABS(D8))&gt;=Overview!$B$5,"REVIEW","OK")))</f>
        <v>OK</v>
      </c>
      <c r="K8" s="21">
        <f t="shared" si="2"/>
        <v>10372070</v>
      </c>
      <c r="L8" s="15">
        <f t="shared" si="3"/>
        <v>0.18740998956079918</v>
      </c>
      <c r="M8" s="10" t="str">
        <f>IF(ABS(K8)&lt;Overview!$B$6,"OK",IF(E8=0,"REVIEW (zero base)",IF(ABS(K8/ABS(E8))&gt;=Overview!$B$5,"REVIEW","OK")))</f>
        <v>REVIEW</v>
      </c>
    </row>
    <row r="9" spans="1:13" x14ac:dyDescent="0.2">
      <c r="A9" s="10" t="s">
        <v>81</v>
      </c>
      <c r="B9" s="10" t="s">
        <v>54</v>
      </c>
      <c r="C9" s="11">
        <f>SUMIFS(Data!$H$2:$H$1534,Data!$E$2:$E$1534,$A9,Data!$C$2:$C$1534,"EXPENSES")</f>
        <v>26506719</v>
      </c>
      <c r="D9" s="11">
        <f>SUMIFS(Data!$I$2:$I$1534,Data!$E$2:$E$1534,$A9,Data!$C$2:$C$1534,"EXPENSES")</f>
        <v>29662504</v>
      </c>
      <c r="E9" s="11">
        <f>SUMIFS(Data!$J$2:$J$1534,Data!$E$2:$E$1534,$A9,Data!$C$2:$C$1534,"EXPENSES")</f>
        <v>28127393</v>
      </c>
      <c r="F9" s="11">
        <f>SUMIFS(Data!$K$2:$K$1534,Data!$E$2:$E$1534,$A9,Data!$C$2:$C$1534,"EXPENSES")</f>
        <v>27562182</v>
      </c>
      <c r="G9" s="11">
        <f>SUMIFS(Data!$L$2:$L$1534,Data!$E$2:$E$1534,$A9,Data!$C$2:$C$1534,"EXPENSES")</f>
        <v>28126426</v>
      </c>
      <c r="H9" s="21">
        <f t="shared" si="0"/>
        <v>-1535111</v>
      </c>
      <c r="I9" s="15">
        <f t="shared" si="1"/>
        <v>-5.1752576249125833E-2</v>
      </c>
      <c r="J9" s="10" t="str">
        <f>IF(ABS(H9)&lt;Overview!$B$6,"OK",IF(D9=0,"REVIEW (zero base)",IF(ABS(H9/ABS(D9))&gt;=Overview!$B$5,"REVIEW","OK")))</f>
        <v>OK</v>
      </c>
      <c r="K9" s="21">
        <f t="shared" si="2"/>
        <v>-565211</v>
      </c>
      <c r="L9" s="15">
        <f t="shared" si="3"/>
        <v>-2.009468136631077E-2</v>
      </c>
      <c r="M9" s="10" t="str">
        <f>IF(ABS(K9)&lt;Overview!$B$6,"OK",IF(E9=0,"REVIEW (zero base)",IF(ABS(K9/ABS(E9))&gt;=Overview!$B$5,"REVIEW","OK")))</f>
        <v>OK</v>
      </c>
    </row>
    <row r="10" spans="1:13" x14ac:dyDescent="0.2">
      <c r="A10" s="10" t="s">
        <v>82</v>
      </c>
      <c r="B10" s="10" t="s">
        <v>56</v>
      </c>
      <c r="C10" s="11">
        <f>SUMIFS(Data!$H$2:$H$1534,Data!$E$2:$E$1534,$A10,Data!$C$2:$C$1534,"EXPENSES")</f>
        <v>10892826</v>
      </c>
      <c r="D10" s="11">
        <f>SUMIFS(Data!$I$2:$I$1534,Data!$E$2:$E$1534,$A10,Data!$C$2:$C$1534,"EXPENSES")</f>
        <v>11648669</v>
      </c>
      <c r="E10" s="11">
        <f>SUMIFS(Data!$J$2:$J$1534,Data!$E$2:$E$1534,$A10,Data!$C$2:$C$1534,"EXPENSES")</f>
        <v>11762322</v>
      </c>
      <c r="F10" s="11">
        <f>SUMIFS(Data!$K$2:$K$1534,Data!$E$2:$E$1534,$A10,Data!$C$2:$C$1534,"EXPENSES")</f>
        <v>12243292</v>
      </c>
      <c r="G10" s="11">
        <f>SUMIFS(Data!$L$2:$L$1534,Data!$E$2:$E$1534,$A10,Data!$C$2:$C$1534,"EXPENSES")</f>
        <v>12339411</v>
      </c>
      <c r="H10" s="21">
        <f t="shared" si="0"/>
        <v>113653</v>
      </c>
      <c r="I10" s="15">
        <f t="shared" si="1"/>
        <v>9.7567370143318514E-3</v>
      </c>
      <c r="J10" s="10" t="str">
        <f>IF(ABS(H10)&lt;Overview!$B$6,"OK",IF(D10=0,"REVIEW (zero base)",IF(ABS(H10/ABS(D10))&gt;=Overview!$B$5,"REVIEW","OK")))</f>
        <v>OK</v>
      </c>
      <c r="K10" s="21">
        <f t="shared" si="2"/>
        <v>480970</v>
      </c>
      <c r="L10" s="15">
        <f t="shared" si="3"/>
        <v>4.089073568977282E-2</v>
      </c>
      <c r="M10" s="10" t="str">
        <f>IF(ABS(K10)&lt;Overview!$B$6,"OK",IF(E10=0,"REVIEW (zero base)",IF(ABS(K10/ABS(E10))&gt;=Overview!$B$5,"REVIEW","OK")))</f>
        <v>OK</v>
      </c>
    </row>
    <row r="11" spans="1:13" x14ac:dyDescent="0.2">
      <c r="A11" s="10" t="s">
        <v>83</v>
      </c>
      <c r="B11" s="10" t="s">
        <v>55</v>
      </c>
      <c r="C11" s="11">
        <f>SUMIFS(Data!$H$2:$H$1534,Data!$E$2:$E$1534,$A11,Data!$C$2:$C$1534,"EXPENSES")</f>
        <v>9432190</v>
      </c>
      <c r="D11" s="11">
        <f>SUMIFS(Data!$I$2:$I$1534,Data!$E$2:$E$1534,$A11,Data!$C$2:$C$1534,"EXPENSES")</f>
        <v>8899968</v>
      </c>
      <c r="E11" s="11">
        <f>SUMIFS(Data!$J$2:$J$1534,Data!$E$2:$E$1534,$A11,Data!$C$2:$C$1534,"EXPENSES")</f>
        <v>9213734</v>
      </c>
      <c r="F11" s="11">
        <f>SUMIFS(Data!$K$2:$K$1534,Data!$E$2:$E$1534,$A11,Data!$C$2:$C$1534,"EXPENSES")</f>
        <v>10090963</v>
      </c>
      <c r="G11" s="11">
        <f>SUMIFS(Data!$L$2:$L$1534,Data!$E$2:$E$1534,$A11,Data!$C$2:$C$1534,"EXPENSES")</f>
        <v>10226536</v>
      </c>
      <c r="H11" s="21">
        <f t="shared" si="0"/>
        <v>313766</v>
      </c>
      <c r="I11" s="15">
        <f t="shared" si="1"/>
        <v>3.5254733500165392E-2</v>
      </c>
      <c r="J11" s="10" t="str">
        <f>IF(ABS(H11)&lt;Overview!$B$6,"OK",IF(D11=0,"REVIEW (zero base)",IF(ABS(H11/ABS(D11))&gt;=Overview!$B$5,"REVIEW","OK")))</f>
        <v>OK</v>
      </c>
      <c r="K11" s="21">
        <f t="shared" si="2"/>
        <v>877229</v>
      </c>
      <c r="L11" s="15">
        <f t="shared" si="3"/>
        <v>9.5208848008852875E-2</v>
      </c>
      <c r="M11" s="10" t="str">
        <f>IF(ABS(K11)&lt;Overview!$B$6,"OK",IF(E11=0,"REVIEW (zero base)",IF(ABS(K11/ABS(E11))&gt;=Overview!$B$5,"REVIEW","OK")))</f>
        <v>OK</v>
      </c>
    </row>
    <row r="12" spans="1:13" x14ac:dyDescent="0.2">
      <c r="A12" s="10" t="s">
        <v>84</v>
      </c>
      <c r="B12" s="10" t="s">
        <v>58</v>
      </c>
      <c r="C12" s="11">
        <f>SUMIFS(Data!$H$2:$H$1534,Data!$E$2:$E$1534,$A12,Data!$C$2:$C$1534,"EXPENSES")</f>
        <v>8679036</v>
      </c>
      <c r="D12" s="11">
        <f>SUMIFS(Data!$I$2:$I$1534,Data!$E$2:$E$1534,$A12,Data!$C$2:$C$1534,"EXPENSES")</f>
        <v>7502847</v>
      </c>
      <c r="E12" s="11">
        <f>SUMIFS(Data!$J$2:$J$1534,Data!$E$2:$E$1534,$A12,Data!$C$2:$C$1534,"EXPENSES")</f>
        <v>7761845</v>
      </c>
      <c r="F12" s="11">
        <f>SUMIFS(Data!$K$2:$K$1534,Data!$E$2:$E$1534,$A12,Data!$C$2:$C$1534,"EXPENSES")</f>
        <v>8046972</v>
      </c>
      <c r="G12" s="11">
        <f>SUMIFS(Data!$L$2:$L$1534,Data!$E$2:$E$1534,$A12,Data!$C$2:$C$1534,"EXPENSES")</f>
        <v>8143094</v>
      </c>
      <c r="H12" s="21">
        <f t="shared" si="0"/>
        <v>258998</v>
      </c>
      <c r="I12" s="15">
        <f t="shared" si="1"/>
        <v>3.4519962888754092E-2</v>
      </c>
      <c r="J12" s="10" t="str">
        <f>IF(ABS(H12)&lt;Overview!$B$6,"OK",IF(D12=0,"REVIEW (zero base)",IF(ABS(H12/ABS(D12))&gt;=Overview!$B$5,"REVIEW","OK")))</f>
        <v>OK</v>
      </c>
      <c r="K12" s="21">
        <f t="shared" si="2"/>
        <v>285127</v>
      </c>
      <c r="L12" s="15">
        <f t="shared" si="3"/>
        <v>3.6734436206855459E-2</v>
      </c>
      <c r="M12" s="10" t="str">
        <f>IF(ABS(K12)&lt;Overview!$B$6,"OK",IF(E12=0,"REVIEW (zero base)",IF(ABS(K12/ABS(E12))&gt;=Overview!$B$5,"REVIEW","OK")))</f>
        <v>OK</v>
      </c>
    </row>
    <row r="13" spans="1:13" x14ac:dyDescent="0.2">
      <c r="A13" s="10" t="s">
        <v>85</v>
      </c>
      <c r="B13" s="10" t="s">
        <v>54</v>
      </c>
      <c r="C13" s="11">
        <f>SUMIFS(Data!$H$2:$H$1534,Data!$E$2:$E$1534,$A13,Data!$C$2:$C$1534,"EXPENSES")</f>
        <v>5621162</v>
      </c>
      <c r="D13" s="11">
        <f>SUMIFS(Data!$I$2:$I$1534,Data!$E$2:$E$1534,$A13,Data!$C$2:$C$1534,"EXPENSES")</f>
        <v>5902662</v>
      </c>
      <c r="E13" s="11">
        <f>SUMIFS(Data!$J$2:$J$1534,Data!$E$2:$E$1534,$A13,Data!$C$2:$C$1534,"EXPENSES")</f>
        <v>6304750</v>
      </c>
      <c r="F13" s="11">
        <f>SUMIFS(Data!$K$2:$K$1534,Data!$E$2:$E$1534,$A13,Data!$C$2:$C$1534,"EXPENSES")</f>
        <v>6354750</v>
      </c>
      <c r="G13" s="11">
        <f>SUMIFS(Data!$L$2:$L$1534,Data!$E$2:$E$1534,$A13,Data!$C$2:$C$1534,"EXPENSES")</f>
        <v>6354750</v>
      </c>
      <c r="H13" s="21">
        <f t="shared" si="0"/>
        <v>402088</v>
      </c>
      <c r="I13" s="15">
        <f t="shared" si="1"/>
        <v>6.8119773756315366E-2</v>
      </c>
      <c r="J13" s="10" t="str">
        <f>IF(ABS(H13)&lt;Overview!$B$6,"OK",IF(D13=0,"REVIEW (zero base)",IF(ABS(H13/ABS(D13))&gt;=Overview!$B$5,"REVIEW","OK")))</f>
        <v>OK</v>
      </c>
      <c r="K13" s="21">
        <f t="shared" si="2"/>
        <v>50000</v>
      </c>
      <c r="L13" s="15">
        <f t="shared" si="3"/>
        <v>7.9305285697291727E-3</v>
      </c>
      <c r="M13" s="10" t="str">
        <f>IF(ABS(K13)&lt;Overview!$B$6,"OK",IF(E13=0,"REVIEW (zero base)",IF(ABS(K13/ABS(E13))&gt;=Overview!$B$5,"REVIEW","OK")))</f>
        <v>OK</v>
      </c>
    </row>
    <row r="14" spans="1:13" x14ac:dyDescent="0.2">
      <c r="A14" s="10" t="s">
        <v>86</v>
      </c>
      <c r="B14" s="10" t="s">
        <v>60</v>
      </c>
      <c r="C14" s="11">
        <f>SUMIFS(Data!$H$2:$H$1534,Data!$E$2:$E$1534,$A14,Data!$C$2:$C$1534,"EXPENSES")</f>
        <v>6930266</v>
      </c>
      <c r="D14" s="11">
        <f>SUMIFS(Data!$I$2:$I$1534,Data!$E$2:$E$1534,$A14,Data!$C$2:$C$1534,"EXPENSES")</f>
        <v>6536800</v>
      </c>
      <c r="E14" s="11">
        <f>SUMIFS(Data!$J$2:$J$1534,Data!$E$2:$E$1534,$A14,Data!$C$2:$C$1534,"EXPENSES")</f>
        <v>6046542</v>
      </c>
      <c r="F14" s="11">
        <f>SUMIFS(Data!$K$2:$K$1534,Data!$E$2:$E$1534,$A14,Data!$C$2:$C$1534,"EXPENSES")</f>
        <v>6273172</v>
      </c>
      <c r="G14" s="11">
        <f>SUMIFS(Data!$L$2:$L$1534,Data!$E$2:$E$1534,$A14,Data!$C$2:$C$1534,"EXPENSES")</f>
        <v>6361766</v>
      </c>
      <c r="H14" s="21">
        <f t="shared" si="0"/>
        <v>-490258</v>
      </c>
      <c r="I14" s="15">
        <f t="shared" si="1"/>
        <v>-7.4999694039897202E-2</v>
      </c>
      <c r="J14" s="10" t="str">
        <f>IF(ABS(H14)&lt;Overview!$B$6,"OK",IF(D14=0,"REVIEW (zero base)",IF(ABS(H14/ABS(D14))&gt;=Overview!$B$5,"REVIEW","OK")))</f>
        <v>OK</v>
      </c>
      <c r="K14" s="21">
        <f t="shared" si="2"/>
        <v>226630</v>
      </c>
      <c r="L14" s="15">
        <f t="shared" si="3"/>
        <v>3.748092711503534E-2</v>
      </c>
      <c r="M14" s="10" t="str">
        <f>IF(ABS(K14)&lt;Overview!$B$6,"OK",IF(E14=0,"REVIEW (zero base)",IF(ABS(K14/ABS(E14))&gt;=Overview!$B$5,"REVIEW","OK")))</f>
        <v>OK</v>
      </c>
    </row>
    <row r="15" spans="1:13" x14ac:dyDescent="0.2">
      <c r="A15" s="10" t="s">
        <v>87</v>
      </c>
      <c r="B15" s="10" t="s">
        <v>57</v>
      </c>
      <c r="C15" s="11">
        <f>SUMIFS(Data!$H$2:$H$1534,Data!$E$2:$E$1534,$A15,Data!$C$2:$C$1534,"EXPENSES")</f>
        <v>5349123</v>
      </c>
      <c r="D15" s="11">
        <f>SUMIFS(Data!$I$2:$I$1534,Data!$E$2:$E$1534,$A15,Data!$C$2:$C$1534,"EXPENSES")</f>
        <v>5622696</v>
      </c>
      <c r="E15" s="11">
        <f>SUMIFS(Data!$J$2:$J$1534,Data!$E$2:$E$1534,$A15,Data!$C$2:$C$1534,"EXPENSES")</f>
        <v>5553951</v>
      </c>
      <c r="F15" s="11">
        <f>SUMIFS(Data!$K$2:$K$1534,Data!$E$2:$E$1534,$A15,Data!$C$2:$C$1534,"EXPENSES")</f>
        <v>6631036</v>
      </c>
      <c r="G15" s="11">
        <f>SUMIFS(Data!$L$2:$L$1534,Data!$E$2:$E$1534,$A15,Data!$C$2:$C$1534,"EXPENSES")</f>
        <v>6733805</v>
      </c>
      <c r="H15" s="21">
        <f t="shared" si="0"/>
        <v>-68745</v>
      </c>
      <c r="I15" s="15">
        <f t="shared" si="1"/>
        <v>-1.2226341242706346E-2</v>
      </c>
      <c r="J15" s="10" t="str">
        <f>IF(ABS(H15)&lt;Overview!$B$6,"OK",IF(D15=0,"REVIEW (zero base)",IF(ABS(H15/ABS(D15))&gt;=Overview!$B$5,"REVIEW","OK")))</f>
        <v>OK</v>
      </c>
      <c r="K15" s="21">
        <f t="shared" si="2"/>
        <v>1077085</v>
      </c>
      <c r="L15" s="15">
        <f t="shared" si="3"/>
        <v>0.19393131124131271</v>
      </c>
      <c r="M15" s="10" t="str">
        <f>IF(ABS(K15)&lt;Overview!$B$6,"OK",IF(E15=0,"REVIEW (zero base)",IF(ABS(K15/ABS(E15))&gt;=Overview!$B$5,"REVIEW","OK")))</f>
        <v>REVIEW</v>
      </c>
    </row>
    <row r="16" spans="1:13" x14ac:dyDescent="0.2">
      <c r="A16" s="10" t="s">
        <v>88</v>
      </c>
      <c r="B16" s="10" t="s">
        <v>54</v>
      </c>
      <c r="C16" s="11">
        <f>SUMIFS(Data!$H$2:$H$1534,Data!$E$2:$E$1534,$A16,Data!$C$2:$C$1534,"EXPENSES")</f>
        <v>5075227</v>
      </c>
      <c r="D16" s="11">
        <f>SUMIFS(Data!$I$2:$I$1534,Data!$E$2:$E$1534,$A16,Data!$C$2:$C$1534,"EXPENSES")</f>
        <v>6032397</v>
      </c>
      <c r="E16" s="11">
        <f>SUMIFS(Data!$J$2:$J$1534,Data!$E$2:$E$1534,$A16,Data!$C$2:$C$1534,"EXPENSES")</f>
        <v>4642960</v>
      </c>
      <c r="F16" s="11">
        <f>SUMIFS(Data!$K$2:$K$1534,Data!$E$2:$E$1534,$A16,Data!$C$2:$C$1534,"EXPENSES")</f>
        <v>4578247</v>
      </c>
      <c r="G16" s="11">
        <f>SUMIFS(Data!$L$2:$L$1534,Data!$E$2:$E$1534,$A16,Data!$C$2:$C$1534,"EXPENSES")</f>
        <v>4578247</v>
      </c>
      <c r="H16" s="21">
        <f t="shared" si="0"/>
        <v>-1389437</v>
      </c>
      <c r="I16" s="15">
        <f t="shared" si="1"/>
        <v>-0.23032917097465569</v>
      </c>
      <c r="J16" s="10" t="str">
        <f>IF(ABS(H16)&lt;Overview!$B$6,"OK",IF(D16=0,"REVIEW (zero base)",IF(ABS(H16/ABS(D16))&gt;=Overview!$B$5,"REVIEW","OK")))</f>
        <v>REVIEW</v>
      </c>
      <c r="K16" s="21">
        <f t="shared" si="2"/>
        <v>-64713</v>
      </c>
      <c r="L16" s="15">
        <f t="shared" si="3"/>
        <v>-1.3937875837827593E-2</v>
      </c>
      <c r="M16" s="10" t="str">
        <f>IF(ABS(K16)&lt;Overview!$B$6,"OK",IF(E16=0,"REVIEW (zero base)",IF(ABS(K16/ABS(E16))&gt;=Overview!$B$5,"REVIEW","OK")))</f>
        <v>OK</v>
      </c>
    </row>
    <row r="17" spans="1:13" x14ac:dyDescent="0.2">
      <c r="A17" s="10" t="s">
        <v>89</v>
      </c>
      <c r="B17" s="10" t="s">
        <v>56</v>
      </c>
      <c r="C17" s="11">
        <f>SUMIFS(Data!$H$2:$H$1534,Data!$E$2:$E$1534,$A17,Data!$C$2:$C$1534,"EXPENSES")</f>
        <v>4200179</v>
      </c>
      <c r="D17" s="11">
        <f>SUMIFS(Data!$I$2:$I$1534,Data!$E$2:$E$1534,$A17,Data!$C$2:$C$1534,"EXPENSES")</f>
        <v>4182390</v>
      </c>
      <c r="E17" s="11">
        <f>SUMIFS(Data!$J$2:$J$1534,Data!$E$2:$E$1534,$A17,Data!$C$2:$C$1534,"EXPENSES")</f>
        <v>4627385</v>
      </c>
      <c r="F17" s="11">
        <f>SUMIFS(Data!$K$2:$K$1534,Data!$E$2:$E$1534,$A17,Data!$C$2:$C$1534,"EXPENSES")</f>
        <v>5016188</v>
      </c>
      <c r="G17" s="11">
        <f>SUMIFS(Data!$L$2:$L$1534,Data!$E$2:$E$1534,$A17,Data!$C$2:$C$1534,"EXPENSES")</f>
        <v>5097841</v>
      </c>
      <c r="H17" s="21">
        <f t="shared" si="0"/>
        <v>444995</v>
      </c>
      <c r="I17" s="15">
        <f t="shared" si="1"/>
        <v>0.10639729915192031</v>
      </c>
      <c r="J17" s="10" t="str">
        <f>IF(ABS(H17)&lt;Overview!$B$6,"OK",IF(D17=0,"REVIEW (zero base)",IF(ABS(H17/ABS(D17))&gt;=Overview!$B$5,"REVIEW","OK")))</f>
        <v>REVIEW</v>
      </c>
      <c r="K17" s="21">
        <f t="shared" si="2"/>
        <v>388803</v>
      </c>
      <c r="L17" s="15">
        <f t="shared" si="3"/>
        <v>8.4022185316328768E-2</v>
      </c>
      <c r="M17" s="10" t="str">
        <f>IF(ABS(K17)&lt;Overview!$B$6,"OK",IF(E17=0,"REVIEW (zero base)",IF(ABS(K17/ABS(E17))&gt;=Overview!$B$5,"REVIEW","OK")))</f>
        <v>OK</v>
      </c>
    </row>
    <row r="18" spans="1:13" x14ac:dyDescent="0.2">
      <c r="A18" s="10" t="s">
        <v>90</v>
      </c>
      <c r="B18" s="10" t="s">
        <v>64</v>
      </c>
      <c r="C18" s="11">
        <f>SUMIFS(Data!$H$2:$H$1534,Data!$E$2:$E$1534,$A18,Data!$C$2:$C$1534,"EXPENSES")</f>
        <v>3484604</v>
      </c>
      <c r="D18" s="11">
        <f>SUMIFS(Data!$I$2:$I$1534,Data!$E$2:$E$1534,$A18,Data!$C$2:$C$1534,"EXPENSES")</f>
        <v>3488079</v>
      </c>
      <c r="E18" s="11">
        <f>SUMIFS(Data!$J$2:$J$1534,Data!$E$2:$E$1534,$A18,Data!$C$2:$C$1534,"EXPENSES")</f>
        <v>3803524</v>
      </c>
      <c r="F18" s="11">
        <f>SUMIFS(Data!$K$2:$K$1534,Data!$E$2:$E$1534,$A18,Data!$C$2:$C$1534,"EXPENSES")</f>
        <v>4299333</v>
      </c>
      <c r="G18" s="11">
        <f>SUMIFS(Data!$L$2:$L$1534,Data!$E$2:$E$1534,$A18,Data!$C$2:$C$1534,"EXPENSES")</f>
        <v>4356660</v>
      </c>
      <c r="H18" s="21">
        <f t="shared" si="0"/>
        <v>315445</v>
      </c>
      <c r="I18" s="15">
        <f t="shared" si="1"/>
        <v>9.043516502923242E-2</v>
      </c>
      <c r="J18" s="10" t="str">
        <f>IF(ABS(H18)&lt;Overview!$B$6,"OK",IF(D18=0,"REVIEW (zero base)",IF(ABS(H18/ABS(D18))&gt;=Overview!$B$5,"REVIEW","OK")))</f>
        <v>OK</v>
      </c>
      <c r="K18" s="21">
        <f t="shared" si="2"/>
        <v>495809</v>
      </c>
      <c r="L18" s="15">
        <f t="shared" si="3"/>
        <v>0.13035516536769584</v>
      </c>
      <c r="M18" s="10" t="str">
        <f>IF(ABS(K18)&lt;Overview!$B$6,"OK",IF(E18=0,"REVIEW (zero base)",IF(ABS(K18/ABS(E18))&gt;=Overview!$B$5,"REVIEW","OK")))</f>
        <v>REVIEW</v>
      </c>
    </row>
    <row r="19" spans="1:13" x14ac:dyDescent="0.2">
      <c r="A19" s="10" t="s">
        <v>91</v>
      </c>
      <c r="B19" s="10" t="s">
        <v>65</v>
      </c>
      <c r="C19" s="11">
        <f>SUMIFS(Data!$H$2:$H$1534,Data!$E$2:$E$1534,$A19,Data!$C$2:$C$1534,"EXPENSES")</f>
        <v>3553595</v>
      </c>
      <c r="D19" s="11">
        <f>SUMIFS(Data!$I$2:$I$1534,Data!$E$2:$E$1534,$A19,Data!$C$2:$C$1534,"EXPENSES")</f>
        <v>3631272</v>
      </c>
      <c r="E19" s="11">
        <f>SUMIFS(Data!$J$2:$J$1534,Data!$E$2:$E$1534,$A19,Data!$C$2:$C$1534,"EXPENSES")</f>
        <v>3507410</v>
      </c>
      <c r="F19" s="11">
        <f>SUMIFS(Data!$K$2:$K$1534,Data!$E$2:$E$1534,$A19,Data!$C$2:$C$1534,"EXPENSES")</f>
        <v>3941012</v>
      </c>
      <c r="G19" s="11">
        <f>SUMIFS(Data!$L$2:$L$1534,Data!$E$2:$E$1534,$A19,Data!$C$2:$C$1534,"EXPENSES")</f>
        <v>4007677</v>
      </c>
      <c r="H19" s="21">
        <f t="shared" si="0"/>
        <v>-123862</v>
      </c>
      <c r="I19" s="15">
        <f t="shared" si="1"/>
        <v>-3.4109810556741546E-2</v>
      </c>
      <c r="J19" s="10" t="str">
        <f>IF(ABS(H19)&lt;Overview!$B$6,"OK",IF(D19=0,"REVIEW (zero base)",IF(ABS(H19/ABS(D19))&gt;=Overview!$B$5,"REVIEW","OK")))</f>
        <v>OK</v>
      </c>
      <c r="K19" s="21">
        <f t="shared" si="2"/>
        <v>433602</v>
      </c>
      <c r="L19" s="15">
        <f t="shared" si="3"/>
        <v>0.12362455487097317</v>
      </c>
      <c r="M19" s="10" t="str">
        <f>IF(ABS(K19)&lt;Overview!$B$6,"OK",IF(E19=0,"REVIEW (zero base)",IF(ABS(K19/ABS(E19))&gt;=Overview!$B$5,"REVIEW","OK")))</f>
        <v>REVIEW</v>
      </c>
    </row>
    <row r="20" spans="1:13" x14ac:dyDescent="0.2">
      <c r="A20" s="10" t="s">
        <v>92</v>
      </c>
      <c r="B20" s="10" t="s">
        <v>66</v>
      </c>
      <c r="C20" s="11">
        <f>SUMIFS(Data!$H$2:$H$1534,Data!$E$2:$E$1534,$A20,Data!$C$2:$C$1534,"EXPENSES")</f>
        <v>2967642</v>
      </c>
      <c r="D20" s="11">
        <f>SUMIFS(Data!$I$2:$I$1534,Data!$E$2:$E$1534,$A20,Data!$C$2:$C$1534,"EXPENSES")</f>
        <v>3264416</v>
      </c>
      <c r="E20" s="11">
        <f>SUMIFS(Data!$J$2:$J$1534,Data!$E$2:$E$1534,$A20,Data!$C$2:$C$1534,"EXPENSES")</f>
        <v>3368906</v>
      </c>
      <c r="F20" s="11">
        <f>SUMIFS(Data!$K$2:$K$1534,Data!$E$2:$E$1534,$A20,Data!$C$2:$C$1534,"EXPENSES")</f>
        <v>3975992</v>
      </c>
      <c r="G20" s="11">
        <f>SUMIFS(Data!$L$2:$L$1534,Data!$E$2:$E$1534,$A20,Data!$C$2:$C$1534,"EXPENSES")</f>
        <v>4043459</v>
      </c>
      <c r="H20" s="21">
        <f t="shared" si="0"/>
        <v>104490</v>
      </c>
      <c r="I20" s="15">
        <f t="shared" si="1"/>
        <v>3.2008788095634871E-2</v>
      </c>
      <c r="J20" s="10" t="str">
        <f>IF(ABS(H20)&lt;Overview!$B$6,"OK",IF(D20=0,"REVIEW (zero base)",IF(ABS(H20/ABS(D20))&gt;=Overview!$B$5,"REVIEW","OK")))</f>
        <v>OK</v>
      </c>
      <c r="K20" s="21">
        <f t="shared" si="2"/>
        <v>607086</v>
      </c>
      <c r="L20" s="15">
        <f t="shared" si="3"/>
        <v>0.18020271269070731</v>
      </c>
      <c r="M20" s="10" t="str">
        <f>IF(ABS(K20)&lt;Overview!$B$6,"OK",IF(E20=0,"REVIEW (zero base)",IF(ABS(K20/ABS(E20))&gt;=Overview!$B$5,"REVIEW","OK")))</f>
        <v>REVIEW</v>
      </c>
    </row>
    <row r="21" spans="1:13" x14ac:dyDescent="0.2">
      <c r="A21" s="10" t="s">
        <v>93</v>
      </c>
      <c r="B21" s="10" t="s">
        <v>57</v>
      </c>
      <c r="C21" s="11">
        <f>SUMIFS(Data!$H$2:$H$1534,Data!$E$2:$E$1534,$A21,Data!$C$2:$C$1534,"EXPENSES")</f>
        <v>2979711</v>
      </c>
      <c r="D21" s="11">
        <f>SUMIFS(Data!$I$2:$I$1534,Data!$E$2:$E$1534,$A21,Data!$C$2:$C$1534,"EXPENSES")</f>
        <v>2925410</v>
      </c>
      <c r="E21" s="11">
        <f>SUMIFS(Data!$J$2:$J$1534,Data!$E$2:$E$1534,$A21,Data!$C$2:$C$1534,"EXPENSES")</f>
        <v>2943730</v>
      </c>
      <c r="F21" s="11">
        <f>SUMIFS(Data!$K$2:$K$1534,Data!$E$2:$E$1534,$A21,Data!$C$2:$C$1534,"EXPENSES")</f>
        <v>3142641</v>
      </c>
      <c r="G21" s="11">
        <f>SUMIFS(Data!$L$2:$L$1534,Data!$E$2:$E$1534,$A21,Data!$C$2:$C$1534,"EXPENSES")</f>
        <v>3196785</v>
      </c>
      <c r="H21" s="21">
        <f t="shared" si="0"/>
        <v>18320</v>
      </c>
      <c r="I21" s="15">
        <f t="shared" si="1"/>
        <v>6.2623700609487215E-3</v>
      </c>
      <c r="J21" s="10" t="str">
        <f>IF(ABS(H21)&lt;Overview!$B$6,"OK",IF(D21=0,"REVIEW (zero base)",IF(ABS(H21/ABS(D21))&gt;=Overview!$B$5,"REVIEW","OK")))</f>
        <v>OK</v>
      </c>
      <c r="K21" s="21">
        <f t="shared" si="2"/>
        <v>198911</v>
      </c>
      <c r="L21" s="15">
        <f t="shared" si="3"/>
        <v>6.7571074792864838E-2</v>
      </c>
      <c r="M21" s="10" t="str">
        <f>IF(ABS(K21)&lt;Overview!$B$6,"OK",IF(E21=0,"REVIEW (zero base)",IF(ABS(K21/ABS(E21))&gt;=Overview!$B$5,"REVIEW","OK")))</f>
        <v>OK</v>
      </c>
    </row>
    <row r="22" spans="1:13" x14ac:dyDescent="0.2">
      <c r="A22" s="10" t="s">
        <v>94</v>
      </c>
      <c r="B22" s="10" t="s">
        <v>67</v>
      </c>
      <c r="C22" s="11">
        <f>SUMIFS(Data!$H$2:$H$1534,Data!$E$2:$E$1534,$A22,Data!$C$2:$C$1534,"EXPENSES")</f>
        <v>1918519</v>
      </c>
      <c r="D22" s="11">
        <f>SUMIFS(Data!$I$2:$I$1534,Data!$E$2:$E$1534,$A22,Data!$C$2:$C$1534,"EXPENSES")</f>
        <v>2222773</v>
      </c>
      <c r="E22" s="11">
        <f>SUMIFS(Data!$J$2:$J$1534,Data!$E$2:$E$1534,$A22,Data!$C$2:$C$1534,"EXPENSES")</f>
        <v>2418528</v>
      </c>
      <c r="F22" s="11">
        <f>SUMIFS(Data!$K$2:$K$1534,Data!$E$2:$E$1534,$A22,Data!$C$2:$C$1534,"EXPENSES")</f>
        <v>2721057</v>
      </c>
      <c r="G22" s="11">
        <f>SUMIFS(Data!$L$2:$L$1534,Data!$E$2:$E$1534,$A22,Data!$C$2:$C$1534,"EXPENSES")</f>
        <v>2766583</v>
      </c>
      <c r="H22" s="21">
        <f t="shared" si="0"/>
        <v>195755</v>
      </c>
      <c r="I22" s="15">
        <f t="shared" si="1"/>
        <v>8.8067922365441725E-2</v>
      </c>
      <c r="J22" s="10" t="str">
        <f>IF(ABS(H22)&lt;Overview!$B$6,"OK",IF(D22=0,"REVIEW (zero base)",IF(ABS(H22/ABS(D22))&gt;=Overview!$B$5,"REVIEW","OK")))</f>
        <v>OK</v>
      </c>
      <c r="K22" s="21">
        <f t="shared" si="2"/>
        <v>302529</v>
      </c>
      <c r="L22" s="15">
        <f t="shared" si="3"/>
        <v>0.12508807009883699</v>
      </c>
      <c r="M22" s="10" t="str">
        <f>IF(ABS(K22)&lt;Overview!$B$6,"OK",IF(E22=0,"REVIEW (zero base)",IF(ABS(K22/ABS(E22))&gt;=Overview!$B$5,"REVIEW","OK")))</f>
        <v>REVIEW</v>
      </c>
    </row>
    <row r="23" spans="1:13" x14ac:dyDescent="0.2">
      <c r="A23" s="10" t="s">
        <v>95</v>
      </c>
      <c r="B23" s="10" t="s">
        <v>69</v>
      </c>
      <c r="C23" s="11">
        <f>SUMIFS(Data!$H$2:$H$1534,Data!$E$2:$E$1534,$A23,Data!$C$2:$C$1534,"EXPENSES")</f>
        <v>2077609</v>
      </c>
      <c r="D23" s="11">
        <f>SUMIFS(Data!$I$2:$I$1534,Data!$E$2:$E$1534,$A23,Data!$C$2:$C$1534,"EXPENSES")</f>
        <v>2113728</v>
      </c>
      <c r="E23" s="11">
        <f>SUMIFS(Data!$J$2:$J$1534,Data!$E$2:$E$1534,$A23,Data!$C$2:$C$1534,"EXPENSES")</f>
        <v>2310793</v>
      </c>
      <c r="F23" s="11">
        <f>SUMIFS(Data!$K$2:$K$1534,Data!$E$2:$E$1534,$A23,Data!$C$2:$C$1534,"EXPENSES")</f>
        <v>2953971</v>
      </c>
      <c r="G23" s="11">
        <f>SUMIFS(Data!$L$2:$L$1534,Data!$E$2:$E$1534,$A23,Data!$C$2:$C$1534,"EXPENSES")</f>
        <v>3000968</v>
      </c>
      <c r="H23" s="21">
        <f t="shared" si="0"/>
        <v>197065</v>
      </c>
      <c r="I23" s="15">
        <f t="shared" si="1"/>
        <v>9.3231011747963791E-2</v>
      </c>
      <c r="J23" s="10" t="str">
        <f>IF(ABS(H23)&lt;Overview!$B$6,"OK",IF(D23=0,"REVIEW (zero base)",IF(ABS(H23/ABS(D23))&gt;=Overview!$B$5,"REVIEW","OK")))</f>
        <v>OK</v>
      </c>
      <c r="K23" s="21">
        <f t="shared" si="2"/>
        <v>643178</v>
      </c>
      <c r="L23" s="15">
        <f t="shared" si="3"/>
        <v>0.27833648448822546</v>
      </c>
      <c r="M23" s="10" t="str">
        <f>IF(ABS(K23)&lt;Overview!$B$6,"OK",IF(E23=0,"REVIEW (zero base)",IF(ABS(K23/ABS(E23))&gt;=Overview!$B$5,"REVIEW","OK")))</f>
        <v>REVIEW</v>
      </c>
    </row>
    <row r="24" spans="1:13" x14ac:dyDescent="0.2">
      <c r="A24" s="10" t="s">
        <v>96</v>
      </c>
      <c r="B24" s="10" t="s">
        <v>59</v>
      </c>
      <c r="C24" s="11">
        <f>SUMIFS(Data!$H$2:$H$1534,Data!$E$2:$E$1534,$A24,Data!$C$2:$C$1534,"EXPENSES")</f>
        <v>2153767</v>
      </c>
      <c r="D24" s="11">
        <f>SUMIFS(Data!$I$2:$I$1534,Data!$E$2:$E$1534,$A24,Data!$C$2:$C$1534,"EXPENSES")</f>
        <v>2142613</v>
      </c>
      <c r="E24" s="11">
        <f>SUMIFS(Data!$J$2:$J$1534,Data!$E$2:$E$1534,$A24,Data!$C$2:$C$1534,"EXPENSES")</f>
        <v>2193880</v>
      </c>
      <c r="F24" s="11">
        <f>SUMIFS(Data!$K$2:$K$1534,Data!$E$2:$E$1534,$A24,Data!$C$2:$C$1534,"EXPENSES")</f>
        <v>2320590</v>
      </c>
      <c r="G24" s="11">
        <f>SUMIFS(Data!$L$2:$L$1534,Data!$E$2:$E$1534,$A24,Data!$C$2:$C$1534,"EXPENSES")</f>
        <v>2352212</v>
      </c>
      <c r="H24" s="21">
        <f t="shared" si="0"/>
        <v>51267</v>
      </c>
      <c r="I24" s="15">
        <f t="shared" si="1"/>
        <v>2.3927326120022609E-2</v>
      </c>
      <c r="J24" s="10" t="str">
        <f>IF(ABS(H24)&lt;Overview!$B$6,"OK",IF(D24=0,"REVIEW (zero base)",IF(ABS(H24/ABS(D24))&gt;=Overview!$B$5,"REVIEW","OK")))</f>
        <v>OK</v>
      </c>
      <c r="K24" s="21">
        <f t="shared" si="2"/>
        <v>126710</v>
      </c>
      <c r="L24" s="15">
        <f t="shared" si="3"/>
        <v>5.7756121574561961E-2</v>
      </c>
      <c r="M24" s="10" t="str">
        <f>IF(ABS(K24)&lt;Overview!$B$6,"OK",IF(E24=0,"REVIEW (zero base)",IF(ABS(K24/ABS(E24))&gt;=Overview!$B$5,"REVIEW","OK")))</f>
        <v>OK</v>
      </c>
    </row>
    <row r="25" spans="1:13" x14ac:dyDescent="0.2">
      <c r="A25" s="10" t="s">
        <v>97</v>
      </c>
      <c r="B25" s="10" t="s">
        <v>56</v>
      </c>
      <c r="C25" s="11">
        <f>SUMIFS(Data!$H$2:$H$1534,Data!$E$2:$E$1534,$A25,Data!$C$2:$C$1534,"EXPENSES")</f>
        <v>1921825</v>
      </c>
      <c r="D25" s="11">
        <f>SUMIFS(Data!$I$2:$I$1534,Data!$E$2:$E$1534,$A25,Data!$C$2:$C$1534,"EXPENSES")</f>
        <v>816184</v>
      </c>
      <c r="E25" s="11">
        <f>SUMIFS(Data!$J$2:$J$1534,Data!$E$2:$E$1534,$A25,Data!$C$2:$C$1534,"EXPENSES")</f>
        <v>2178500</v>
      </c>
      <c r="F25" s="11">
        <f>SUMIFS(Data!$K$2:$K$1534,Data!$E$2:$E$1534,$A25,Data!$C$2:$C$1534,"EXPENSES")</f>
        <v>2178500</v>
      </c>
      <c r="G25" s="11">
        <f>SUMIFS(Data!$L$2:$L$1534,Data!$E$2:$E$1534,$A25,Data!$C$2:$C$1534,"EXPENSES")</f>
        <v>2178500</v>
      </c>
      <c r="H25" s="21">
        <f t="shared" si="0"/>
        <v>1362316</v>
      </c>
      <c r="I25" s="15">
        <f t="shared" si="1"/>
        <v>1.6691285298413103</v>
      </c>
      <c r="J25" s="10" t="str">
        <f>IF(ABS(H25)&lt;Overview!$B$6,"OK",IF(D25=0,"REVIEW (zero base)",IF(ABS(H25/ABS(D25))&gt;=Overview!$B$5,"REVIEW","OK")))</f>
        <v>REVIEW</v>
      </c>
      <c r="K25" s="21">
        <f t="shared" si="2"/>
        <v>0</v>
      </c>
      <c r="L25" s="15">
        <f t="shared" si="3"/>
        <v>0</v>
      </c>
      <c r="M25" s="10" t="str">
        <f>IF(ABS(K25)&lt;Overview!$B$6,"OK",IF(E25=0,"REVIEW (zero base)",IF(ABS(K25/ABS(E25))&gt;=Overview!$B$5,"REVIEW","OK")))</f>
        <v>OK</v>
      </c>
    </row>
    <row r="26" spans="1:13" x14ac:dyDescent="0.2">
      <c r="A26" s="10" t="s">
        <v>98</v>
      </c>
      <c r="B26" s="10" t="s">
        <v>54</v>
      </c>
      <c r="C26" s="11">
        <f>SUMIFS(Data!$H$2:$H$1534,Data!$E$2:$E$1534,$A26,Data!$C$2:$C$1534,"EXPENSES")</f>
        <v>2138680</v>
      </c>
      <c r="D26" s="11">
        <f>SUMIFS(Data!$I$2:$I$1534,Data!$E$2:$E$1534,$A26,Data!$C$2:$C$1534,"EXPENSES")</f>
        <v>2019509</v>
      </c>
      <c r="E26" s="11">
        <f>SUMIFS(Data!$J$2:$J$1534,Data!$E$2:$E$1534,$A26,Data!$C$2:$C$1534,"EXPENSES")</f>
        <v>2116564</v>
      </c>
      <c r="F26" s="11">
        <f>SUMIFS(Data!$K$2:$K$1534,Data!$E$2:$E$1534,$A26,Data!$C$2:$C$1534,"EXPENSES")</f>
        <v>2090096</v>
      </c>
      <c r="G26" s="11">
        <f>SUMIFS(Data!$L$2:$L$1534,Data!$E$2:$E$1534,$A26,Data!$C$2:$C$1534,"EXPENSES")</f>
        <v>2092021</v>
      </c>
      <c r="H26" s="21">
        <f t="shared" si="0"/>
        <v>97055</v>
      </c>
      <c r="I26" s="15">
        <f t="shared" si="1"/>
        <v>4.8058711300618118E-2</v>
      </c>
      <c r="J26" s="10" t="str">
        <f>IF(ABS(H26)&lt;Overview!$B$6,"OK",IF(D26=0,"REVIEW (zero base)",IF(ABS(H26/ABS(D26))&gt;=Overview!$B$5,"REVIEW","OK")))</f>
        <v>OK</v>
      </c>
      <c r="K26" s="21">
        <f t="shared" si="2"/>
        <v>-26468</v>
      </c>
      <c r="L26" s="15">
        <f t="shared" si="3"/>
        <v>-1.250517347928057E-2</v>
      </c>
      <c r="M26" s="10" t="str">
        <f>IF(ABS(K26)&lt;Overview!$B$6,"OK",IF(E26=0,"REVIEW (zero base)",IF(ABS(K26/ABS(E26))&gt;=Overview!$B$5,"REVIEW","OK")))</f>
        <v>OK</v>
      </c>
    </row>
    <row r="27" spans="1:13" x14ac:dyDescent="0.2">
      <c r="A27" s="10" t="s">
        <v>99</v>
      </c>
      <c r="B27" s="10" t="s">
        <v>55</v>
      </c>
      <c r="C27" s="11">
        <f>SUMIFS(Data!$H$2:$H$1534,Data!$E$2:$E$1534,$A27,Data!$C$2:$C$1534,"EXPENSES")</f>
        <v>1839399</v>
      </c>
      <c r="D27" s="11">
        <f>SUMIFS(Data!$I$2:$I$1534,Data!$E$2:$E$1534,$A27,Data!$C$2:$C$1534,"EXPENSES")</f>
        <v>1528924</v>
      </c>
      <c r="E27" s="11">
        <f>SUMIFS(Data!$J$2:$J$1534,Data!$E$2:$E$1534,$A27,Data!$C$2:$C$1534,"EXPENSES")</f>
        <v>1987293</v>
      </c>
      <c r="F27" s="11">
        <f>SUMIFS(Data!$K$2:$K$1534,Data!$E$2:$E$1534,$A27,Data!$C$2:$C$1534,"EXPENSES")</f>
        <v>2233291</v>
      </c>
      <c r="G27" s="11">
        <f>SUMIFS(Data!$L$2:$L$1534,Data!$E$2:$E$1534,$A27,Data!$C$2:$C$1534,"EXPENSES")</f>
        <v>2262856</v>
      </c>
      <c r="H27" s="21">
        <f t="shared" si="0"/>
        <v>458369</v>
      </c>
      <c r="I27" s="15">
        <f t="shared" si="1"/>
        <v>0.29979842032697507</v>
      </c>
      <c r="J27" s="10" t="str">
        <f>IF(ABS(H27)&lt;Overview!$B$6,"OK",IF(D27=0,"REVIEW (zero base)",IF(ABS(H27/ABS(D27))&gt;=Overview!$B$5,"REVIEW","OK")))</f>
        <v>REVIEW</v>
      </c>
      <c r="K27" s="21">
        <f t="shared" si="2"/>
        <v>245998</v>
      </c>
      <c r="L27" s="15">
        <f t="shared" si="3"/>
        <v>0.12378547098993455</v>
      </c>
      <c r="M27" s="10" t="str">
        <f>IF(ABS(K27)&lt;Overview!$B$6,"OK",IF(E27=0,"REVIEW (zero base)",IF(ABS(K27/ABS(E27))&gt;=Overview!$B$5,"REVIEW","OK")))</f>
        <v>OK</v>
      </c>
    </row>
    <row r="28" spans="1:13" x14ac:dyDescent="0.2">
      <c r="A28" s="10" t="s">
        <v>100</v>
      </c>
      <c r="B28" s="10" t="s">
        <v>71</v>
      </c>
      <c r="C28" s="11">
        <f>SUMIFS(Data!$H$2:$H$1534,Data!$E$2:$E$1534,$A28,Data!$C$2:$C$1534,"EXPENSES")</f>
        <v>1779434</v>
      </c>
      <c r="D28" s="11">
        <f>SUMIFS(Data!$I$2:$I$1534,Data!$E$2:$E$1534,$A28,Data!$C$2:$C$1534,"EXPENSES")</f>
        <v>1679079</v>
      </c>
      <c r="E28" s="11">
        <f>SUMIFS(Data!$J$2:$J$1534,Data!$E$2:$E$1534,$A28,Data!$C$2:$C$1534,"EXPENSES")</f>
        <v>1800817</v>
      </c>
      <c r="F28" s="11">
        <f>SUMIFS(Data!$K$2:$K$1534,Data!$E$2:$E$1534,$A28,Data!$C$2:$C$1534,"EXPENSES")</f>
        <v>1923935</v>
      </c>
      <c r="G28" s="11">
        <f>SUMIFS(Data!$L$2:$L$1534,Data!$E$2:$E$1534,$A28,Data!$C$2:$C$1534,"EXPENSES")</f>
        <v>1942413</v>
      </c>
      <c r="H28" s="21">
        <f t="shared" si="0"/>
        <v>121738</v>
      </c>
      <c r="I28" s="15">
        <f t="shared" si="1"/>
        <v>7.2502842332016537E-2</v>
      </c>
      <c r="J28" s="10" t="str">
        <f>IF(ABS(H28)&lt;Overview!$B$6,"OK",IF(D28=0,"REVIEW (zero base)",IF(ABS(H28/ABS(D28))&gt;=Overview!$B$5,"REVIEW","OK")))</f>
        <v>OK</v>
      </c>
      <c r="K28" s="21">
        <f t="shared" si="2"/>
        <v>123118</v>
      </c>
      <c r="L28" s="15">
        <f t="shared" si="3"/>
        <v>6.8367857478022473E-2</v>
      </c>
      <c r="M28" s="10" t="str">
        <f>IF(ABS(K28)&lt;Overview!$B$6,"OK",IF(E28=0,"REVIEW (zero base)",IF(ABS(K28/ABS(E28))&gt;=Overview!$B$5,"REVIEW","OK")))</f>
        <v>OK</v>
      </c>
    </row>
    <row r="29" spans="1:13" x14ac:dyDescent="0.2">
      <c r="A29" s="10" t="s">
        <v>101</v>
      </c>
      <c r="B29" s="10" t="s">
        <v>62</v>
      </c>
      <c r="C29" s="11">
        <f>SUMIFS(Data!$H$2:$H$1534,Data!$E$2:$E$1534,$A29,Data!$C$2:$C$1534,"EXPENSES")</f>
        <v>1745099</v>
      </c>
      <c r="D29" s="11">
        <f>SUMIFS(Data!$I$2:$I$1534,Data!$E$2:$E$1534,$A29,Data!$C$2:$C$1534,"EXPENSES")</f>
        <v>1607449</v>
      </c>
      <c r="E29" s="11">
        <f>SUMIFS(Data!$J$2:$J$1534,Data!$E$2:$E$1534,$A29,Data!$C$2:$C$1534,"EXPENSES")</f>
        <v>1799224</v>
      </c>
      <c r="F29" s="11">
        <f>SUMIFS(Data!$K$2:$K$1534,Data!$E$2:$E$1534,$A29,Data!$C$2:$C$1534,"EXPENSES")</f>
        <v>1854808</v>
      </c>
      <c r="G29" s="11">
        <f>SUMIFS(Data!$L$2:$L$1534,Data!$E$2:$E$1534,$A29,Data!$C$2:$C$1534,"EXPENSES")</f>
        <v>1881740</v>
      </c>
      <c r="H29" s="21">
        <f t="shared" si="0"/>
        <v>191775</v>
      </c>
      <c r="I29" s="15">
        <f t="shared" si="1"/>
        <v>0.11930394059158331</v>
      </c>
      <c r="J29" s="10" t="str">
        <f>IF(ABS(H29)&lt;Overview!$B$6,"OK",IF(D29=0,"REVIEW (zero base)",IF(ABS(H29/ABS(D29))&gt;=Overview!$B$5,"REVIEW","OK")))</f>
        <v>OK</v>
      </c>
      <c r="K29" s="21">
        <f t="shared" si="2"/>
        <v>55584</v>
      </c>
      <c r="L29" s="15">
        <f t="shared" si="3"/>
        <v>3.0893318452844116E-2</v>
      </c>
      <c r="M29" s="10" t="str">
        <f>IF(ABS(K29)&lt;Overview!$B$6,"OK",IF(E29=0,"REVIEW (zero base)",IF(ABS(K29/ABS(E29))&gt;=Overview!$B$5,"REVIEW","OK")))</f>
        <v>OK</v>
      </c>
    </row>
    <row r="30" spans="1:13" x14ac:dyDescent="0.2">
      <c r="A30" s="10" t="s">
        <v>102</v>
      </c>
      <c r="B30" s="10" t="s">
        <v>59</v>
      </c>
      <c r="C30" s="11">
        <f>SUMIFS(Data!$H$2:$H$1534,Data!$E$2:$E$1534,$A30,Data!$C$2:$C$1534,"EXPENSES")</f>
        <v>2773848</v>
      </c>
      <c r="D30" s="11">
        <f>SUMIFS(Data!$I$2:$I$1534,Data!$E$2:$E$1534,$A30,Data!$C$2:$C$1534,"EXPENSES")</f>
        <v>1826145</v>
      </c>
      <c r="E30" s="11">
        <f>SUMIFS(Data!$J$2:$J$1534,Data!$E$2:$E$1534,$A30,Data!$C$2:$C$1534,"EXPENSES")</f>
        <v>1705320</v>
      </c>
      <c r="F30" s="11">
        <f>SUMIFS(Data!$K$2:$K$1534,Data!$E$2:$E$1534,$A30,Data!$C$2:$C$1534,"EXPENSES")</f>
        <v>2459428</v>
      </c>
      <c r="G30" s="11">
        <f>SUMIFS(Data!$L$2:$L$1534,Data!$E$2:$E$1534,$A30,Data!$C$2:$C$1534,"EXPENSES")</f>
        <v>1967999</v>
      </c>
      <c r="H30" s="21">
        <f t="shared" si="0"/>
        <v>-120825</v>
      </c>
      <c r="I30" s="15">
        <f t="shared" si="1"/>
        <v>-6.6163968359577136E-2</v>
      </c>
      <c r="J30" s="10" t="str">
        <f>IF(ABS(H30)&lt;Overview!$B$6,"OK",IF(D30=0,"REVIEW (zero base)",IF(ABS(H30/ABS(D30))&gt;=Overview!$B$5,"REVIEW","OK")))</f>
        <v>OK</v>
      </c>
      <c r="K30" s="21">
        <f t="shared" si="2"/>
        <v>754108</v>
      </c>
      <c r="L30" s="15">
        <f t="shared" si="3"/>
        <v>0.44220908685759858</v>
      </c>
      <c r="M30" s="10" t="str">
        <f>IF(ABS(K30)&lt;Overview!$B$6,"OK",IF(E30=0,"REVIEW (zero base)",IF(ABS(K30/ABS(E30))&gt;=Overview!$B$5,"REVIEW","OK")))</f>
        <v>REVIEW</v>
      </c>
    </row>
    <row r="31" spans="1:13" x14ac:dyDescent="0.2">
      <c r="A31" s="10" t="s">
        <v>103</v>
      </c>
      <c r="B31" s="10" t="s">
        <v>62</v>
      </c>
      <c r="C31" s="11">
        <f>SUMIFS(Data!$H$2:$H$1534,Data!$E$2:$E$1534,$A31,Data!$C$2:$C$1534,"EXPENSES")</f>
        <v>1331891</v>
      </c>
      <c r="D31" s="11">
        <f>SUMIFS(Data!$I$2:$I$1534,Data!$E$2:$E$1534,$A31,Data!$C$2:$C$1534,"EXPENSES")</f>
        <v>1506646</v>
      </c>
      <c r="E31" s="11">
        <f>SUMIFS(Data!$J$2:$J$1534,Data!$E$2:$E$1534,$A31,Data!$C$2:$C$1534,"EXPENSES")</f>
        <v>1683447</v>
      </c>
      <c r="F31" s="11">
        <f>SUMIFS(Data!$K$2:$K$1534,Data!$E$2:$E$1534,$A31,Data!$C$2:$C$1534,"EXPENSES")</f>
        <v>1827783</v>
      </c>
      <c r="G31" s="11">
        <f>SUMIFS(Data!$L$2:$L$1534,Data!$E$2:$E$1534,$A31,Data!$C$2:$C$1534,"EXPENSES")</f>
        <v>1861258</v>
      </c>
      <c r="H31" s="21">
        <f t="shared" si="0"/>
        <v>176801</v>
      </c>
      <c r="I31" s="15">
        <f t="shared" si="1"/>
        <v>0.11734740609273844</v>
      </c>
      <c r="J31" s="10" t="str">
        <f>IF(ABS(H31)&lt;Overview!$B$6,"OK",IF(D31=0,"REVIEW (zero base)",IF(ABS(H31/ABS(D31))&gt;=Overview!$B$5,"REVIEW","OK")))</f>
        <v>OK</v>
      </c>
      <c r="K31" s="21">
        <f t="shared" si="2"/>
        <v>144336</v>
      </c>
      <c r="L31" s="15">
        <f t="shared" si="3"/>
        <v>8.573836895370035E-2</v>
      </c>
      <c r="M31" s="10" t="str">
        <f>IF(ABS(K31)&lt;Overview!$B$6,"OK",IF(E31=0,"REVIEW (zero base)",IF(ABS(K31/ABS(E31))&gt;=Overview!$B$5,"REVIEW","OK")))</f>
        <v>OK</v>
      </c>
    </row>
    <row r="32" spans="1:13" x14ac:dyDescent="0.2">
      <c r="A32" s="10" t="s">
        <v>104</v>
      </c>
      <c r="B32" s="10" t="s">
        <v>63</v>
      </c>
      <c r="C32" s="11">
        <f>SUMIFS(Data!$H$2:$H$1534,Data!$E$2:$E$1534,$A32,Data!$C$2:$C$1534,"EXPENSES")</f>
        <v>1502393</v>
      </c>
      <c r="D32" s="11">
        <f>SUMIFS(Data!$I$2:$I$1534,Data!$E$2:$E$1534,$A32,Data!$C$2:$C$1534,"EXPENSES")</f>
        <v>1529920</v>
      </c>
      <c r="E32" s="11">
        <f>SUMIFS(Data!$J$2:$J$1534,Data!$E$2:$E$1534,$A32,Data!$C$2:$C$1534,"EXPENSES")</f>
        <v>1544956</v>
      </c>
      <c r="F32" s="11">
        <f>SUMIFS(Data!$K$2:$K$1534,Data!$E$2:$E$1534,$A32,Data!$C$2:$C$1534,"EXPENSES")</f>
        <v>1691133</v>
      </c>
      <c r="G32" s="11">
        <f>SUMIFS(Data!$L$2:$L$1534,Data!$E$2:$E$1534,$A32,Data!$C$2:$C$1534,"EXPENSES")</f>
        <v>1703848</v>
      </c>
      <c r="H32" s="21">
        <f t="shared" si="0"/>
        <v>15036</v>
      </c>
      <c r="I32" s="15">
        <f t="shared" si="1"/>
        <v>9.8279648609077598E-3</v>
      </c>
      <c r="J32" s="10" t="str">
        <f>IF(ABS(H32)&lt;Overview!$B$6,"OK",IF(D32=0,"REVIEW (zero base)",IF(ABS(H32/ABS(D32))&gt;=Overview!$B$5,"REVIEW","OK")))</f>
        <v>OK</v>
      </c>
      <c r="K32" s="21">
        <f t="shared" si="2"/>
        <v>146177</v>
      </c>
      <c r="L32" s="15">
        <f t="shared" si="3"/>
        <v>9.4615639539249008E-2</v>
      </c>
      <c r="M32" s="10" t="str">
        <f>IF(ABS(K32)&lt;Overview!$B$6,"OK",IF(E32=0,"REVIEW (zero base)",IF(ABS(K32/ABS(E32))&gt;=Overview!$B$5,"REVIEW","OK")))</f>
        <v>OK</v>
      </c>
    </row>
    <row r="33" spans="1:13" x14ac:dyDescent="0.2">
      <c r="A33" s="10" t="s">
        <v>105</v>
      </c>
      <c r="B33" s="10" t="s">
        <v>57</v>
      </c>
      <c r="C33" s="11">
        <f>SUMIFS(Data!$H$2:$H$1534,Data!$E$2:$E$1534,$A33,Data!$C$2:$C$1534,"EXPENSES")</f>
        <v>1335006</v>
      </c>
      <c r="D33" s="11">
        <f>SUMIFS(Data!$I$2:$I$1534,Data!$E$2:$E$1534,$A33,Data!$C$2:$C$1534,"EXPENSES")</f>
        <v>1564324</v>
      </c>
      <c r="E33" s="11">
        <f>SUMIFS(Data!$J$2:$J$1534,Data!$E$2:$E$1534,$A33,Data!$C$2:$C$1534,"EXPENSES")</f>
        <v>1539524</v>
      </c>
      <c r="F33" s="11">
        <f>SUMIFS(Data!$K$2:$K$1534,Data!$E$2:$E$1534,$A33,Data!$C$2:$C$1534,"EXPENSES")</f>
        <v>1710695</v>
      </c>
      <c r="G33" s="11">
        <f>SUMIFS(Data!$L$2:$L$1534,Data!$E$2:$E$1534,$A33,Data!$C$2:$C$1534,"EXPENSES")</f>
        <v>1741186</v>
      </c>
      <c r="H33" s="21">
        <f t="shared" si="0"/>
        <v>-24800</v>
      </c>
      <c r="I33" s="15">
        <f t="shared" si="1"/>
        <v>-1.5853493266100884E-2</v>
      </c>
      <c r="J33" s="10" t="str">
        <f>IF(ABS(H33)&lt;Overview!$B$6,"OK",IF(D33=0,"REVIEW (zero base)",IF(ABS(H33/ABS(D33))&gt;=Overview!$B$5,"REVIEW","OK")))</f>
        <v>OK</v>
      </c>
      <c r="K33" s="21">
        <f t="shared" si="2"/>
        <v>171171</v>
      </c>
      <c r="L33" s="15">
        <f t="shared" si="3"/>
        <v>0.11118436607678737</v>
      </c>
      <c r="M33" s="10" t="str">
        <f>IF(ABS(K33)&lt;Overview!$B$6,"OK",IF(E33=0,"REVIEW (zero base)",IF(ABS(K33/ABS(E33))&gt;=Overview!$B$5,"REVIEW","OK")))</f>
        <v>OK</v>
      </c>
    </row>
    <row r="34" spans="1:13" x14ac:dyDescent="0.2">
      <c r="A34" s="10" t="s">
        <v>106</v>
      </c>
      <c r="B34" s="10" t="s">
        <v>63</v>
      </c>
      <c r="C34" s="11">
        <f>SUMIFS(Data!$H$2:$H$1534,Data!$E$2:$E$1534,$A34,Data!$C$2:$C$1534,"EXPENSES")</f>
        <v>507426</v>
      </c>
      <c r="D34" s="11">
        <f>SUMIFS(Data!$I$2:$I$1534,Data!$E$2:$E$1534,$A34,Data!$C$2:$C$1534,"EXPENSES")</f>
        <v>508508</v>
      </c>
      <c r="E34" s="11">
        <f>SUMIFS(Data!$J$2:$J$1534,Data!$E$2:$E$1534,$A34,Data!$C$2:$C$1534,"EXPENSES")</f>
        <v>1513468</v>
      </c>
      <c r="F34" s="11">
        <f>SUMIFS(Data!$K$2:$K$1534,Data!$E$2:$E$1534,$A34,Data!$C$2:$C$1534,"EXPENSES")</f>
        <v>2163782</v>
      </c>
      <c r="G34" s="11">
        <f>SUMIFS(Data!$L$2:$L$1534,Data!$E$2:$E$1534,$A34,Data!$C$2:$C$1534,"EXPENSES")</f>
        <v>2183029</v>
      </c>
      <c r="H34" s="21">
        <f t="shared" si="0"/>
        <v>1004960</v>
      </c>
      <c r="I34" s="15">
        <f t="shared" si="1"/>
        <v>1.9762914251103227</v>
      </c>
      <c r="J34" s="10" t="str">
        <f>IF(ABS(H34)&lt;Overview!$B$6,"OK",IF(D34=0,"REVIEW (zero base)",IF(ABS(H34/ABS(D34))&gt;=Overview!$B$5,"REVIEW","OK")))</f>
        <v>REVIEW</v>
      </c>
      <c r="K34" s="21">
        <f t="shared" si="2"/>
        <v>650314</v>
      </c>
      <c r="L34" s="15">
        <f t="shared" si="3"/>
        <v>0.42968467123189918</v>
      </c>
      <c r="M34" s="10" t="str">
        <f>IF(ABS(K34)&lt;Overview!$B$6,"OK",IF(E34=0,"REVIEW (zero base)",IF(ABS(K34/ABS(E34))&gt;=Overview!$B$5,"REVIEW","OK")))</f>
        <v>REVIEW</v>
      </c>
    </row>
    <row r="35" spans="1:13" x14ac:dyDescent="0.2">
      <c r="A35" s="10" t="s">
        <v>107</v>
      </c>
      <c r="B35" s="10" t="s">
        <v>61</v>
      </c>
      <c r="C35" s="11">
        <f>SUMIFS(Data!$H$2:$H$1534,Data!$E$2:$E$1534,$A35,Data!$C$2:$C$1534,"EXPENSES")</f>
        <v>1205044</v>
      </c>
      <c r="D35" s="11">
        <f>SUMIFS(Data!$I$2:$I$1534,Data!$E$2:$E$1534,$A35,Data!$C$2:$C$1534,"EXPENSES")</f>
        <v>1124343</v>
      </c>
      <c r="E35" s="11">
        <f>SUMIFS(Data!$J$2:$J$1534,Data!$E$2:$E$1534,$A35,Data!$C$2:$C$1534,"EXPENSES")</f>
        <v>1506364</v>
      </c>
      <c r="F35" s="11">
        <f>SUMIFS(Data!$K$2:$K$1534,Data!$E$2:$E$1534,$A35,Data!$C$2:$C$1534,"EXPENSES")</f>
        <v>1481017</v>
      </c>
      <c r="G35" s="11">
        <f>SUMIFS(Data!$L$2:$L$1534,Data!$E$2:$E$1534,$A35,Data!$C$2:$C$1534,"EXPENSES")</f>
        <v>1497157</v>
      </c>
      <c r="H35" s="21">
        <f t="shared" si="0"/>
        <v>382021</v>
      </c>
      <c r="I35" s="15">
        <f t="shared" si="1"/>
        <v>0.33977264944950075</v>
      </c>
      <c r="J35" s="10" t="str">
        <f>IF(ABS(H35)&lt;Overview!$B$6,"OK",IF(D35=0,"REVIEW (zero base)",IF(ABS(H35/ABS(D35))&gt;=Overview!$B$5,"REVIEW","OK")))</f>
        <v>REVIEW</v>
      </c>
      <c r="K35" s="21">
        <f t="shared" si="2"/>
        <v>-25347</v>
      </c>
      <c r="L35" s="15">
        <f t="shared" si="3"/>
        <v>-1.6826610301361424E-2</v>
      </c>
      <c r="M35" s="10" t="str">
        <f>IF(ABS(K35)&lt;Overview!$B$6,"OK",IF(E35=0,"REVIEW (zero base)",IF(ABS(K35/ABS(E35))&gt;=Overview!$B$5,"REVIEW","OK")))</f>
        <v>OK</v>
      </c>
    </row>
    <row r="36" spans="1:13" x14ac:dyDescent="0.2">
      <c r="A36" s="10" t="s">
        <v>108</v>
      </c>
      <c r="B36" s="10" t="s">
        <v>57</v>
      </c>
      <c r="C36" s="11">
        <f>SUMIFS(Data!$H$2:$H$1534,Data!$E$2:$E$1534,$A36,Data!$C$2:$C$1534,"EXPENSES")</f>
        <v>1305631</v>
      </c>
      <c r="D36" s="11">
        <f>SUMIFS(Data!$I$2:$I$1534,Data!$E$2:$E$1534,$A36,Data!$C$2:$C$1534,"EXPENSES")</f>
        <v>1232555</v>
      </c>
      <c r="E36" s="11">
        <f>SUMIFS(Data!$J$2:$J$1534,Data!$E$2:$E$1534,$A36,Data!$C$2:$C$1534,"EXPENSES")</f>
        <v>1419842</v>
      </c>
      <c r="F36" s="11">
        <f>SUMIFS(Data!$K$2:$K$1534,Data!$E$2:$E$1534,$A36,Data!$C$2:$C$1534,"EXPENSES")</f>
        <v>893469</v>
      </c>
      <c r="G36" s="11">
        <f>SUMIFS(Data!$L$2:$L$1534,Data!$E$2:$E$1534,$A36,Data!$C$2:$C$1534,"EXPENSES")</f>
        <v>914744</v>
      </c>
      <c r="H36" s="21">
        <f t="shared" si="0"/>
        <v>187287</v>
      </c>
      <c r="I36" s="15">
        <f t="shared" si="1"/>
        <v>0.15195021723168539</v>
      </c>
      <c r="J36" s="10" t="str">
        <f>IF(ABS(H36)&lt;Overview!$B$6,"OK",IF(D36=0,"REVIEW (zero base)",IF(ABS(H36/ABS(D36))&gt;=Overview!$B$5,"REVIEW","OK")))</f>
        <v>OK</v>
      </c>
      <c r="K36" s="21">
        <f t="shared" si="2"/>
        <v>-526373</v>
      </c>
      <c r="L36" s="15">
        <f t="shared" si="3"/>
        <v>-0.37072646111327878</v>
      </c>
      <c r="M36" s="10" t="str">
        <f>IF(ABS(K36)&lt;Overview!$B$6,"OK",IF(E36=0,"REVIEW (zero base)",IF(ABS(K36/ABS(E36))&gt;=Overview!$B$5,"REVIEW","OK")))</f>
        <v>REVIEW</v>
      </c>
    </row>
    <row r="37" spans="1:13" x14ac:dyDescent="0.2">
      <c r="A37" s="10" t="s">
        <v>109</v>
      </c>
      <c r="B37" s="10" t="s">
        <v>59</v>
      </c>
      <c r="C37" s="11">
        <f>SUMIFS(Data!$H$2:$H$1534,Data!$E$2:$E$1534,$A37,Data!$C$2:$C$1534,"EXPENSES")</f>
        <v>1302406</v>
      </c>
      <c r="D37" s="11">
        <f>SUMIFS(Data!$I$2:$I$1534,Data!$E$2:$E$1534,$A37,Data!$C$2:$C$1534,"EXPENSES")</f>
        <v>1362575</v>
      </c>
      <c r="E37" s="11">
        <f>SUMIFS(Data!$J$2:$J$1534,Data!$E$2:$E$1534,$A37,Data!$C$2:$C$1534,"EXPENSES")</f>
        <v>1414753</v>
      </c>
      <c r="F37" s="11">
        <f>SUMIFS(Data!$K$2:$K$1534,Data!$E$2:$E$1534,$A37,Data!$C$2:$C$1534,"EXPENSES")</f>
        <v>1547456</v>
      </c>
      <c r="G37" s="11">
        <f>SUMIFS(Data!$L$2:$L$1534,Data!$E$2:$E$1534,$A37,Data!$C$2:$C$1534,"EXPENSES")</f>
        <v>1575819</v>
      </c>
      <c r="H37" s="21">
        <f t="shared" ref="H37:H68" si="4">E37-D37</f>
        <v>52178</v>
      </c>
      <c r="I37" s="15">
        <f t="shared" ref="I37:I68" si="5">IF(D37=0,"n/a",H37/ABS(D37))</f>
        <v>3.8293671907968369E-2</v>
      </c>
      <c r="J37" s="10" t="str">
        <f>IF(ABS(H37)&lt;Overview!$B$6,"OK",IF(D37=0,"REVIEW (zero base)",IF(ABS(H37/ABS(D37))&gt;=Overview!$B$5,"REVIEW","OK")))</f>
        <v>OK</v>
      </c>
      <c r="K37" s="21">
        <f t="shared" ref="K37:K68" si="6">F37-E37</f>
        <v>132703</v>
      </c>
      <c r="L37" s="15">
        <f t="shared" ref="L37:L68" si="7">IF(E37=0,"n/a",K37/ABS(E37))</f>
        <v>9.379941233558084E-2</v>
      </c>
      <c r="M37" s="10" t="str">
        <f>IF(ABS(K37)&lt;Overview!$B$6,"OK",IF(E37=0,"REVIEW (zero base)",IF(ABS(K37/ABS(E37))&gt;=Overview!$B$5,"REVIEW","OK")))</f>
        <v>OK</v>
      </c>
    </row>
    <row r="38" spans="1:13" x14ac:dyDescent="0.2">
      <c r="A38" s="10" t="s">
        <v>110</v>
      </c>
      <c r="B38" s="10" t="s">
        <v>68</v>
      </c>
      <c r="C38" s="11">
        <f>SUMIFS(Data!$H$2:$H$1534,Data!$E$2:$E$1534,$A38,Data!$C$2:$C$1534,"EXPENSES")</f>
        <v>1299233</v>
      </c>
      <c r="D38" s="11">
        <f>SUMIFS(Data!$I$2:$I$1534,Data!$E$2:$E$1534,$A38,Data!$C$2:$C$1534,"EXPENSES")</f>
        <v>1351748</v>
      </c>
      <c r="E38" s="11">
        <f>SUMIFS(Data!$J$2:$J$1534,Data!$E$2:$E$1534,$A38,Data!$C$2:$C$1534,"EXPENSES")</f>
        <v>1408196</v>
      </c>
      <c r="F38" s="11">
        <f>SUMIFS(Data!$K$2:$K$1534,Data!$E$2:$E$1534,$A38,Data!$C$2:$C$1534,"EXPENSES")</f>
        <v>1417732</v>
      </c>
      <c r="G38" s="11">
        <f>SUMIFS(Data!$L$2:$L$1534,Data!$E$2:$E$1534,$A38,Data!$C$2:$C$1534,"EXPENSES")</f>
        <v>1443275</v>
      </c>
      <c r="H38" s="21">
        <f t="shared" si="4"/>
        <v>56448</v>
      </c>
      <c r="I38" s="15">
        <f t="shared" si="5"/>
        <v>4.1759262821176729E-2</v>
      </c>
      <c r="J38" s="10" t="str">
        <f>IF(ABS(H38)&lt;Overview!$B$6,"OK",IF(D38=0,"REVIEW (zero base)",IF(ABS(H38/ABS(D38))&gt;=Overview!$B$5,"REVIEW","OK")))</f>
        <v>OK</v>
      </c>
      <c r="K38" s="21">
        <f t="shared" si="6"/>
        <v>9536</v>
      </c>
      <c r="L38" s="15">
        <f t="shared" si="7"/>
        <v>6.7717846095287871E-3</v>
      </c>
      <c r="M38" s="10" t="str">
        <f>IF(ABS(K38)&lt;Overview!$B$6,"OK",IF(E38=0,"REVIEW (zero base)",IF(ABS(K38/ABS(E38))&gt;=Overview!$B$5,"REVIEW","OK")))</f>
        <v>OK</v>
      </c>
    </row>
    <row r="39" spans="1:13" x14ac:dyDescent="0.2">
      <c r="A39" s="10" t="s">
        <v>111</v>
      </c>
      <c r="B39" s="10" t="s">
        <v>61</v>
      </c>
      <c r="C39" s="11">
        <f>SUMIFS(Data!$H$2:$H$1534,Data!$E$2:$E$1534,$A39,Data!$C$2:$C$1534,"EXPENSES")</f>
        <v>944228</v>
      </c>
      <c r="D39" s="11">
        <f>SUMIFS(Data!$I$2:$I$1534,Data!$E$2:$E$1534,$A39,Data!$C$2:$C$1534,"EXPENSES")</f>
        <v>1204203</v>
      </c>
      <c r="E39" s="11">
        <f>SUMIFS(Data!$J$2:$J$1534,Data!$E$2:$E$1534,$A39,Data!$C$2:$C$1534,"EXPENSES")</f>
        <v>1383578</v>
      </c>
      <c r="F39" s="11">
        <f>SUMIFS(Data!$K$2:$K$1534,Data!$E$2:$E$1534,$A39,Data!$C$2:$C$1534,"EXPENSES")</f>
        <v>1776857</v>
      </c>
      <c r="G39" s="11">
        <f>SUMIFS(Data!$L$2:$L$1534,Data!$E$2:$E$1534,$A39,Data!$C$2:$C$1534,"EXPENSES")</f>
        <v>1804940</v>
      </c>
      <c r="H39" s="21">
        <f t="shared" si="4"/>
        <v>179375</v>
      </c>
      <c r="I39" s="15">
        <f t="shared" si="5"/>
        <v>0.14895744322178237</v>
      </c>
      <c r="J39" s="10" t="str">
        <f>IF(ABS(H39)&lt;Overview!$B$6,"OK",IF(D39=0,"REVIEW (zero base)",IF(ABS(H39/ABS(D39))&gt;=Overview!$B$5,"REVIEW","OK")))</f>
        <v>OK</v>
      </c>
      <c r="K39" s="21">
        <f t="shared" si="6"/>
        <v>393279</v>
      </c>
      <c r="L39" s="15">
        <f t="shared" si="7"/>
        <v>0.28424779810028783</v>
      </c>
      <c r="M39" s="10" t="str">
        <f>IF(ABS(K39)&lt;Overview!$B$6,"OK",IF(E39=0,"REVIEW (zero base)",IF(ABS(K39/ABS(E39))&gt;=Overview!$B$5,"REVIEW","OK")))</f>
        <v>REVIEW</v>
      </c>
    </row>
    <row r="40" spans="1:13" x14ac:dyDescent="0.2">
      <c r="A40" s="10" t="s">
        <v>112</v>
      </c>
      <c r="B40" s="10" t="s">
        <v>56</v>
      </c>
      <c r="C40" s="11">
        <f>SUMIFS(Data!$H$2:$H$1534,Data!$E$2:$E$1534,$A40,Data!$C$2:$C$1534,"EXPENSES")</f>
        <v>1431390</v>
      </c>
      <c r="D40" s="11">
        <f>SUMIFS(Data!$I$2:$I$1534,Data!$E$2:$E$1534,$A40,Data!$C$2:$C$1534,"EXPENSES")</f>
        <v>1625038</v>
      </c>
      <c r="E40" s="11">
        <f>SUMIFS(Data!$J$2:$J$1534,Data!$E$2:$E$1534,$A40,Data!$C$2:$C$1534,"EXPENSES")</f>
        <v>1309549</v>
      </c>
      <c r="F40" s="11">
        <f>SUMIFS(Data!$K$2:$K$1534,Data!$E$2:$E$1534,$A40,Data!$C$2:$C$1534,"EXPENSES")</f>
        <v>1481752</v>
      </c>
      <c r="G40" s="11">
        <f>SUMIFS(Data!$L$2:$L$1534,Data!$E$2:$E$1534,$A40,Data!$C$2:$C$1534,"EXPENSES")</f>
        <v>1504382</v>
      </c>
      <c r="H40" s="21">
        <f t="shared" si="4"/>
        <v>-315489</v>
      </c>
      <c r="I40" s="15">
        <f t="shared" si="5"/>
        <v>-0.19414253697451997</v>
      </c>
      <c r="J40" s="10" t="str">
        <f>IF(ABS(H40)&lt;Overview!$B$6,"OK",IF(D40=0,"REVIEW (zero base)",IF(ABS(H40/ABS(D40))&gt;=Overview!$B$5,"REVIEW","OK")))</f>
        <v>REVIEW</v>
      </c>
      <c r="K40" s="21">
        <f t="shared" si="6"/>
        <v>172203</v>
      </c>
      <c r="L40" s="15">
        <f t="shared" si="7"/>
        <v>0.1314979431850202</v>
      </c>
      <c r="M40" s="10" t="str">
        <f>IF(ABS(K40)&lt;Overview!$B$6,"OK",IF(E40=0,"REVIEW (zero base)",IF(ABS(K40/ABS(E40))&gt;=Overview!$B$5,"REVIEW","OK")))</f>
        <v>OK</v>
      </c>
    </row>
    <row r="41" spans="1:13" x14ac:dyDescent="0.2">
      <c r="A41" s="10" t="s">
        <v>113</v>
      </c>
      <c r="B41" s="10" t="s">
        <v>57</v>
      </c>
      <c r="C41" s="11">
        <f>SUMIFS(Data!$H$2:$H$1534,Data!$E$2:$E$1534,$A41,Data!$C$2:$C$1534,"EXPENSES")</f>
        <v>1162711</v>
      </c>
      <c r="D41" s="11">
        <f>SUMIFS(Data!$I$2:$I$1534,Data!$E$2:$E$1534,$A41,Data!$C$2:$C$1534,"EXPENSES")</f>
        <v>1201626</v>
      </c>
      <c r="E41" s="11">
        <f>SUMIFS(Data!$J$2:$J$1534,Data!$E$2:$E$1534,$A41,Data!$C$2:$C$1534,"EXPENSES")</f>
        <v>1154487</v>
      </c>
      <c r="F41" s="11">
        <f>SUMIFS(Data!$K$2:$K$1534,Data!$E$2:$E$1534,$A41,Data!$C$2:$C$1534,"EXPENSES")</f>
        <v>1344751</v>
      </c>
      <c r="G41" s="11">
        <f>SUMIFS(Data!$L$2:$L$1534,Data!$E$2:$E$1534,$A41,Data!$C$2:$C$1534,"EXPENSES")</f>
        <v>1367461</v>
      </c>
      <c r="H41" s="21">
        <f t="shared" si="4"/>
        <v>-47139</v>
      </c>
      <c r="I41" s="15">
        <f t="shared" si="5"/>
        <v>-3.9229344238556757E-2</v>
      </c>
      <c r="J41" s="10" t="str">
        <f>IF(ABS(H41)&lt;Overview!$B$6,"OK",IF(D41=0,"REVIEW (zero base)",IF(ABS(H41/ABS(D41))&gt;=Overview!$B$5,"REVIEW","OK")))</f>
        <v>OK</v>
      </c>
      <c r="K41" s="21">
        <f t="shared" si="6"/>
        <v>190264</v>
      </c>
      <c r="L41" s="15">
        <f t="shared" si="7"/>
        <v>0.16480393456141126</v>
      </c>
      <c r="M41" s="10" t="str">
        <f>IF(ABS(K41)&lt;Overview!$B$6,"OK",IF(E41=0,"REVIEW (zero base)",IF(ABS(K41/ABS(E41))&gt;=Overview!$B$5,"REVIEW","OK")))</f>
        <v>OK</v>
      </c>
    </row>
    <row r="42" spans="1:13" x14ac:dyDescent="0.2">
      <c r="A42" s="10" t="s">
        <v>114</v>
      </c>
      <c r="B42" s="10" t="s">
        <v>59</v>
      </c>
      <c r="C42" s="11">
        <f>SUMIFS(Data!$H$2:$H$1534,Data!$E$2:$E$1534,$A42,Data!$C$2:$C$1534,"EXPENSES")</f>
        <v>850761</v>
      </c>
      <c r="D42" s="11">
        <f>SUMIFS(Data!$I$2:$I$1534,Data!$E$2:$E$1534,$A42,Data!$C$2:$C$1534,"EXPENSES")</f>
        <v>1144592</v>
      </c>
      <c r="E42" s="11">
        <f>SUMIFS(Data!$J$2:$J$1534,Data!$E$2:$E$1534,$A42,Data!$C$2:$C$1534,"EXPENSES")</f>
        <v>1077778</v>
      </c>
      <c r="F42" s="11">
        <f>SUMIFS(Data!$K$2:$K$1534,Data!$E$2:$E$1534,$A42,Data!$C$2:$C$1534,"EXPENSES")</f>
        <v>1197615</v>
      </c>
      <c r="G42" s="11">
        <f>SUMIFS(Data!$L$2:$L$1534,Data!$E$2:$E$1534,$A42,Data!$C$2:$C$1534,"EXPENSES")</f>
        <v>1218568</v>
      </c>
      <c r="H42" s="21">
        <f t="shared" si="4"/>
        <v>-66814</v>
      </c>
      <c r="I42" s="15">
        <f t="shared" si="5"/>
        <v>-5.8373638816276892E-2</v>
      </c>
      <c r="J42" s="10" t="str">
        <f>IF(ABS(H42)&lt;Overview!$B$6,"OK",IF(D42=0,"REVIEW (zero base)",IF(ABS(H42/ABS(D42))&gt;=Overview!$B$5,"REVIEW","OK")))</f>
        <v>OK</v>
      </c>
      <c r="K42" s="21">
        <f t="shared" si="6"/>
        <v>119837</v>
      </c>
      <c r="L42" s="15">
        <f t="shared" si="7"/>
        <v>0.11118894614660904</v>
      </c>
      <c r="M42" s="10" t="str">
        <f>IF(ABS(K42)&lt;Overview!$B$6,"OK",IF(E42=0,"REVIEW (zero base)",IF(ABS(K42/ABS(E42))&gt;=Overview!$B$5,"REVIEW","OK")))</f>
        <v>OK</v>
      </c>
    </row>
    <row r="43" spans="1:13" x14ac:dyDescent="0.2">
      <c r="A43" s="10" t="s">
        <v>115</v>
      </c>
      <c r="B43" s="10" t="s">
        <v>56</v>
      </c>
      <c r="C43" s="11">
        <f>SUMIFS(Data!$H$2:$H$1534,Data!$E$2:$E$1534,$A43,Data!$C$2:$C$1534,"EXPENSES")</f>
        <v>1061103</v>
      </c>
      <c r="D43" s="11">
        <f>SUMIFS(Data!$I$2:$I$1534,Data!$E$2:$E$1534,$A43,Data!$C$2:$C$1534,"EXPENSES")</f>
        <v>1007922</v>
      </c>
      <c r="E43" s="11">
        <f>SUMIFS(Data!$J$2:$J$1534,Data!$E$2:$E$1534,$A43,Data!$C$2:$C$1534,"EXPENSES")</f>
        <v>1066853</v>
      </c>
      <c r="F43" s="11">
        <f>SUMIFS(Data!$K$2:$K$1534,Data!$E$2:$E$1534,$A43,Data!$C$2:$C$1534,"EXPENSES")</f>
        <v>1166890</v>
      </c>
      <c r="G43" s="11">
        <f>SUMIFS(Data!$L$2:$L$1534,Data!$E$2:$E$1534,$A43,Data!$C$2:$C$1534,"EXPENSES")</f>
        <v>1188033</v>
      </c>
      <c r="H43" s="21">
        <f t="shared" si="4"/>
        <v>58931</v>
      </c>
      <c r="I43" s="15">
        <f t="shared" si="5"/>
        <v>5.8467817946229968E-2</v>
      </c>
      <c r="J43" s="10" t="str">
        <f>IF(ABS(H43)&lt;Overview!$B$6,"OK",IF(D43=0,"REVIEW (zero base)",IF(ABS(H43/ABS(D43))&gt;=Overview!$B$5,"REVIEW","OK")))</f>
        <v>OK</v>
      </c>
      <c r="K43" s="21">
        <f t="shared" si="6"/>
        <v>100037</v>
      </c>
      <c r="L43" s="15">
        <f t="shared" si="7"/>
        <v>9.3768307348810004E-2</v>
      </c>
      <c r="M43" s="10" t="str">
        <f>IF(ABS(K43)&lt;Overview!$B$6,"OK",IF(E43=0,"REVIEW (zero base)",IF(ABS(K43/ABS(E43))&gt;=Overview!$B$5,"REVIEW","OK")))</f>
        <v>OK</v>
      </c>
    </row>
    <row r="44" spans="1:13" x14ac:dyDescent="0.2">
      <c r="A44" s="10" t="s">
        <v>116</v>
      </c>
      <c r="B44" s="10" t="s">
        <v>70</v>
      </c>
      <c r="C44" s="11">
        <f>SUMIFS(Data!$H$2:$H$1534,Data!$E$2:$E$1534,$A44,Data!$C$2:$C$1534,"EXPENSES")</f>
        <v>1018594</v>
      </c>
      <c r="D44" s="11">
        <f>SUMIFS(Data!$I$2:$I$1534,Data!$E$2:$E$1534,$A44,Data!$C$2:$C$1534,"EXPENSES")</f>
        <v>632156</v>
      </c>
      <c r="E44" s="11">
        <f>SUMIFS(Data!$J$2:$J$1534,Data!$E$2:$E$1534,$A44,Data!$C$2:$C$1534,"EXPENSES")</f>
        <v>1053561</v>
      </c>
      <c r="F44" s="11">
        <f>SUMIFS(Data!$K$2:$K$1534,Data!$E$2:$E$1534,$A44,Data!$C$2:$C$1534,"EXPENSES")</f>
        <v>726474</v>
      </c>
      <c r="G44" s="11">
        <f>SUMIFS(Data!$L$2:$L$1534,Data!$E$2:$E$1534,$A44,Data!$C$2:$C$1534,"EXPENSES")</f>
        <v>738132</v>
      </c>
      <c r="H44" s="21">
        <f t="shared" si="4"/>
        <v>421405</v>
      </c>
      <c r="I44" s="15">
        <f t="shared" si="5"/>
        <v>0.66661551895418214</v>
      </c>
      <c r="J44" s="10" t="str">
        <f>IF(ABS(H44)&lt;Overview!$B$6,"OK",IF(D44=0,"REVIEW (zero base)",IF(ABS(H44/ABS(D44))&gt;=Overview!$B$5,"REVIEW","OK")))</f>
        <v>REVIEW</v>
      </c>
      <c r="K44" s="21">
        <f t="shared" si="6"/>
        <v>-327087</v>
      </c>
      <c r="L44" s="15">
        <f t="shared" si="7"/>
        <v>-0.3104585306403711</v>
      </c>
      <c r="M44" s="10" t="str">
        <f>IF(ABS(K44)&lt;Overview!$B$6,"OK",IF(E44=0,"REVIEW (zero base)",IF(ABS(K44/ABS(E44))&gt;=Overview!$B$5,"REVIEW","OK")))</f>
        <v>REVIEW</v>
      </c>
    </row>
    <row r="45" spans="1:13" x14ac:dyDescent="0.2">
      <c r="A45" s="10" t="s">
        <v>117</v>
      </c>
      <c r="B45" s="10" t="s">
        <v>56</v>
      </c>
      <c r="C45" s="11">
        <f>SUMIFS(Data!$H$2:$H$1534,Data!$E$2:$E$1534,$A45,Data!$C$2:$C$1534,"EXPENSES")</f>
        <v>912354</v>
      </c>
      <c r="D45" s="11">
        <f>SUMIFS(Data!$I$2:$I$1534,Data!$E$2:$E$1534,$A45,Data!$C$2:$C$1534,"EXPENSES")</f>
        <v>898880</v>
      </c>
      <c r="E45" s="11">
        <f>SUMIFS(Data!$J$2:$J$1534,Data!$E$2:$E$1534,$A45,Data!$C$2:$C$1534,"EXPENSES")</f>
        <v>1051215</v>
      </c>
      <c r="F45" s="11">
        <f>SUMIFS(Data!$K$2:$K$1534,Data!$E$2:$E$1534,$A45,Data!$C$2:$C$1534,"EXPENSES")</f>
        <v>1171839</v>
      </c>
      <c r="G45" s="11">
        <f>SUMIFS(Data!$L$2:$L$1534,Data!$E$2:$E$1534,$A45,Data!$C$2:$C$1534,"EXPENSES")</f>
        <v>1191739</v>
      </c>
      <c r="H45" s="21">
        <f t="shared" si="4"/>
        <v>152335</v>
      </c>
      <c r="I45" s="15">
        <f t="shared" si="5"/>
        <v>0.16947200961196154</v>
      </c>
      <c r="J45" s="10" t="str">
        <f>IF(ABS(H45)&lt;Overview!$B$6,"OK",IF(D45=0,"REVIEW (zero base)",IF(ABS(H45/ABS(D45))&gt;=Overview!$B$5,"REVIEW","OK")))</f>
        <v>OK</v>
      </c>
      <c r="K45" s="21">
        <f t="shared" si="6"/>
        <v>120624</v>
      </c>
      <c r="L45" s="15">
        <f t="shared" si="7"/>
        <v>0.11474722107275867</v>
      </c>
      <c r="M45" s="10" t="str">
        <f>IF(ABS(K45)&lt;Overview!$B$6,"OK",IF(E45=0,"REVIEW (zero base)",IF(ABS(K45/ABS(E45))&gt;=Overview!$B$5,"REVIEW","OK")))</f>
        <v>OK</v>
      </c>
    </row>
    <row r="46" spans="1:13" x14ac:dyDescent="0.2">
      <c r="A46" s="10" t="s">
        <v>118</v>
      </c>
      <c r="B46" s="10" t="s">
        <v>56</v>
      </c>
      <c r="C46" s="11">
        <f>SUMIFS(Data!$H$2:$H$1534,Data!$E$2:$E$1534,$A46,Data!$C$2:$C$1534,"EXPENSES")</f>
        <v>979469</v>
      </c>
      <c r="D46" s="11">
        <f>SUMIFS(Data!$I$2:$I$1534,Data!$E$2:$E$1534,$A46,Data!$C$2:$C$1534,"EXPENSES")</f>
        <v>899152</v>
      </c>
      <c r="E46" s="11">
        <f>SUMIFS(Data!$J$2:$J$1534,Data!$E$2:$E$1534,$A46,Data!$C$2:$C$1534,"EXPENSES")</f>
        <v>1049280</v>
      </c>
      <c r="F46" s="11">
        <f>SUMIFS(Data!$K$2:$K$1534,Data!$E$2:$E$1534,$A46,Data!$C$2:$C$1534,"EXPENSES")</f>
        <v>1084090</v>
      </c>
      <c r="G46" s="11">
        <f>SUMIFS(Data!$L$2:$L$1534,Data!$E$2:$E$1534,$A46,Data!$C$2:$C$1534,"EXPENSES")</f>
        <v>1100740</v>
      </c>
      <c r="H46" s="21">
        <f t="shared" si="4"/>
        <v>150128</v>
      </c>
      <c r="I46" s="15">
        <f t="shared" si="5"/>
        <v>0.16696620816057797</v>
      </c>
      <c r="J46" s="10" t="str">
        <f>IF(ABS(H46)&lt;Overview!$B$6,"OK",IF(D46=0,"REVIEW (zero base)",IF(ABS(H46/ABS(D46))&gt;=Overview!$B$5,"REVIEW","OK")))</f>
        <v>OK</v>
      </c>
      <c r="K46" s="21">
        <f t="shared" si="6"/>
        <v>34810</v>
      </c>
      <c r="L46" s="15">
        <f t="shared" si="7"/>
        <v>3.3175129612686795E-2</v>
      </c>
      <c r="M46" s="10" t="str">
        <f>IF(ABS(K46)&lt;Overview!$B$6,"OK",IF(E46=0,"REVIEW (zero base)",IF(ABS(K46/ABS(E46))&gt;=Overview!$B$5,"REVIEW","OK")))</f>
        <v>OK</v>
      </c>
    </row>
    <row r="47" spans="1:13" x14ac:dyDescent="0.2">
      <c r="A47" s="10" t="s">
        <v>119</v>
      </c>
      <c r="B47" s="10" t="s">
        <v>56</v>
      </c>
      <c r="C47" s="11">
        <f>SUMIFS(Data!$H$2:$H$1534,Data!$E$2:$E$1534,$A47,Data!$C$2:$C$1534,"EXPENSES")</f>
        <v>913630</v>
      </c>
      <c r="D47" s="11">
        <f>SUMIFS(Data!$I$2:$I$1534,Data!$E$2:$E$1534,$A47,Data!$C$2:$C$1534,"EXPENSES")</f>
        <v>947237</v>
      </c>
      <c r="E47" s="11">
        <f>SUMIFS(Data!$J$2:$J$1534,Data!$E$2:$E$1534,$A47,Data!$C$2:$C$1534,"EXPENSES")</f>
        <v>930749</v>
      </c>
      <c r="F47" s="11">
        <f>SUMIFS(Data!$K$2:$K$1534,Data!$E$2:$E$1534,$A47,Data!$C$2:$C$1534,"EXPENSES")</f>
        <v>1026954</v>
      </c>
      <c r="G47" s="11">
        <f>SUMIFS(Data!$L$2:$L$1534,Data!$E$2:$E$1534,$A47,Data!$C$2:$C$1534,"EXPENSES")</f>
        <v>1043997</v>
      </c>
      <c r="H47" s="21">
        <f t="shared" si="4"/>
        <v>-16488</v>
      </c>
      <c r="I47" s="15">
        <f t="shared" si="5"/>
        <v>-1.7406414656522075E-2</v>
      </c>
      <c r="J47" s="10" t="str">
        <f>IF(ABS(H47)&lt;Overview!$B$6,"OK",IF(D47=0,"REVIEW (zero base)",IF(ABS(H47/ABS(D47))&gt;=Overview!$B$5,"REVIEW","OK")))</f>
        <v>OK</v>
      </c>
      <c r="K47" s="21">
        <f t="shared" si="6"/>
        <v>96205</v>
      </c>
      <c r="L47" s="15">
        <f t="shared" si="7"/>
        <v>0.10336299045177594</v>
      </c>
      <c r="M47" s="10" t="str">
        <f>IF(ABS(K47)&lt;Overview!$B$6,"OK",IF(E47=0,"REVIEW (zero base)",IF(ABS(K47/ABS(E47))&gt;=Overview!$B$5,"REVIEW","OK")))</f>
        <v>OK</v>
      </c>
    </row>
    <row r="48" spans="1:13" x14ac:dyDescent="0.2">
      <c r="A48" s="10" t="s">
        <v>120</v>
      </c>
      <c r="B48" s="10" t="s">
        <v>70</v>
      </c>
      <c r="C48" s="11">
        <f>SUMIFS(Data!$H$2:$H$1534,Data!$E$2:$E$1534,$A48,Data!$C$2:$C$1534,"EXPENSES")</f>
        <v>774564</v>
      </c>
      <c r="D48" s="11">
        <f>SUMIFS(Data!$I$2:$I$1534,Data!$E$2:$E$1534,$A48,Data!$C$2:$C$1534,"EXPENSES")</f>
        <v>812830</v>
      </c>
      <c r="E48" s="11">
        <f>SUMIFS(Data!$J$2:$J$1534,Data!$E$2:$E$1534,$A48,Data!$C$2:$C$1534,"EXPENSES")</f>
        <v>898294</v>
      </c>
      <c r="F48" s="11">
        <f>SUMIFS(Data!$K$2:$K$1534,Data!$E$2:$E$1534,$A48,Data!$C$2:$C$1534,"EXPENSES")</f>
        <v>859726</v>
      </c>
      <c r="G48" s="11">
        <f>SUMIFS(Data!$L$2:$L$1534,Data!$E$2:$E$1534,$A48,Data!$C$2:$C$1534,"EXPENSES")</f>
        <v>873601</v>
      </c>
      <c r="H48" s="21">
        <f t="shared" si="4"/>
        <v>85464</v>
      </c>
      <c r="I48" s="15">
        <f t="shared" si="5"/>
        <v>0.10514375699715808</v>
      </c>
      <c r="J48" s="10" t="str">
        <f>IF(ABS(H48)&lt;Overview!$B$6,"OK",IF(D48=0,"REVIEW (zero base)",IF(ABS(H48/ABS(D48))&gt;=Overview!$B$5,"REVIEW","OK")))</f>
        <v>OK</v>
      </c>
      <c r="K48" s="21">
        <f t="shared" si="6"/>
        <v>-38568</v>
      </c>
      <c r="L48" s="15">
        <f t="shared" si="7"/>
        <v>-4.2934718477469512E-2</v>
      </c>
      <c r="M48" s="10" t="str">
        <f>IF(ABS(K48)&lt;Overview!$B$6,"OK",IF(E48=0,"REVIEW (zero base)",IF(ABS(K48/ABS(E48))&gt;=Overview!$B$5,"REVIEW","OK")))</f>
        <v>OK</v>
      </c>
    </row>
    <row r="49" spans="1:13" x14ac:dyDescent="0.2">
      <c r="A49" s="10" t="s">
        <v>121</v>
      </c>
      <c r="B49" s="10" t="s">
        <v>61</v>
      </c>
      <c r="C49" s="11">
        <f>SUMIFS(Data!$H$2:$H$1534,Data!$E$2:$E$1534,$A49,Data!$C$2:$C$1534,"EXPENSES")</f>
        <v>495286</v>
      </c>
      <c r="D49" s="11">
        <f>SUMIFS(Data!$I$2:$I$1534,Data!$E$2:$E$1534,$A49,Data!$C$2:$C$1534,"EXPENSES")</f>
        <v>529834</v>
      </c>
      <c r="E49" s="11">
        <f>SUMIFS(Data!$J$2:$J$1534,Data!$E$2:$E$1534,$A49,Data!$C$2:$C$1534,"EXPENSES")</f>
        <v>807268</v>
      </c>
      <c r="F49" s="11">
        <f>SUMIFS(Data!$K$2:$K$1534,Data!$E$2:$E$1534,$A49,Data!$C$2:$C$1534,"EXPENSES")</f>
        <v>817539</v>
      </c>
      <c r="G49" s="11">
        <f>SUMIFS(Data!$L$2:$L$1534,Data!$E$2:$E$1534,$A49,Data!$C$2:$C$1534,"EXPENSES")</f>
        <v>825477</v>
      </c>
      <c r="H49" s="21">
        <f t="shared" si="4"/>
        <v>277434</v>
      </c>
      <c r="I49" s="15">
        <f t="shared" si="5"/>
        <v>0.52362438046633475</v>
      </c>
      <c r="J49" s="10" t="str">
        <f>IF(ABS(H49)&lt;Overview!$B$6,"OK",IF(D49=0,"REVIEW (zero base)",IF(ABS(H49/ABS(D49))&gt;=Overview!$B$5,"REVIEW","OK")))</f>
        <v>REVIEW</v>
      </c>
      <c r="K49" s="21">
        <f t="shared" si="6"/>
        <v>10271</v>
      </c>
      <c r="L49" s="15">
        <f t="shared" si="7"/>
        <v>1.2723160090577107E-2</v>
      </c>
      <c r="M49" s="10" t="str">
        <f>IF(ABS(K49)&lt;Overview!$B$6,"OK",IF(E49=0,"REVIEW (zero base)",IF(ABS(K49/ABS(E49))&gt;=Overview!$B$5,"REVIEW","OK")))</f>
        <v>OK</v>
      </c>
    </row>
    <row r="50" spans="1:13" x14ac:dyDescent="0.2">
      <c r="A50" s="10" t="s">
        <v>122</v>
      </c>
      <c r="B50" s="10" t="s">
        <v>61</v>
      </c>
      <c r="C50" s="11">
        <f>SUMIFS(Data!$H$2:$H$1534,Data!$E$2:$E$1534,$A50,Data!$C$2:$C$1534,"EXPENSES")</f>
        <v>614963</v>
      </c>
      <c r="D50" s="11">
        <f>SUMIFS(Data!$I$2:$I$1534,Data!$E$2:$E$1534,$A50,Data!$C$2:$C$1534,"EXPENSES")</f>
        <v>748214</v>
      </c>
      <c r="E50" s="11">
        <f>SUMIFS(Data!$J$2:$J$1534,Data!$E$2:$E$1534,$A50,Data!$C$2:$C$1534,"EXPENSES")</f>
        <v>774071</v>
      </c>
      <c r="F50" s="11">
        <f>SUMIFS(Data!$K$2:$K$1534,Data!$E$2:$E$1534,$A50,Data!$C$2:$C$1534,"EXPENSES")</f>
        <v>777189</v>
      </c>
      <c r="G50" s="11">
        <f>SUMIFS(Data!$L$2:$L$1534,Data!$E$2:$E$1534,$A50,Data!$C$2:$C$1534,"EXPENSES")</f>
        <v>786436</v>
      </c>
      <c r="H50" s="21">
        <f t="shared" si="4"/>
        <v>25857</v>
      </c>
      <c r="I50" s="15">
        <f t="shared" si="5"/>
        <v>3.4558294819396589E-2</v>
      </c>
      <c r="J50" s="10" t="str">
        <f>IF(ABS(H50)&lt;Overview!$B$6,"OK",IF(D50=0,"REVIEW (zero base)",IF(ABS(H50/ABS(D50))&gt;=Overview!$B$5,"REVIEW","OK")))</f>
        <v>OK</v>
      </c>
      <c r="K50" s="21">
        <f t="shared" si="6"/>
        <v>3118</v>
      </c>
      <c r="L50" s="15">
        <f t="shared" si="7"/>
        <v>4.0280542740911366E-3</v>
      </c>
      <c r="M50" s="10" t="str">
        <f>IF(ABS(K50)&lt;Overview!$B$6,"OK",IF(E50=0,"REVIEW (zero base)",IF(ABS(K50/ABS(E50))&gt;=Overview!$B$5,"REVIEW","OK")))</f>
        <v>OK</v>
      </c>
    </row>
    <row r="51" spans="1:13" x14ac:dyDescent="0.2">
      <c r="A51" s="10" t="s">
        <v>123</v>
      </c>
      <c r="B51" s="10" t="s">
        <v>55</v>
      </c>
      <c r="C51" s="11">
        <f>SUMIFS(Data!$H$2:$H$1534,Data!$E$2:$E$1534,$A51,Data!$C$2:$C$1534,"EXPENSES")</f>
        <v>563094</v>
      </c>
      <c r="D51" s="11">
        <f>SUMIFS(Data!$I$2:$I$1534,Data!$E$2:$E$1534,$A51,Data!$C$2:$C$1534,"EXPENSES")</f>
        <v>504400</v>
      </c>
      <c r="E51" s="11">
        <f>SUMIFS(Data!$J$2:$J$1534,Data!$E$2:$E$1534,$A51,Data!$C$2:$C$1534,"EXPENSES")</f>
        <v>750103</v>
      </c>
      <c r="F51" s="11">
        <f>SUMIFS(Data!$K$2:$K$1534,Data!$E$2:$E$1534,$A51,Data!$C$2:$C$1534,"EXPENSES")</f>
        <v>688785</v>
      </c>
      <c r="G51" s="11">
        <f>SUMIFS(Data!$L$2:$L$1534,Data!$E$2:$E$1534,$A51,Data!$C$2:$C$1534,"EXPENSES")</f>
        <v>699262</v>
      </c>
      <c r="H51" s="21">
        <f t="shared" si="4"/>
        <v>245703</v>
      </c>
      <c r="I51" s="15">
        <f t="shared" si="5"/>
        <v>0.48711934972244253</v>
      </c>
      <c r="J51" s="10" t="str">
        <f>IF(ABS(H51)&lt;Overview!$B$6,"OK",IF(D51=0,"REVIEW (zero base)",IF(ABS(H51/ABS(D51))&gt;=Overview!$B$5,"REVIEW","OK")))</f>
        <v>OK</v>
      </c>
      <c r="K51" s="21">
        <f t="shared" si="6"/>
        <v>-61318</v>
      </c>
      <c r="L51" s="15">
        <f t="shared" si="7"/>
        <v>-8.1746106867990123E-2</v>
      </c>
      <c r="M51" s="10" t="str">
        <f>IF(ABS(K51)&lt;Overview!$B$6,"OK",IF(E51=0,"REVIEW (zero base)",IF(ABS(K51/ABS(E51))&gt;=Overview!$B$5,"REVIEW","OK")))</f>
        <v>OK</v>
      </c>
    </row>
    <row r="52" spans="1:13" x14ac:dyDescent="0.2">
      <c r="A52" s="10" t="s">
        <v>124</v>
      </c>
      <c r="B52" s="10" t="s">
        <v>56</v>
      </c>
      <c r="C52" s="11">
        <f>SUMIFS(Data!$H$2:$H$1534,Data!$E$2:$E$1534,$A52,Data!$C$2:$C$1534,"EXPENSES")</f>
        <v>823930</v>
      </c>
      <c r="D52" s="11">
        <f>SUMIFS(Data!$I$2:$I$1534,Data!$E$2:$E$1534,$A52,Data!$C$2:$C$1534,"EXPENSES")</f>
        <v>570559</v>
      </c>
      <c r="E52" s="11">
        <f>SUMIFS(Data!$J$2:$J$1534,Data!$E$2:$E$1534,$A52,Data!$C$2:$C$1534,"EXPENSES")</f>
        <v>749654</v>
      </c>
      <c r="F52" s="11">
        <f>SUMIFS(Data!$K$2:$K$1534,Data!$E$2:$E$1534,$A52,Data!$C$2:$C$1534,"EXPENSES")</f>
        <v>666844</v>
      </c>
      <c r="G52" s="11">
        <f>SUMIFS(Data!$L$2:$L$1534,Data!$E$2:$E$1534,$A52,Data!$C$2:$C$1534,"EXPENSES")</f>
        <v>674741</v>
      </c>
      <c r="H52" s="21">
        <f t="shared" si="4"/>
        <v>179095</v>
      </c>
      <c r="I52" s="15">
        <f t="shared" si="5"/>
        <v>0.31389391806982275</v>
      </c>
      <c r="J52" s="10" t="str">
        <f>IF(ABS(H52)&lt;Overview!$B$6,"OK",IF(D52=0,"REVIEW (zero base)",IF(ABS(H52/ABS(D52))&gt;=Overview!$B$5,"REVIEW","OK")))</f>
        <v>OK</v>
      </c>
      <c r="K52" s="21">
        <f t="shared" si="6"/>
        <v>-82810</v>
      </c>
      <c r="L52" s="15">
        <f t="shared" si="7"/>
        <v>-0.11046429419438834</v>
      </c>
      <c r="M52" s="10" t="str">
        <f>IF(ABS(K52)&lt;Overview!$B$6,"OK",IF(E52=0,"REVIEW (zero base)",IF(ABS(K52/ABS(E52))&gt;=Overview!$B$5,"REVIEW","OK")))</f>
        <v>OK</v>
      </c>
    </row>
    <row r="53" spans="1:13" x14ac:dyDescent="0.2">
      <c r="A53" s="10" t="s">
        <v>125</v>
      </c>
      <c r="B53" s="10" t="s">
        <v>61</v>
      </c>
      <c r="C53" s="11">
        <f>SUMIFS(Data!$H$2:$H$1534,Data!$E$2:$E$1534,$A53,Data!$C$2:$C$1534,"EXPENSES")</f>
        <v>719069</v>
      </c>
      <c r="D53" s="11">
        <f>SUMIFS(Data!$I$2:$I$1534,Data!$E$2:$E$1534,$A53,Data!$C$2:$C$1534,"EXPENSES")</f>
        <v>732754</v>
      </c>
      <c r="E53" s="11">
        <f>SUMIFS(Data!$J$2:$J$1534,Data!$E$2:$E$1534,$A53,Data!$C$2:$C$1534,"EXPENSES")</f>
        <v>736402</v>
      </c>
      <c r="F53" s="11">
        <f>SUMIFS(Data!$K$2:$K$1534,Data!$E$2:$E$1534,$A53,Data!$C$2:$C$1534,"EXPENSES")</f>
        <v>823794</v>
      </c>
      <c r="G53" s="11">
        <f>SUMIFS(Data!$L$2:$L$1534,Data!$E$2:$E$1534,$A53,Data!$C$2:$C$1534,"EXPENSES")</f>
        <v>838246</v>
      </c>
      <c r="H53" s="21">
        <f t="shared" si="4"/>
        <v>3648</v>
      </c>
      <c r="I53" s="15">
        <f t="shared" si="5"/>
        <v>4.9784784525229477E-3</v>
      </c>
      <c r="J53" s="10" t="str">
        <f>IF(ABS(H53)&lt;Overview!$B$6,"OK",IF(D53=0,"REVIEW (zero base)",IF(ABS(H53/ABS(D53))&gt;=Overview!$B$5,"REVIEW","OK")))</f>
        <v>OK</v>
      </c>
      <c r="K53" s="21">
        <f t="shared" si="6"/>
        <v>87392</v>
      </c>
      <c r="L53" s="15">
        <f t="shared" si="7"/>
        <v>0.1186743110420667</v>
      </c>
      <c r="M53" s="10" t="str">
        <f>IF(ABS(K53)&lt;Overview!$B$6,"OK",IF(E53=0,"REVIEW (zero base)",IF(ABS(K53/ABS(E53))&gt;=Overview!$B$5,"REVIEW","OK")))</f>
        <v>OK</v>
      </c>
    </row>
    <row r="54" spans="1:13" x14ac:dyDescent="0.2">
      <c r="A54" s="10" t="s">
        <v>126</v>
      </c>
      <c r="B54" s="10" t="s">
        <v>57</v>
      </c>
      <c r="C54" s="11">
        <f>SUMIFS(Data!$H$2:$H$1534,Data!$E$2:$E$1534,$A54,Data!$C$2:$C$1534,"EXPENSES")</f>
        <v>672435</v>
      </c>
      <c r="D54" s="11">
        <f>SUMIFS(Data!$I$2:$I$1534,Data!$E$2:$E$1534,$A54,Data!$C$2:$C$1534,"EXPENSES")</f>
        <v>704507</v>
      </c>
      <c r="E54" s="11">
        <f>SUMIFS(Data!$J$2:$J$1534,Data!$E$2:$E$1534,$A54,Data!$C$2:$C$1534,"EXPENSES")</f>
        <v>716761</v>
      </c>
      <c r="F54" s="11">
        <f>SUMIFS(Data!$K$2:$K$1534,Data!$E$2:$E$1534,$A54,Data!$C$2:$C$1534,"EXPENSES")</f>
        <v>774912</v>
      </c>
      <c r="G54" s="11">
        <f>SUMIFS(Data!$L$2:$L$1534,Data!$E$2:$E$1534,$A54,Data!$C$2:$C$1534,"EXPENSES")</f>
        <v>788876</v>
      </c>
      <c r="H54" s="21">
        <f t="shared" si="4"/>
        <v>12254</v>
      </c>
      <c r="I54" s="15">
        <f t="shared" si="5"/>
        <v>1.7393723554201733E-2</v>
      </c>
      <c r="J54" s="10" t="str">
        <f>IF(ABS(H54)&lt;Overview!$B$6,"OK",IF(D54=0,"REVIEW (zero base)",IF(ABS(H54/ABS(D54))&gt;=Overview!$B$5,"REVIEW","OK")))</f>
        <v>OK</v>
      </c>
      <c r="K54" s="21">
        <f t="shared" si="6"/>
        <v>58151</v>
      </c>
      <c r="L54" s="15">
        <f t="shared" si="7"/>
        <v>8.1130251227396574E-2</v>
      </c>
      <c r="M54" s="10" t="str">
        <f>IF(ABS(K54)&lt;Overview!$B$6,"OK",IF(E54=0,"REVIEW (zero base)",IF(ABS(K54/ABS(E54))&gt;=Overview!$B$5,"REVIEW","OK")))</f>
        <v>OK</v>
      </c>
    </row>
    <row r="55" spans="1:13" x14ac:dyDescent="0.2">
      <c r="A55" s="10" t="s">
        <v>127</v>
      </c>
      <c r="B55" s="10" t="s">
        <v>67</v>
      </c>
      <c r="C55" s="11">
        <f>SUMIFS(Data!$H$2:$H$1534,Data!$E$2:$E$1534,$A55,Data!$C$2:$C$1534,"EXPENSES")</f>
        <v>1288422</v>
      </c>
      <c r="D55" s="11">
        <f>SUMIFS(Data!$I$2:$I$1534,Data!$E$2:$E$1534,$A55,Data!$C$2:$C$1534,"EXPENSES")</f>
        <v>1208996</v>
      </c>
      <c r="E55" s="11">
        <f>SUMIFS(Data!$J$2:$J$1534,Data!$E$2:$E$1534,$A55,Data!$C$2:$C$1534,"EXPENSES")</f>
        <v>613872</v>
      </c>
      <c r="F55" s="11">
        <f>SUMIFS(Data!$K$2:$K$1534,Data!$E$2:$E$1534,$A55,Data!$C$2:$C$1534,"EXPENSES")</f>
        <v>2073866</v>
      </c>
      <c r="G55" s="11">
        <f>SUMIFS(Data!$L$2:$L$1534,Data!$E$2:$E$1534,$A55,Data!$C$2:$C$1534,"EXPENSES")</f>
        <v>2075015</v>
      </c>
      <c r="H55" s="21">
        <f t="shared" si="4"/>
        <v>-595124</v>
      </c>
      <c r="I55" s="15">
        <f t="shared" si="5"/>
        <v>-0.49224645904535663</v>
      </c>
      <c r="J55" s="10" t="str">
        <f>IF(ABS(H55)&lt;Overview!$B$6,"OK",IF(D55=0,"REVIEW (zero base)",IF(ABS(H55/ABS(D55))&gt;=Overview!$B$5,"REVIEW","OK")))</f>
        <v>REVIEW</v>
      </c>
      <c r="K55" s="21">
        <f t="shared" si="6"/>
        <v>1459994</v>
      </c>
      <c r="L55" s="15">
        <f t="shared" si="7"/>
        <v>2.3783362003805353</v>
      </c>
      <c r="M55" s="10" t="str">
        <f>IF(ABS(K55)&lt;Overview!$B$6,"OK",IF(E55=0,"REVIEW (zero base)",IF(ABS(K55/ABS(E55))&gt;=Overview!$B$5,"REVIEW","OK")))</f>
        <v>REVIEW</v>
      </c>
    </row>
    <row r="56" spans="1:13" x14ac:dyDescent="0.2">
      <c r="A56" s="10" t="s">
        <v>128</v>
      </c>
      <c r="B56" s="10" t="s">
        <v>63</v>
      </c>
      <c r="C56" s="11">
        <f>SUMIFS(Data!$H$2:$H$1534,Data!$E$2:$E$1534,$A56,Data!$C$2:$C$1534,"EXPENSES")</f>
        <v>31324</v>
      </c>
      <c r="D56" s="11">
        <f>SUMIFS(Data!$I$2:$I$1534,Data!$E$2:$E$1534,$A56,Data!$C$2:$C$1534,"EXPENSES")</f>
        <v>180152</v>
      </c>
      <c r="E56" s="11">
        <f>SUMIFS(Data!$J$2:$J$1534,Data!$E$2:$E$1534,$A56,Data!$C$2:$C$1534,"EXPENSES")</f>
        <v>575370</v>
      </c>
      <c r="F56" s="11">
        <f>SUMIFS(Data!$K$2:$K$1534,Data!$E$2:$E$1534,$A56,Data!$C$2:$C$1534,"EXPENSES")</f>
        <v>712376</v>
      </c>
      <c r="G56" s="11">
        <f>SUMIFS(Data!$L$2:$L$1534,Data!$E$2:$E$1534,$A56,Data!$C$2:$C$1534,"EXPENSES")</f>
        <v>719807</v>
      </c>
      <c r="H56" s="21">
        <f t="shared" si="4"/>
        <v>395218</v>
      </c>
      <c r="I56" s="15">
        <f t="shared" si="5"/>
        <v>2.1938030107908877</v>
      </c>
      <c r="J56" s="10" t="str">
        <f>IF(ABS(H56)&lt;Overview!$B$6,"OK",IF(D56=0,"REVIEW (zero base)",IF(ABS(H56/ABS(D56))&gt;=Overview!$B$5,"REVIEW","OK")))</f>
        <v>REVIEW</v>
      </c>
      <c r="K56" s="21">
        <f t="shared" si="6"/>
        <v>137006</v>
      </c>
      <c r="L56" s="15">
        <f t="shared" si="7"/>
        <v>0.23811808053947894</v>
      </c>
      <c r="M56" s="10" t="str">
        <f>IF(ABS(K56)&lt;Overview!$B$6,"OK",IF(E56=0,"REVIEW (zero base)",IF(ABS(K56/ABS(E56))&gt;=Overview!$B$5,"REVIEW","OK")))</f>
        <v>OK</v>
      </c>
    </row>
    <row r="57" spans="1:13" x14ac:dyDescent="0.2">
      <c r="A57" s="10" t="s">
        <v>129</v>
      </c>
      <c r="B57" s="10" t="s">
        <v>57</v>
      </c>
      <c r="C57" s="11">
        <f>SUMIFS(Data!$H$2:$H$1534,Data!$E$2:$E$1534,$A57,Data!$C$2:$C$1534,"EXPENSES")</f>
        <v>424405</v>
      </c>
      <c r="D57" s="11">
        <f>SUMIFS(Data!$I$2:$I$1534,Data!$E$2:$E$1534,$A57,Data!$C$2:$C$1534,"EXPENSES")</f>
        <v>531646</v>
      </c>
      <c r="E57" s="11">
        <f>SUMIFS(Data!$J$2:$J$1534,Data!$E$2:$E$1534,$A57,Data!$C$2:$C$1534,"EXPENSES")</f>
        <v>573986</v>
      </c>
      <c r="F57" s="11">
        <f>SUMIFS(Data!$K$2:$K$1534,Data!$E$2:$E$1534,$A57,Data!$C$2:$C$1534,"EXPENSES")</f>
        <v>633618</v>
      </c>
      <c r="G57" s="11">
        <f>SUMIFS(Data!$L$2:$L$1534,Data!$E$2:$E$1534,$A57,Data!$C$2:$C$1534,"EXPENSES")</f>
        <v>644293</v>
      </c>
      <c r="H57" s="21">
        <f t="shared" si="4"/>
        <v>42340</v>
      </c>
      <c r="I57" s="15">
        <f t="shared" si="5"/>
        <v>7.9639459339485297E-2</v>
      </c>
      <c r="J57" s="10" t="str">
        <f>IF(ABS(H57)&lt;Overview!$B$6,"OK",IF(D57=0,"REVIEW (zero base)",IF(ABS(H57/ABS(D57))&gt;=Overview!$B$5,"REVIEW","OK")))</f>
        <v>OK</v>
      </c>
      <c r="K57" s="21">
        <f t="shared" si="6"/>
        <v>59632</v>
      </c>
      <c r="L57" s="15">
        <f t="shared" si="7"/>
        <v>0.10389103566985955</v>
      </c>
      <c r="M57" s="10" t="str">
        <f>IF(ABS(K57)&lt;Overview!$B$6,"OK",IF(E57=0,"REVIEW (zero base)",IF(ABS(K57/ABS(E57))&gt;=Overview!$B$5,"REVIEW","OK")))</f>
        <v>OK</v>
      </c>
    </row>
    <row r="58" spans="1:13" x14ac:dyDescent="0.2">
      <c r="A58" s="10" t="s">
        <v>130</v>
      </c>
      <c r="B58" s="10" t="s">
        <v>68</v>
      </c>
      <c r="C58" s="11">
        <f>SUMIFS(Data!$H$2:$H$1534,Data!$E$2:$E$1534,$A58,Data!$C$2:$C$1534,"EXPENSES")</f>
        <v>541368</v>
      </c>
      <c r="D58" s="11">
        <f>SUMIFS(Data!$I$2:$I$1534,Data!$E$2:$E$1534,$A58,Data!$C$2:$C$1534,"EXPENSES")</f>
        <v>505249</v>
      </c>
      <c r="E58" s="11">
        <f>SUMIFS(Data!$J$2:$J$1534,Data!$E$2:$E$1534,$A58,Data!$C$2:$C$1534,"EXPENSES")</f>
        <v>538024</v>
      </c>
      <c r="F58" s="11">
        <f>SUMIFS(Data!$K$2:$K$1534,Data!$E$2:$E$1534,$A58,Data!$C$2:$C$1534,"EXPENSES")</f>
        <v>638502</v>
      </c>
      <c r="G58" s="11">
        <f>SUMIFS(Data!$L$2:$L$1534,Data!$E$2:$E$1534,$A58,Data!$C$2:$C$1534,"EXPENSES")</f>
        <v>649516</v>
      </c>
      <c r="H58" s="21">
        <f t="shared" si="4"/>
        <v>32775</v>
      </c>
      <c r="I58" s="15">
        <f t="shared" si="5"/>
        <v>6.4869005183582754E-2</v>
      </c>
      <c r="J58" s="10" t="str">
        <f>IF(ABS(H58)&lt;Overview!$B$6,"OK",IF(D58=0,"REVIEW (zero base)",IF(ABS(H58/ABS(D58))&gt;=Overview!$B$5,"REVIEW","OK")))</f>
        <v>OK</v>
      </c>
      <c r="K58" s="21">
        <f t="shared" si="6"/>
        <v>100478</v>
      </c>
      <c r="L58" s="15">
        <f t="shared" si="7"/>
        <v>0.18675375076204778</v>
      </c>
      <c r="M58" s="10" t="str">
        <f>IF(ABS(K58)&lt;Overview!$B$6,"OK",IF(E58=0,"REVIEW (zero base)",IF(ABS(K58/ABS(E58))&gt;=Overview!$B$5,"REVIEW","OK")))</f>
        <v>OK</v>
      </c>
    </row>
    <row r="59" spans="1:13" x14ac:dyDescent="0.2">
      <c r="A59" s="10" t="s">
        <v>131</v>
      </c>
      <c r="B59" s="10" t="s">
        <v>59</v>
      </c>
      <c r="C59" s="11">
        <f>SUMIFS(Data!$H$2:$H$1534,Data!$E$2:$E$1534,$A59,Data!$C$2:$C$1534,"EXPENSES")</f>
        <v>453620</v>
      </c>
      <c r="D59" s="11">
        <f>SUMIFS(Data!$I$2:$I$1534,Data!$E$2:$E$1534,$A59,Data!$C$2:$C$1534,"EXPENSES")</f>
        <v>511542</v>
      </c>
      <c r="E59" s="11">
        <f>SUMIFS(Data!$J$2:$J$1534,Data!$E$2:$E$1534,$A59,Data!$C$2:$C$1534,"EXPENSES")</f>
        <v>530594</v>
      </c>
      <c r="F59" s="11">
        <f>SUMIFS(Data!$K$2:$K$1534,Data!$E$2:$E$1534,$A59,Data!$C$2:$C$1534,"EXPENSES")</f>
        <v>578711</v>
      </c>
      <c r="G59" s="11">
        <f>SUMIFS(Data!$L$2:$L$1534,Data!$E$2:$E$1534,$A59,Data!$C$2:$C$1534,"EXPENSES")</f>
        <v>589447</v>
      </c>
      <c r="H59" s="21">
        <f t="shared" si="4"/>
        <v>19052</v>
      </c>
      <c r="I59" s="15">
        <f t="shared" si="5"/>
        <v>3.724425364877175E-2</v>
      </c>
      <c r="J59" s="10" t="str">
        <f>IF(ABS(H59)&lt;Overview!$B$6,"OK",IF(D59=0,"REVIEW (zero base)",IF(ABS(H59/ABS(D59))&gt;=Overview!$B$5,"REVIEW","OK")))</f>
        <v>OK</v>
      </c>
      <c r="K59" s="21">
        <f t="shared" si="6"/>
        <v>48117</v>
      </c>
      <c r="L59" s="15">
        <f t="shared" si="7"/>
        <v>9.0685156635770481E-2</v>
      </c>
      <c r="M59" s="10" t="str">
        <f>IF(ABS(K59)&lt;Overview!$B$6,"OK",IF(E59=0,"REVIEW (zero base)",IF(ABS(K59/ABS(E59))&gt;=Overview!$B$5,"REVIEW","OK")))</f>
        <v>OK</v>
      </c>
    </row>
    <row r="60" spans="1:13" x14ac:dyDescent="0.2">
      <c r="A60" s="10" t="s">
        <v>132</v>
      </c>
      <c r="B60" s="10" t="s">
        <v>61</v>
      </c>
      <c r="C60" s="11">
        <f>SUMIFS(Data!$H$2:$H$1534,Data!$E$2:$E$1534,$A60,Data!$C$2:$C$1534,"EXPENSES")</f>
        <v>486254</v>
      </c>
      <c r="D60" s="11">
        <f>SUMIFS(Data!$I$2:$I$1534,Data!$E$2:$E$1534,$A60,Data!$C$2:$C$1534,"EXPENSES")</f>
        <v>448621</v>
      </c>
      <c r="E60" s="11">
        <f>SUMIFS(Data!$J$2:$J$1534,Data!$E$2:$E$1534,$A60,Data!$C$2:$C$1534,"EXPENSES")</f>
        <v>524183</v>
      </c>
      <c r="F60" s="11">
        <f>SUMIFS(Data!$K$2:$K$1534,Data!$E$2:$E$1534,$A60,Data!$C$2:$C$1534,"EXPENSES")</f>
        <v>540444</v>
      </c>
      <c r="G60" s="11">
        <f>SUMIFS(Data!$L$2:$L$1534,Data!$E$2:$E$1534,$A60,Data!$C$2:$C$1534,"EXPENSES")</f>
        <v>548350</v>
      </c>
      <c r="H60" s="21">
        <f t="shared" si="4"/>
        <v>75562</v>
      </c>
      <c r="I60" s="15">
        <f t="shared" si="5"/>
        <v>0.16843170515869743</v>
      </c>
      <c r="J60" s="10" t="str">
        <f>IF(ABS(H60)&lt;Overview!$B$6,"OK",IF(D60=0,"REVIEW (zero base)",IF(ABS(H60/ABS(D60))&gt;=Overview!$B$5,"REVIEW","OK")))</f>
        <v>OK</v>
      </c>
      <c r="K60" s="21">
        <f t="shared" si="6"/>
        <v>16261</v>
      </c>
      <c r="L60" s="15">
        <f t="shared" si="7"/>
        <v>3.1021608865606096E-2</v>
      </c>
      <c r="M60" s="10" t="str">
        <f>IF(ABS(K60)&lt;Overview!$B$6,"OK",IF(E60=0,"REVIEW (zero base)",IF(ABS(K60/ABS(E60))&gt;=Overview!$B$5,"REVIEW","OK")))</f>
        <v>OK</v>
      </c>
    </row>
    <row r="61" spans="1:13" x14ac:dyDescent="0.2">
      <c r="A61" s="10" t="s">
        <v>133</v>
      </c>
      <c r="B61" s="10" t="s">
        <v>59</v>
      </c>
      <c r="C61" s="11">
        <f>SUMIFS(Data!$H$2:$H$1534,Data!$E$2:$E$1534,$A61,Data!$C$2:$C$1534,"EXPENSES")</f>
        <v>532026</v>
      </c>
      <c r="D61" s="11">
        <f>SUMIFS(Data!$I$2:$I$1534,Data!$E$2:$E$1534,$A61,Data!$C$2:$C$1534,"EXPENSES")</f>
        <v>610350</v>
      </c>
      <c r="E61" s="11">
        <f>SUMIFS(Data!$J$2:$J$1534,Data!$E$2:$E$1534,$A61,Data!$C$2:$C$1534,"EXPENSES")</f>
        <v>506598</v>
      </c>
      <c r="F61" s="11">
        <f>SUMIFS(Data!$K$2:$K$1534,Data!$E$2:$E$1534,$A61,Data!$C$2:$C$1534,"EXPENSES")</f>
        <v>580537</v>
      </c>
      <c r="G61" s="11">
        <f>SUMIFS(Data!$L$2:$L$1534,Data!$E$2:$E$1534,$A61,Data!$C$2:$C$1534,"EXPENSES")</f>
        <v>591176</v>
      </c>
      <c r="H61" s="21">
        <f t="shared" si="4"/>
        <v>-103752</v>
      </c>
      <c r="I61" s="15">
        <f t="shared" si="5"/>
        <v>-0.16998771196854265</v>
      </c>
      <c r="J61" s="10" t="str">
        <f>IF(ABS(H61)&lt;Overview!$B$6,"OK",IF(D61=0,"REVIEW (zero base)",IF(ABS(H61/ABS(D61))&gt;=Overview!$B$5,"REVIEW","OK")))</f>
        <v>OK</v>
      </c>
      <c r="K61" s="21">
        <f t="shared" si="6"/>
        <v>73939</v>
      </c>
      <c r="L61" s="15">
        <f t="shared" si="7"/>
        <v>0.14595201718127587</v>
      </c>
      <c r="M61" s="10" t="str">
        <f>IF(ABS(K61)&lt;Overview!$B$6,"OK",IF(E61=0,"REVIEW (zero base)",IF(ABS(K61/ABS(E61))&gt;=Overview!$B$5,"REVIEW","OK")))</f>
        <v>OK</v>
      </c>
    </row>
    <row r="62" spans="1:13" x14ac:dyDescent="0.2">
      <c r="A62" s="10" t="s">
        <v>134</v>
      </c>
      <c r="B62" s="10" t="s">
        <v>68</v>
      </c>
      <c r="C62" s="11">
        <f>SUMIFS(Data!$H$2:$H$1534,Data!$E$2:$E$1534,$A62,Data!$C$2:$C$1534,"EXPENSES")</f>
        <v>438513</v>
      </c>
      <c r="D62" s="11">
        <f>SUMIFS(Data!$I$2:$I$1534,Data!$E$2:$E$1534,$A62,Data!$C$2:$C$1534,"EXPENSES")</f>
        <v>445114</v>
      </c>
      <c r="E62" s="11">
        <f>SUMIFS(Data!$J$2:$J$1534,Data!$E$2:$E$1534,$A62,Data!$C$2:$C$1534,"EXPENSES")</f>
        <v>468716</v>
      </c>
      <c r="F62" s="11">
        <f>SUMIFS(Data!$K$2:$K$1534,Data!$E$2:$E$1534,$A62,Data!$C$2:$C$1534,"EXPENSES")</f>
        <v>502213</v>
      </c>
      <c r="G62" s="11">
        <f>SUMIFS(Data!$L$2:$L$1534,Data!$E$2:$E$1534,$A62,Data!$C$2:$C$1534,"EXPENSES")</f>
        <v>511635</v>
      </c>
      <c r="H62" s="21">
        <f t="shared" si="4"/>
        <v>23602</v>
      </c>
      <c r="I62" s="15">
        <f t="shared" si="5"/>
        <v>5.3024618412361779E-2</v>
      </c>
      <c r="J62" s="10" t="str">
        <f>IF(ABS(H62)&lt;Overview!$B$6,"OK",IF(D62=0,"REVIEW (zero base)",IF(ABS(H62/ABS(D62))&gt;=Overview!$B$5,"REVIEW","OK")))</f>
        <v>OK</v>
      </c>
      <c r="K62" s="21">
        <f t="shared" si="6"/>
        <v>33497</v>
      </c>
      <c r="L62" s="15">
        <f t="shared" si="7"/>
        <v>7.1465450293994662E-2</v>
      </c>
      <c r="M62" s="10" t="str">
        <f>IF(ABS(K62)&lt;Overview!$B$6,"OK",IF(E62=0,"REVIEW (zero base)",IF(ABS(K62/ABS(E62))&gt;=Overview!$B$5,"REVIEW","OK")))</f>
        <v>OK</v>
      </c>
    </row>
    <row r="63" spans="1:13" x14ac:dyDescent="0.2">
      <c r="A63" s="10" t="s">
        <v>135</v>
      </c>
      <c r="B63" s="10" t="s">
        <v>62</v>
      </c>
      <c r="C63" s="11">
        <f>SUMIFS(Data!$H$2:$H$1534,Data!$E$2:$E$1534,$A63,Data!$C$2:$C$1534,"EXPENSES")</f>
        <v>452765</v>
      </c>
      <c r="D63" s="11">
        <f>SUMIFS(Data!$I$2:$I$1534,Data!$E$2:$E$1534,$A63,Data!$C$2:$C$1534,"EXPENSES")</f>
        <v>449902</v>
      </c>
      <c r="E63" s="11">
        <f>SUMIFS(Data!$J$2:$J$1534,Data!$E$2:$E$1534,$A63,Data!$C$2:$C$1534,"EXPENSES")</f>
        <v>440605</v>
      </c>
      <c r="F63" s="11">
        <f>SUMIFS(Data!$K$2:$K$1534,Data!$E$2:$E$1534,$A63,Data!$C$2:$C$1534,"EXPENSES")</f>
        <v>497212</v>
      </c>
      <c r="G63" s="11">
        <f>SUMIFS(Data!$L$2:$L$1534,Data!$E$2:$E$1534,$A63,Data!$C$2:$C$1534,"EXPENSES")</f>
        <v>506704</v>
      </c>
      <c r="H63" s="21">
        <f t="shared" si="4"/>
        <v>-9297</v>
      </c>
      <c r="I63" s="15">
        <f t="shared" si="5"/>
        <v>-2.066450026894746E-2</v>
      </c>
      <c r="J63" s="10" t="str">
        <f>IF(ABS(H63)&lt;Overview!$B$6,"OK",IF(D63=0,"REVIEW (zero base)",IF(ABS(H63/ABS(D63))&gt;=Overview!$B$5,"REVIEW","OK")))</f>
        <v>OK</v>
      </c>
      <c r="K63" s="21">
        <f t="shared" si="6"/>
        <v>56607</v>
      </c>
      <c r="L63" s="15">
        <f t="shared" si="7"/>
        <v>0.12847561875148944</v>
      </c>
      <c r="M63" s="10" t="str">
        <f>IF(ABS(K63)&lt;Overview!$B$6,"OK",IF(E63=0,"REVIEW (zero base)",IF(ABS(K63/ABS(E63))&gt;=Overview!$B$5,"REVIEW","OK")))</f>
        <v>OK</v>
      </c>
    </row>
    <row r="64" spans="1:13" x14ac:dyDescent="0.2">
      <c r="A64" s="10" t="s">
        <v>136</v>
      </c>
      <c r="B64" s="10" t="s">
        <v>70</v>
      </c>
      <c r="C64" s="11">
        <f>SUMIFS(Data!$H$2:$H$1534,Data!$E$2:$E$1534,$A64,Data!$C$2:$C$1534,"EXPENSES")</f>
        <v>350956</v>
      </c>
      <c r="D64" s="11">
        <f>SUMIFS(Data!$I$2:$I$1534,Data!$E$2:$E$1534,$A64,Data!$C$2:$C$1534,"EXPENSES")</f>
        <v>266362</v>
      </c>
      <c r="E64" s="11">
        <f>SUMIFS(Data!$J$2:$J$1534,Data!$E$2:$E$1534,$A64,Data!$C$2:$C$1534,"EXPENSES")</f>
        <v>305978</v>
      </c>
      <c r="F64" s="11">
        <f>SUMIFS(Data!$K$2:$K$1534,Data!$E$2:$E$1534,$A64,Data!$C$2:$C$1534,"EXPENSES")</f>
        <v>355660</v>
      </c>
      <c r="G64" s="11">
        <f>SUMIFS(Data!$L$2:$L$1534,Data!$E$2:$E$1534,$A64,Data!$C$2:$C$1534,"EXPENSES")</f>
        <v>361836</v>
      </c>
      <c r="H64" s="21">
        <f t="shared" si="4"/>
        <v>39616</v>
      </c>
      <c r="I64" s="15">
        <f t="shared" si="5"/>
        <v>0.14872992393809928</v>
      </c>
      <c r="J64" s="10" t="str">
        <f>IF(ABS(H64)&lt;Overview!$B$6,"OK",IF(D64=0,"REVIEW (zero base)",IF(ABS(H64/ABS(D64))&gt;=Overview!$B$5,"REVIEW","OK")))</f>
        <v>OK</v>
      </c>
      <c r="K64" s="21">
        <f t="shared" si="6"/>
        <v>49682</v>
      </c>
      <c r="L64" s="15">
        <f t="shared" si="7"/>
        <v>0.16237115086705581</v>
      </c>
      <c r="M64" s="10" t="str">
        <f>IF(ABS(K64)&lt;Overview!$B$6,"OK",IF(E64=0,"REVIEW (zero base)",IF(ABS(K64/ABS(E64))&gt;=Overview!$B$5,"REVIEW","OK")))</f>
        <v>OK</v>
      </c>
    </row>
    <row r="65" spans="1:13" x14ac:dyDescent="0.2">
      <c r="A65" s="10" t="s">
        <v>137</v>
      </c>
      <c r="B65" s="10" t="s">
        <v>62</v>
      </c>
      <c r="C65" s="11">
        <f>SUMIFS(Data!$H$2:$H$1534,Data!$E$2:$E$1534,$A65,Data!$C$2:$C$1534,"EXPENSES")</f>
        <v>293653</v>
      </c>
      <c r="D65" s="11">
        <f>SUMIFS(Data!$I$2:$I$1534,Data!$E$2:$E$1534,$A65,Data!$C$2:$C$1534,"EXPENSES")</f>
        <v>267192</v>
      </c>
      <c r="E65" s="11">
        <f>SUMIFS(Data!$J$2:$J$1534,Data!$E$2:$E$1534,$A65,Data!$C$2:$C$1534,"EXPENSES")</f>
        <v>272150</v>
      </c>
      <c r="F65" s="11">
        <f>SUMIFS(Data!$K$2:$K$1534,Data!$E$2:$E$1534,$A65,Data!$C$2:$C$1534,"EXPENSES")</f>
        <v>300625</v>
      </c>
      <c r="G65" s="11">
        <f>SUMIFS(Data!$L$2:$L$1534,Data!$E$2:$E$1534,$A65,Data!$C$2:$C$1534,"EXPENSES")</f>
        <v>306007</v>
      </c>
      <c r="H65" s="21">
        <f t="shared" si="4"/>
        <v>4958</v>
      </c>
      <c r="I65" s="15">
        <f t="shared" si="5"/>
        <v>1.855594478876613E-2</v>
      </c>
      <c r="J65" s="10" t="str">
        <f>IF(ABS(H65)&lt;Overview!$B$6,"OK",IF(D65=0,"REVIEW (zero base)",IF(ABS(H65/ABS(D65))&gt;=Overview!$B$5,"REVIEW","OK")))</f>
        <v>OK</v>
      </c>
      <c r="K65" s="21">
        <f t="shared" si="6"/>
        <v>28475</v>
      </c>
      <c r="L65" s="15">
        <f t="shared" si="7"/>
        <v>0.10462979974278891</v>
      </c>
      <c r="M65" s="10" t="str">
        <f>IF(ABS(K65)&lt;Overview!$B$6,"OK",IF(E65=0,"REVIEW (zero base)",IF(ABS(K65/ABS(E65))&gt;=Overview!$B$5,"REVIEW","OK")))</f>
        <v>OK</v>
      </c>
    </row>
    <row r="66" spans="1:13" x14ac:dyDescent="0.2">
      <c r="A66" s="10" t="s">
        <v>138</v>
      </c>
      <c r="B66" s="10" t="s">
        <v>63</v>
      </c>
      <c r="C66" s="11">
        <f>SUMIFS(Data!$H$2:$H$1534,Data!$E$2:$E$1534,$A66,Data!$C$2:$C$1534,"EXPENSES")</f>
        <v>62710</v>
      </c>
      <c r="D66" s="11">
        <f>SUMIFS(Data!$I$2:$I$1534,Data!$E$2:$E$1534,$A66,Data!$C$2:$C$1534,"EXPENSES")</f>
        <v>58676</v>
      </c>
      <c r="E66" s="11">
        <f>SUMIFS(Data!$J$2:$J$1534,Data!$E$2:$E$1534,$A66,Data!$C$2:$C$1534,"EXPENSES")</f>
        <v>111880</v>
      </c>
      <c r="F66" s="11">
        <f>SUMIFS(Data!$K$2:$K$1534,Data!$E$2:$E$1534,$A66,Data!$C$2:$C$1534,"EXPENSES")</f>
        <v>127459</v>
      </c>
      <c r="G66" s="11">
        <f>SUMIFS(Data!$L$2:$L$1534,Data!$E$2:$E$1534,$A66,Data!$C$2:$C$1534,"EXPENSES")</f>
        <v>128803</v>
      </c>
      <c r="H66" s="21">
        <f t="shared" si="4"/>
        <v>53204</v>
      </c>
      <c r="I66" s="15">
        <f t="shared" si="5"/>
        <v>0.90674210920989839</v>
      </c>
      <c r="J66" s="10" t="str">
        <f>IF(ABS(H66)&lt;Overview!$B$6,"OK",IF(D66=0,"REVIEW (zero base)",IF(ABS(H66/ABS(D66))&gt;=Overview!$B$5,"REVIEW","OK")))</f>
        <v>OK</v>
      </c>
      <c r="K66" s="21">
        <f t="shared" si="6"/>
        <v>15579</v>
      </c>
      <c r="L66" s="15">
        <f t="shared" si="7"/>
        <v>0.13924740793707543</v>
      </c>
      <c r="M66" s="10" t="str">
        <f>IF(ABS(K66)&lt;Overview!$B$6,"OK",IF(E66=0,"REVIEW (zero base)",IF(ABS(K66/ABS(E66))&gt;=Overview!$B$5,"REVIEW","OK")))</f>
        <v>OK</v>
      </c>
    </row>
    <row r="67" spans="1:13" x14ac:dyDescent="0.2">
      <c r="A67" s="10" t="s">
        <v>139</v>
      </c>
      <c r="B67" s="10" t="s">
        <v>66</v>
      </c>
      <c r="C67" s="11">
        <f>SUMIFS(Data!$H$2:$H$1534,Data!$E$2:$E$1534,$A67,Data!$C$2:$C$1534,"EXPENSES")</f>
        <v>91284</v>
      </c>
      <c r="D67" s="11">
        <f>SUMIFS(Data!$I$2:$I$1534,Data!$E$2:$E$1534,$A67,Data!$C$2:$C$1534,"EXPENSES")</f>
        <v>94686</v>
      </c>
      <c r="E67" s="11">
        <f>SUMIFS(Data!$J$2:$J$1534,Data!$E$2:$E$1534,$A67,Data!$C$2:$C$1534,"EXPENSES")</f>
        <v>99085</v>
      </c>
      <c r="F67" s="11">
        <f>SUMIFS(Data!$K$2:$K$1534,Data!$E$2:$E$1534,$A67,Data!$C$2:$C$1534,"EXPENSES")</f>
        <v>109470</v>
      </c>
      <c r="G67" s="11">
        <f>SUMIFS(Data!$L$2:$L$1534,Data!$E$2:$E$1534,$A67,Data!$C$2:$C$1534,"EXPENSES")</f>
        <v>111528</v>
      </c>
      <c r="H67" s="21">
        <f t="shared" si="4"/>
        <v>4399</v>
      </c>
      <c r="I67" s="15">
        <f t="shared" si="5"/>
        <v>4.6458821789916144E-2</v>
      </c>
      <c r="J67" s="10" t="str">
        <f>IF(ABS(H67)&lt;Overview!$B$6,"OK",IF(D67=0,"REVIEW (zero base)",IF(ABS(H67/ABS(D67))&gt;=Overview!$B$5,"REVIEW","OK")))</f>
        <v>OK</v>
      </c>
      <c r="K67" s="21">
        <f t="shared" si="6"/>
        <v>10385</v>
      </c>
      <c r="L67" s="15">
        <f t="shared" si="7"/>
        <v>0.10480900237170107</v>
      </c>
      <c r="M67" s="10" t="str">
        <f>IF(ABS(K67)&lt;Overview!$B$6,"OK",IF(E67=0,"REVIEW (zero base)",IF(ABS(K67/ABS(E67))&gt;=Overview!$B$5,"REVIEW","OK")))</f>
        <v>OK</v>
      </c>
    </row>
    <row r="68" spans="1:13" x14ac:dyDescent="0.2">
      <c r="A68" s="10" t="s">
        <v>140</v>
      </c>
      <c r="B68" s="10" t="s">
        <v>63</v>
      </c>
      <c r="C68" s="11">
        <f>SUMIFS(Data!$H$2:$H$1534,Data!$E$2:$E$1534,$A68,Data!$C$2:$C$1534,"EXPENSES")</f>
        <v>24123</v>
      </c>
      <c r="D68" s="11">
        <f>SUMIFS(Data!$I$2:$I$1534,Data!$E$2:$E$1534,$A68,Data!$C$2:$C$1534,"EXPENSES")</f>
        <v>55032</v>
      </c>
      <c r="E68" s="11">
        <f>SUMIFS(Data!$J$2:$J$1534,Data!$E$2:$E$1534,$A68,Data!$C$2:$C$1534,"EXPENSES")</f>
        <v>50690</v>
      </c>
      <c r="F68" s="11">
        <f>SUMIFS(Data!$K$2:$K$1534,Data!$E$2:$E$1534,$A68,Data!$C$2:$C$1534,"EXPENSES")</f>
        <v>50960</v>
      </c>
      <c r="G68" s="11">
        <f>SUMIFS(Data!$L$2:$L$1534,Data!$E$2:$E$1534,$A68,Data!$C$2:$C$1534,"EXPENSES")</f>
        <v>51317</v>
      </c>
      <c r="H68" s="21">
        <f t="shared" si="4"/>
        <v>-4342</v>
      </c>
      <c r="I68" s="15">
        <f t="shared" si="5"/>
        <v>-7.8899549353103643E-2</v>
      </c>
      <c r="J68" s="10" t="str">
        <f>IF(ABS(H68)&lt;Overview!$B$6,"OK",IF(D68=0,"REVIEW (zero base)",IF(ABS(H68/ABS(D68))&gt;=Overview!$B$5,"REVIEW","OK")))</f>
        <v>OK</v>
      </c>
      <c r="K68" s="21">
        <f t="shared" si="6"/>
        <v>270</v>
      </c>
      <c r="L68" s="15">
        <f t="shared" si="7"/>
        <v>5.3264943775892682E-3</v>
      </c>
      <c r="M68" s="10" t="str">
        <f>IF(ABS(K68)&lt;Overview!$B$6,"OK",IF(E68=0,"REVIEW (zero base)",IF(ABS(K68/ABS(E68))&gt;=Overview!$B$5,"REVIEW","OK")))</f>
        <v>OK</v>
      </c>
    </row>
    <row r="69" spans="1:13" x14ac:dyDescent="0.2">
      <c r="A69" s="10" t="s">
        <v>141</v>
      </c>
      <c r="B69" s="10" t="s">
        <v>62</v>
      </c>
      <c r="C69" s="11">
        <f>SUMIFS(Data!$H$2:$H$1534,Data!$E$2:$E$1534,$A69,Data!$C$2:$C$1534,"EXPENSES")</f>
        <v>17500</v>
      </c>
      <c r="D69" s="11">
        <f>SUMIFS(Data!$I$2:$I$1534,Data!$E$2:$E$1534,$A69,Data!$C$2:$C$1534,"EXPENSES")</f>
        <v>20627</v>
      </c>
      <c r="E69" s="11">
        <f>SUMIFS(Data!$J$2:$J$1534,Data!$E$2:$E$1534,$A69,Data!$C$2:$C$1534,"EXPENSES")</f>
        <v>19866</v>
      </c>
      <c r="F69" s="11">
        <f>SUMIFS(Data!$K$2:$K$1534,Data!$E$2:$E$1534,$A69,Data!$C$2:$C$1534,"EXPENSES")</f>
        <v>19866</v>
      </c>
      <c r="G69" s="11">
        <f>SUMIFS(Data!$L$2:$L$1534,Data!$E$2:$E$1534,$A69,Data!$C$2:$C$1534,"EXPENSES")</f>
        <v>19880</v>
      </c>
      <c r="H69" s="21">
        <f t="shared" ref="H69:H77" si="8">E69-D69</f>
        <v>-761</v>
      </c>
      <c r="I69" s="15">
        <f t="shared" ref="I69:I100" si="9">IF(D69=0,"n/a",H69/ABS(D69))</f>
        <v>-3.6893392155912155E-2</v>
      </c>
      <c r="J69" s="10" t="str">
        <f>IF(ABS(H69)&lt;Overview!$B$6,"OK",IF(D69=0,"REVIEW (zero base)",IF(ABS(H69/ABS(D69))&gt;=Overview!$B$5,"REVIEW","OK")))</f>
        <v>OK</v>
      </c>
      <c r="K69" s="21">
        <f t="shared" ref="K69:K77" si="10">F69-E69</f>
        <v>0</v>
      </c>
      <c r="L69" s="15">
        <f t="shared" ref="L69:L100" si="11">IF(E69=0,"n/a",K69/ABS(E69))</f>
        <v>0</v>
      </c>
      <c r="M69" s="10" t="str">
        <f>IF(ABS(K69)&lt;Overview!$B$6,"OK",IF(E69=0,"REVIEW (zero base)",IF(ABS(K69/ABS(E69))&gt;=Overview!$B$5,"REVIEW","OK")))</f>
        <v>OK</v>
      </c>
    </row>
    <row r="70" spans="1:13" x14ac:dyDescent="0.2">
      <c r="A70" s="10" t="s">
        <v>142</v>
      </c>
      <c r="B70" s="10" t="s">
        <v>59</v>
      </c>
      <c r="C70" s="11">
        <f>SUMIFS(Data!$H$2:$H$1534,Data!$E$2:$E$1534,$A70,Data!$C$2:$C$1534,"EXPENSES")</f>
        <v>15255</v>
      </c>
      <c r="D70" s="11">
        <f>SUMIFS(Data!$I$2:$I$1534,Data!$E$2:$E$1534,$A70,Data!$C$2:$C$1534,"EXPENSES")</f>
        <v>19334</v>
      </c>
      <c r="E70" s="11">
        <f>SUMIFS(Data!$J$2:$J$1534,Data!$E$2:$E$1534,$A70,Data!$C$2:$C$1534,"EXPENSES")</f>
        <v>17453</v>
      </c>
      <c r="F70" s="11">
        <f>SUMIFS(Data!$K$2:$K$1534,Data!$E$2:$E$1534,$A70,Data!$C$2:$C$1534,"EXPENSES")</f>
        <v>17224</v>
      </c>
      <c r="G70" s="11">
        <f>SUMIFS(Data!$L$2:$L$1534,Data!$E$2:$E$1534,$A70,Data!$C$2:$C$1534,"EXPENSES")</f>
        <v>17236</v>
      </c>
      <c r="H70" s="21">
        <f t="shared" si="8"/>
        <v>-1881</v>
      </c>
      <c r="I70" s="15">
        <f t="shared" si="9"/>
        <v>-9.7289748629357603E-2</v>
      </c>
      <c r="J70" s="10" t="str">
        <f>IF(ABS(H70)&lt;Overview!$B$6,"OK",IF(D70=0,"REVIEW (zero base)",IF(ABS(H70/ABS(D70))&gt;=Overview!$B$5,"REVIEW","OK")))</f>
        <v>OK</v>
      </c>
      <c r="K70" s="21">
        <f t="shared" si="10"/>
        <v>-229</v>
      </c>
      <c r="L70" s="15">
        <f t="shared" si="11"/>
        <v>-1.312095341775053E-2</v>
      </c>
      <c r="M70" s="10" t="str">
        <f>IF(ABS(K70)&lt;Overview!$B$6,"OK",IF(E70=0,"REVIEW (zero base)",IF(ABS(K70/ABS(E70))&gt;=Overview!$B$5,"REVIEW","OK")))</f>
        <v>OK</v>
      </c>
    </row>
    <row r="71" spans="1:13" x14ac:dyDescent="0.2">
      <c r="A71" s="10" t="s">
        <v>143</v>
      </c>
      <c r="B71" s="10" t="s">
        <v>62</v>
      </c>
      <c r="C71" s="11">
        <f>SUMIFS(Data!$H$2:$H$1534,Data!$E$2:$E$1534,$A71,Data!$C$2:$C$1534,"EXPENSES")</f>
        <v>14111</v>
      </c>
      <c r="D71" s="11">
        <f>SUMIFS(Data!$I$2:$I$1534,Data!$E$2:$E$1534,$A71,Data!$C$2:$C$1534,"EXPENSES")</f>
        <v>11866</v>
      </c>
      <c r="E71" s="11">
        <f>SUMIFS(Data!$J$2:$J$1534,Data!$E$2:$E$1534,$A71,Data!$C$2:$C$1534,"EXPENSES")</f>
        <v>14020</v>
      </c>
      <c r="F71" s="11">
        <f>SUMIFS(Data!$K$2:$K$1534,Data!$E$2:$E$1534,$A71,Data!$C$2:$C$1534,"EXPENSES")</f>
        <v>14020</v>
      </c>
      <c r="G71" s="11">
        <f>SUMIFS(Data!$L$2:$L$1534,Data!$E$2:$E$1534,$A71,Data!$C$2:$C$1534,"EXPENSES")</f>
        <v>14030</v>
      </c>
      <c r="H71" s="21">
        <f t="shared" si="8"/>
        <v>2154</v>
      </c>
      <c r="I71" s="15">
        <f t="shared" si="9"/>
        <v>0.18152705208157763</v>
      </c>
      <c r="J71" s="10" t="str">
        <f>IF(ABS(H71)&lt;Overview!$B$6,"OK",IF(D71=0,"REVIEW (zero base)",IF(ABS(H71/ABS(D71))&gt;=Overview!$B$5,"REVIEW","OK")))</f>
        <v>OK</v>
      </c>
      <c r="K71" s="21">
        <f t="shared" si="10"/>
        <v>0</v>
      </c>
      <c r="L71" s="15">
        <f t="shared" si="11"/>
        <v>0</v>
      </c>
      <c r="M71" s="10" t="str">
        <f>IF(ABS(K71)&lt;Overview!$B$6,"OK",IF(E71=0,"REVIEW (zero base)",IF(ABS(K71/ABS(E71))&gt;=Overview!$B$5,"REVIEW","OK")))</f>
        <v>OK</v>
      </c>
    </row>
    <row r="72" spans="1:13" x14ac:dyDescent="0.2">
      <c r="A72" s="10" t="s">
        <v>144</v>
      </c>
      <c r="B72" s="10" t="s">
        <v>54</v>
      </c>
      <c r="C72" s="11">
        <f>SUMIFS(Data!$H$2:$H$1534,Data!$E$2:$E$1534,$A72,Data!$C$2:$C$1534,"EXPENSES")</f>
        <v>7500</v>
      </c>
      <c r="D72" s="11">
        <f>SUMIFS(Data!$I$2:$I$1534,Data!$E$2:$E$1534,$A72,Data!$C$2:$C$1534,"EXPENSES")</f>
        <v>7500</v>
      </c>
      <c r="E72" s="11">
        <f>SUMIFS(Data!$J$2:$J$1534,Data!$E$2:$E$1534,$A72,Data!$C$2:$C$1534,"EXPENSES")</f>
        <v>9030</v>
      </c>
      <c r="F72" s="11">
        <f>SUMIFS(Data!$K$2:$K$1534,Data!$E$2:$E$1534,$A72,Data!$C$2:$C$1534,"EXPENSES")</f>
        <v>9030</v>
      </c>
      <c r="G72" s="11">
        <f>SUMIFS(Data!$L$2:$L$1534,Data!$E$2:$E$1534,$A72,Data!$C$2:$C$1534,"EXPENSES")</f>
        <v>9030</v>
      </c>
      <c r="H72" s="21">
        <f t="shared" si="8"/>
        <v>1530</v>
      </c>
      <c r="I72" s="15">
        <f t="shared" si="9"/>
        <v>0.20399999999999999</v>
      </c>
      <c r="J72" s="10" t="str">
        <f>IF(ABS(H72)&lt;Overview!$B$6,"OK",IF(D72=0,"REVIEW (zero base)",IF(ABS(H72/ABS(D72))&gt;=Overview!$B$5,"REVIEW","OK")))</f>
        <v>OK</v>
      </c>
      <c r="K72" s="21">
        <f t="shared" si="10"/>
        <v>0</v>
      </c>
      <c r="L72" s="15">
        <f t="shared" si="11"/>
        <v>0</v>
      </c>
      <c r="M72" s="10" t="str">
        <f>IF(ABS(K72)&lt;Overview!$B$6,"OK",IF(E72=0,"REVIEW (zero base)",IF(ABS(K72/ABS(E72))&gt;=Overview!$B$5,"REVIEW","OK")))</f>
        <v>OK</v>
      </c>
    </row>
    <row r="73" spans="1:13" x14ac:dyDescent="0.2">
      <c r="A73" s="10" t="s">
        <v>145</v>
      </c>
      <c r="B73" s="10" t="s">
        <v>63</v>
      </c>
      <c r="C73" s="11">
        <f>SUMIFS(Data!$H$2:$H$1534,Data!$E$2:$E$1534,$A73,Data!$C$2:$C$1534,"EXPENSES")</f>
        <v>7089</v>
      </c>
      <c r="D73" s="11">
        <f>SUMIFS(Data!$I$2:$I$1534,Data!$E$2:$E$1534,$A73,Data!$C$2:$C$1534,"EXPENSES")</f>
        <v>8122</v>
      </c>
      <c r="E73" s="11">
        <f>SUMIFS(Data!$J$2:$J$1534,Data!$E$2:$E$1534,$A73,Data!$C$2:$C$1534,"EXPENSES")</f>
        <v>8448</v>
      </c>
      <c r="F73" s="11">
        <f>SUMIFS(Data!$K$2:$K$1534,Data!$E$2:$E$1534,$A73,Data!$C$2:$C$1534,"EXPENSES")</f>
        <v>8612</v>
      </c>
      <c r="G73" s="11">
        <f>SUMIFS(Data!$L$2:$L$1534,Data!$E$2:$E$1534,$A73,Data!$C$2:$C$1534,"EXPENSES")</f>
        <v>8618</v>
      </c>
      <c r="H73" s="21">
        <f t="shared" si="8"/>
        <v>326</v>
      </c>
      <c r="I73" s="15">
        <f t="shared" si="9"/>
        <v>4.0137897069687269E-2</v>
      </c>
      <c r="J73" s="10" t="str">
        <f>IF(ABS(H73)&lt;Overview!$B$6,"OK",IF(D73=0,"REVIEW (zero base)",IF(ABS(H73/ABS(D73))&gt;=Overview!$B$5,"REVIEW","OK")))</f>
        <v>OK</v>
      </c>
      <c r="K73" s="21">
        <f t="shared" si="10"/>
        <v>164</v>
      </c>
      <c r="L73" s="15">
        <f t="shared" si="11"/>
        <v>1.9412878787878788E-2</v>
      </c>
      <c r="M73" s="10" t="str">
        <f>IF(ABS(K73)&lt;Overview!$B$6,"OK",IF(E73=0,"REVIEW (zero base)",IF(ABS(K73/ABS(E73))&gt;=Overview!$B$5,"REVIEW","OK")))</f>
        <v>OK</v>
      </c>
    </row>
    <row r="74" spans="1:13" x14ac:dyDescent="0.2">
      <c r="A74" s="10" t="s">
        <v>146</v>
      </c>
      <c r="B74" s="10" t="s">
        <v>58</v>
      </c>
      <c r="C74" s="11">
        <f>SUMIFS(Data!$H$2:$H$1534,Data!$E$2:$E$1534,$A74,Data!$C$2:$C$1534,"EXPENSES")</f>
        <v>0</v>
      </c>
      <c r="D74" s="11">
        <f>SUMIFS(Data!$I$2:$I$1534,Data!$E$2:$E$1534,$A74,Data!$C$2:$C$1534,"EXPENSES")</f>
        <v>-256</v>
      </c>
      <c r="E74" s="11">
        <f>SUMIFS(Data!$J$2:$J$1534,Data!$E$2:$E$1534,$A74,Data!$C$2:$C$1534,"EXPENSES")</f>
        <v>0</v>
      </c>
      <c r="F74" s="11">
        <f>SUMIFS(Data!$K$2:$K$1534,Data!$E$2:$E$1534,$A74,Data!$C$2:$C$1534,"EXPENSES")</f>
        <v>0</v>
      </c>
      <c r="G74" s="11">
        <f>SUMIFS(Data!$L$2:$L$1534,Data!$E$2:$E$1534,$A74,Data!$C$2:$C$1534,"EXPENSES")</f>
        <v>0</v>
      </c>
      <c r="H74" s="21">
        <f t="shared" si="8"/>
        <v>256</v>
      </c>
      <c r="I74" s="15">
        <f t="shared" si="9"/>
        <v>1</v>
      </c>
      <c r="J74" s="10" t="str">
        <f>IF(ABS(H74)&lt;Overview!$B$6,"OK",IF(D74=0,"REVIEW (zero base)",IF(ABS(H74/ABS(D74))&gt;=Overview!$B$5,"REVIEW","OK")))</f>
        <v>OK</v>
      </c>
      <c r="K74" s="21">
        <f t="shared" si="10"/>
        <v>0</v>
      </c>
      <c r="L74" s="15" t="str">
        <f t="shared" si="11"/>
        <v>n/a</v>
      </c>
      <c r="M74" s="10" t="str">
        <f>IF(ABS(K74)&lt;Overview!$B$6,"OK",IF(E74=0,"REVIEW (zero base)",IF(ABS(K74/ABS(E74))&gt;=Overview!$B$5,"REVIEW","OK")))</f>
        <v>OK</v>
      </c>
    </row>
    <row r="75" spans="1:13" x14ac:dyDescent="0.2">
      <c r="A75" s="10" t="s">
        <v>147</v>
      </c>
      <c r="B75" s="10" t="s">
        <v>62</v>
      </c>
      <c r="C75" s="11">
        <f>SUMIFS(Data!$H$2:$H$1534,Data!$E$2:$E$1534,$A75,Data!$C$2:$C$1534,"EXPENSES")</f>
        <v>0</v>
      </c>
      <c r="D75" s="11">
        <f>SUMIFS(Data!$I$2:$I$1534,Data!$E$2:$E$1534,$A75,Data!$C$2:$C$1534,"EXPENSES")</f>
        <v>4</v>
      </c>
      <c r="E75" s="11">
        <f>SUMIFS(Data!$J$2:$J$1534,Data!$E$2:$E$1534,$A75,Data!$C$2:$C$1534,"EXPENSES")</f>
        <v>0</v>
      </c>
      <c r="F75" s="11">
        <f>SUMIFS(Data!$K$2:$K$1534,Data!$E$2:$E$1534,$A75,Data!$C$2:$C$1534,"EXPENSES")</f>
        <v>0</v>
      </c>
      <c r="G75" s="11">
        <f>SUMIFS(Data!$L$2:$L$1534,Data!$E$2:$E$1534,$A75,Data!$C$2:$C$1534,"EXPENSES")</f>
        <v>0</v>
      </c>
      <c r="H75" s="21">
        <f t="shared" si="8"/>
        <v>-4</v>
      </c>
      <c r="I75" s="15">
        <f t="shared" si="9"/>
        <v>-1</v>
      </c>
      <c r="J75" s="10" t="str">
        <f>IF(ABS(H75)&lt;Overview!$B$6,"OK",IF(D75=0,"REVIEW (zero base)",IF(ABS(H75/ABS(D75))&gt;=Overview!$B$5,"REVIEW","OK")))</f>
        <v>OK</v>
      </c>
      <c r="K75" s="21">
        <f t="shared" si="10"/>
        <v>0</v>
      </c>
      <c r="L75" s="15" t="str">
        <f t="shared" si="11"/>
        <v>n/a</v>
      </c>
      <c r="M75" s="10" t="str">
        <f>IF(ABS(K75)&lt;Overview!$B$6,"OK",IF(E75=0,"REVIEW (zero base)",IF(ABS(K75/ABS(E75))&gt;=Overview!$B$5,"REVIEW","OK")))</f>
        <v>OK</v>
      </c>
    </row>
    <row r="76" spans="1:13" x14ac:dyDescent="0.2">
      <c r="A76" s="10" t="s">
        <v>148</v>
      </c>
      <c r="B76" s="10" t="s">
        <v>63</v>
      </c>
      <c r="C76" s="11">
        <f>SUMIFS(Data!$H$2:$H$1534,Data!$E$2:$E$1534,$A76,Data!$C$2:$C$1534,"EXPENSES")</f>
        <v>10568</v>
      </c>
      <c r="D76" s="11">
        <f>SUMIFS(Data!$I$2:$I$1534,Data!$E$2:$E$1534,$A76,Data!$C$2:$C$1534,"EXPENSES")</f>
        <v>0</v>
      </c>
      <c r="E76" s="11">
        <f>SUMIFS(Data!$J$2:$J$1534,Data!$E$2:$E$1534,$A76,Data!$C$2:$C$1534,"EXPENSES")</f>
        <v>0</v>
      </c>
      <c r="F76" s="11">
        <f>SUMIFS(Data!$K$2:$K$1534,Data!$E$2:$E$1534,$A76,Data!$C$2:$C$1534,"EXPENSES")</f>
        <v>0</v>
      </c>
      <c r="G76" s="11">
        <f>SUMIFS(Data!$L$2:$L$1534,Data!$E$2:$E$1534,$A76,Data!$C$2:$C$1534,"EXPENSES")</f>
        <v>0</v>
      </c>
      <c r="H76" s="21">
        <f t="shared" si="8"/>
        <v>0</v>
      </c>
      <c r="I76" s="15" t="str">
        <f t="shared" si="9"/>
        <v>n/a</v>
      </c>
      <c r="J76" s="10" t="str">
        <f>IF(ABS(H76)&lt;Overview!$B$6,"OK",IF(D76=0,"REVIEW (zero base)",IF(ABS(H76/ABS(D76))&gt;=Overview!$B$5,"REVIEW","OK")))</f>
        <v>OK</v>
      </c>
      <c r="K76" s="21">
        <f t="shared" si="10"/>
        <v>0</v>
      </c>
      <c r="L76" s="15" t="str">
        <f t="shared" si="11"/>
        <v>n/a</v>
      </c>
      <c r="M76" s="10" t="str">
        <f>IF(ABS(K76)&lt;Overview!$B$6,"OK",IF(E76=0,"REVIEW (zero base)",IF(ABS(K76/ABS(E76))&gt;=Overview!$B$5,"REVIEW","OK")))</f>
        <v>OK</v>
      </c>
    </row>
    <row r="77" spans="1:13" x14ac:dyDescent="0.2">
      <c r="A77" s="22" t="s">
        <v>72</v>
      </c>
      <c r="B77" s="25"/>
      <c r="C77" s="23">
        <f>SUM(C5:C76)</f>
        <v>489443567</v>
      </c>
      <c r="D77" s="23">
        <f>SUM(D5:D76)</f>
        <v>483004372</v>
      </c>
      <c r="E77" s="23">
        <f>SUM(E5:E76)</f>
        <v>510917760</v>
      </c>
      <c r="F77" s="23">
        <f>SUM(F5:F76)</f>
        <v>539937743</v>
      </c>
      <c r="G77" s="23">
        <f>SUM(G5:G76)</f>
        <v>556002789</v>
      </c>
      <c r="H77" s="23">
        <f t="shared" si="8"/>
        <v>27913388</v>
      </c>
      <c r="I77" s="24">
        <f t="shared" si="9"/>
        <v>5.7791170469984894E-2</v>
      </c>
      <c r="J77" s="22" t="str">
        <f>IF(ABS(H77)&lt;Overview!$B$6,"OK",IF(D77=0,"REVIEW (zero base)",IF(ABS(H77/ABS(D77))&gt;=Overview!$B$5,"REVIEW","OK")))</f>
        <v>OK</v>
      </c>
      <c r="K77" s="23">
        <f t="shared" si="10"/>
        <v>29019983</v>
      </c>
      <c r="L77" s="24">
        <f t="shared" si="11"/>
        <v>5.6799714693809039E-2</v>
      </c>
      <c r="M77" s="22" t="str">
        <f>IF(ABS(K77)&lt;Overview!$B$6,"OK",IF(E77=0,"REVIEW (zero base)",IF(ABS(K77/ABS(E77))&gt;=Overview!$B$5,"REVIEW","OK")))</f>
        <v>OK</v>
      </c>
    </row>
    <row r="78" spans="1:13" x14ac:dyDescent="0.2">
      <c r="A78" s="3" t="s">
        <v>73</v>
      </c>
      <c r="C78" s="26">
        <f>C77-SUMIFS(Data!$H$2:$H$1534,Data!$C$2:$C$1534,"EXPENSES")</f>
        <v>0</v>
      </c>
      <c r="D78" s="26">
        <f>D77-SUMIFS(Data!$I$2:$I$1534,Data!$C$2:$C$1534,"EXPENSES")</f>
        <v>0</v>
      </c>
      <c r="E78" s="26">
        <f>E77-SUMIFS(Data!$J$2:$J$1534,Data!$C$2:$C$1534,"EXPENSES")</f>
        <v>0</v>
      </c>
      <c r="F78" s="26">
        <f>F77-SUMIFS(Data!$K$2:$K$1534,Data!$C$2:$C$1534,"EXPENSES")</f>
        <v>0</v>
      </c>
      <c r="G78" s="26">
        <f>G77-SUMIFS(Data!$L$2:$L$1534,Data!$C$2:$C$1534,"EXPENSES")</f>
        <v>0</v>
      </c>
    </row>
  </sheetData>
  <conditionalFormatting sqref="J5:J76">
    <cfRule type="expression" dxfId="4" priority="2">
      <formula>LEFT(J5,6)="REVIEW"</formula>
    </cfRule>
  </conditionalFormatting>
  <conditionalFormatting sqref="M5:M76">
    <cfRule type="expression" dxfId="3" priority="3">
      <formula>LEFT(M5,6)="REVIEW"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1"/>
  <sheetViews>
    <sheetView zoomScaleNormal="100" workbookViewId="0">
      <selection activeCell="G27" sqref="G27"/>
    </sheetView>
  </sheetViews>
  <sheetFormatPr baseColWidth="10" defaultColWidth="8.6640625" defaultRowHeight="15" x14ac:dyDescent="0.2"/>
  <cols>
    <col min="1" max="1" width="6" customWidth="1"/>
    <col min="2" max="2" width="9" customWidth="1"/>
    <col min="3" max="3" width="30" customWidth="1"/>
    <col min="4" max="4" width="34" customWidth="1"/>
    <col min="5" max="5" width="36" customWidth="1"/>
    <col min="6" max="7" width="14" customWidth="1"/>
    <col min="8" max="9" width="15" customWidth="1"/>
    <col min="10" max="10" width="12" customWidth="1"/>
    <col min="11" max="11" width="18" customWidth="1"/>
    <col min="12" max="12" width="50" customWidth="1"/>
  </cols>
  <sheetData>
    <row r="1" spans="1:11" ht="18" x14ac:dyDescent="0.2">
      <c r="A1" s="2" t="s">
        <v>149</v>
      </c>
    </row>
    <row r="2" spans="1:11" x14ac:dyDescent="0.2">
      <c r="A2" s="3" t="s">
        <v>150</v>
      </c>
    </row>
    <row r="4" spans="1:11" ht="39.75" customHeight="1" x14ac:dyDescent="0.2">
      <c r="A4" s="20" t="s">
        <v>151</v>
      </c>
      <c r="B4" s="20" t="s">
        <v>152</v>
      </c>
      <c r="C4" s="20" t="s">
        <v>43</v>
      </c>
      <c r="D4" s="20" t="s">
        <v>76</v>
      </c>
      <c r="E4" s="20" t="s">
        <v>153</v>
      </c>
      <c r="F4" s="20" t="s">
        <v>45</v>
      </c>
      <c r="G4" s="20" t="s">
        <v>46</v>
      </c>
      <c r="H4" s="20" t="s">
        <v>47</v>
      </c>
      <c r="I4" s="20" t="s">
        <v>49</v>
      </c>
      <c r="J4" s="20" t="s">
        <v>50</v>
      </c>
      <c r="K4" s="20" t="s">
        <v>51</v>
      </c>
    </row>
    <row r="5" spans="1:11" x14ac:dyDescent="0.2">
      <c r="A5" s="10">
        <v>1</v>
      </c>
      <c r="B5" s="10">
        <f>MATCH(LARGE(Data!$S$2:$S$1534,A5),Data!$S$2:$S$1534,0)</f>
        <v>1100</v>
      </c>
      <c r="C5" s="27" t="str">
        <f>INDEX(Data!$D$2:$D$1534,$B5)</f>
        <v>Public Safety</v>
      </c>
      <c r="D5" s="27" t="str">
        <f>INDEX(Data!$E$2:$E$1534,$B5)</f>
        <v>101-302: Police</v>
      </c>
      <c r="E5" s="27" t="str">
        <f>INDEX(Data!$G$2:$G$1534,$B5)</f>
        <v>SALARIES</v>
      </c>
      <c r="F5" s="11">
        <f>INDEX(Data!$I$2:$I$1534,$B5)</f>
        <v>18995717</v>
      </c>
      <c r="G5" s="11">
        <f>INDEX(Data!$J$2:$J$1534,$B5)</f>
        <v>36519784</v>
      </c>
      <c r="H5" s="11">
        <f>INDEX(Data!$K$2:$K$1534,$B5)</f>
        <v>38765000</v>
      </c>
      <c r="I5" s="11">
        <f>INDEX(Data!$M$2:$M$1534,$B5)</f>
        <v>17524067</v>
      </c>
      <c r="J5" s="28">
        <f>INDEX(Data!$N$2:$N$1534,$B5)</f>
        <v>0.92252727285840275</v>
      </c>
      <c r="K5" s="27" t="str">
        <f>INDEX(Data!$O$2:$O$1534,$B5)</f>
        <v>REVIEW</v>
      </c>
    </row>
    <row r="6" spans="1:11" x14ac:dyDescent="0.2">
      <c r="A6" s="10">
        <v>2</v>
      </c>
      <c r="B6" s="10">
        <f>MATCH(LARGE(Data!$S$2:$S$1534,A6),Data!$S$2:$S$1534,0)</f>
        <v>1172</v>
      </c>
      <c r="C6" s="27" t="str">
        <f>INDEX(Data!$D$2:$D$1534,$B6)</f>
        <v>Public Safety</v>
      </c>
      <c r="D6" s="27" t="str">
        <f>INDEX(Data!$E$2:$E$1534,$B6)</f>
        <v>101-303: Fire</v>
      </c>
      <c r="E6" s="27" t="str">
        <f>INDEX(Data!$G$2:$G$1534,$B6)</f>
        <v>SALARIES</v>
      </c>
      <c r="F6" s="11">
        <f>INDEX(Data!$I$2:$I$1534,$B6)</f>
        <v>17713441</v>
      </c>
      <c r="G6" s="11">
        <f>INDEX(Data!$J$2:$J$1534,$B6)</f>
        <v>31499640</v>
      </c>
      <c r="H6" s="11">
        <f>INDEX(Data!$K$2:$K$1534,$B6)</f>
        <v>31398720</v>
      </c>
      <c r="I6" s="11">
        <f>INDEX(Data!$M$2:$M$1534,$B6)</f>
        <v>13786199</v>
      </c>
      <c r="J6" s="28">
        <f>INDEX(Data!$N$2:$N$1534,$B6)</f>
        <v>0.77829028250355192</v>
      </c>
      <c r="K6" s="27" t="str">
        <f>INDEX(Data!$O$2:$O$1534,$B6)</f>
        <v>REVIEW</v>
      </c>
    </row>
    <row r="7" spans="1:11" x14ac:dyDescent="0.2">
      <c r="A7" s="10">
        <v>3</v>
      </c>
      <c r="B7" s="10">
        <f>MATCH(LARGE(Data!$S$2:$S$1534,A7),Data!$S$2:$S$1534,0)</f>
        <v>220</v>
      </c>
      <c r="C7" s="27" t="str">
        <f>INDEX(Data!$D$2:$D$1534,$B7)</f>
        <v>General (Non-Departmental)</v>
      </c>
      <c r="D7" s="27" t="str">
        <f>INDEX(Data!$E$2:$E$1534,$B7)</f>
        <v>101-223: Debt Service</v>
      </c>
      <c r="E7" s="27" t="str">
        <f>INDEX(Data!$G$2:$G$1534,$B7)</f>
        <v>INTEREST RENTAL PAYMENTS - PPBA</v>
      </c>
      <c r="F7" s="11">
        <f>INDEX(Data!$I$2:$I$1534,$B7)</f>
        <v>21223227</v>
      </c>
      <c r="G7" s="11">
        <f>INDEX(Data!$J$2:$J$1534,$B7)</f>
        <v>8047154</v>
      </c>
      <c r="H7" s="11">
        <f>INDEX(Data!$K$2:$K$1534,$B7)</f>
        <v>16010029</v>
      </c>
      <c r="I7" s="11">
        <f>INDEX(Data!$M$2:$M$1534,$B7)</f>
        <v>-13176073</v>
      </c>
      <c r="J7" s="28">
        <f>INDEX(Data!$N$2:$N$1534,$B7)</f>
        <v>-0.62083268486927079</v>
      </c>
      <c r="K7" s="27" t="str">
        <f>INDEX(Data!$O$2:$O$1534,$B7)</f>
        <v>REVIEW</v>
      </c>
    </row>
    <row r="8" spans="1:11" x14ac:dyDescent="0.2">
      <c r="A8" s="10">
        <v>4</v>
      </c>
      <c r="B8" s="10">
        <f>MATCH(LARGE(Data!$S$2:$S$1534,A8),Data!$S$2:$S$1534,0)</f>
        <v>219</v>
      </c>
      <c r="C8" s="27" t="str">
        <f>INDEX(Data!$D$2:$D$1534,$B8)</f>
        <v>General (Non-Departmental)</v>
      </c>
      <c r="D8" s="27" t="str">
        <f>INDEX(Data!$E$2:$E$1534,$B8)</f>
        <v>101-223: Debt Service</v>
      </c>
      <c r="E8" s="27" t="str">
        <f>INDEX(Data!$G$2:$G$1534,$B8)</f>
        <v>PRINCIPAL  RENTAL PAYMENTS - PPBA</v>
      </c>
      <c r="F8" s="11">
        <f>INDEX(Data!$I$2:$I$1534,$B8)</f>
        <v>5432171</v>
      </c>
      <c r="G8" s="11">
        <f>INDEX(Data!$J$2:$J$1534,$B8)</f>
        <v>10410001</v>
      </c>
      <c r="H8" s="11">
        <f>INDEX(Data!$K$2:$K$1534,$B8)</f>
        <v>29864167</v>
      </c>
      <c r="I8" s="11">
        <f>INDEX(Data!$M$2:$M$1534,$B8)</f>
        <v>4977830</v>
      </c>
      <c r="J8" s="28">
        <f>INDEX(Data!$N$2:$N$1534,$B8)</f>
        <v>0.91636106448048116</v>
      </c>
      <c r="K8" s="27" t="str">
        <f>INDEX(Data!$O$2:$O$1534,$B8)</f>
        <v>REVIEW</v>
      </c>
    </row>
    <row r="9" spans="1:11" x14ac:dyDescent="0.2">
      <c r="A9" s="10">
        <v>5</v>
      </c>
      <c r="B9" s="10">
        <f>MATCH(LARGE(Data!$S$2:$S$1534,A9),Data!$S$2:$S$1534,0)</f>
        <v>213</v>
      </c>
      <c r="C9" s="27" t="str">
        <f>INDEX(Data!$D$2:$D$1534,$B9)</f>
        <v>General (Non-Departmental)</v>
      </c>
      <c r="D9" s="27" t="str">
        <f>INDEX(Data!$E$2:$E$1534,$B9)</f>
        <v>101-223: Debt Service</v>
      </c>
      <c r="E9" s="27" t="str">
        <f>INDEX(Data!$G$2:$G$1534,$B9)</f>
        <v>DEBT SERVICE - PRINCIPAL</v>
      </c>
      <c r="F9" s="11">
        <f>INDEX(Data!$I$2:$I$1534,$B9)</f>
        <v>17584223</v>
      </c>
      <c r="G9" s="11">
        <f>INDEX(Data!$J$2:$J$1534,$B9)</f>
        <v>21855410</v>
      </c>
      <c r="H9" s="11">
        <f>INDEX(Data!$K$2:$K$1534,$B9)</f>
        <v>9446223</v>
      </c>
      <c r="I9" s="11">
        <f>INDEX(Data!$M$2:$M$1534,$B9)</f>
        <v>4271187</v>
      </c>
      <c r="J9" s="28">
        <f>INDEX(Data!$N$2:$N$1534,$B9)</f>
        <v>0.24289881901520471</v>
      </c>
      <c r="K9" s="27" t="str">
        <f>INDEX(Data!$O$2:$O$1534,$B9)</f>
        <v>REVIEW</v>
      </c>
    </row>
    <row r="10" spans="1:11" x14ac:dyDescent="0.2">
      <c r="A10" s="10">
        <v>6</v>
      </c>
      <c r="B10" s="10">
        <f>MATCH(LARGE(Data!$S$2:$S$1534,A10),Data!$S$2:$S$1534,0)</f>
        <v>1119</v>
      </c>
      <c r="C10" s="27" t="str">
        <f>INDEX(Data!$D$2:$D$1534,$B10)</f>
        <v>Public Safety</v>
      </c>
      <c r="D10" s="27" t="str">
        <f>INDEX(Data!$E$2:$E$1534,$B10)</f>
        <v>101-302: Police</v>
      </c>
      <c r="E10" s="27" t="str">
        <f>INDEX(Data!$G$2:$G$1534,$B10)</f>
        <v>CITY OF PROVIDENCE PENSION EXPENSE</v>
      </c>
      <c r="F10" s="11">
        <f>INDEX(Data!$I$2:$I$1534,$B10)</f>
        <v>27693212</v>
      </c>
      <c r="G10" s="11">
        <f>INDEX(Data!$J$2:$J$1534,$B10)</f>
        <v>30690292</v>
      </c>
      <c r="H10" s="11">
        <f>INDEX(Data!$K$2:$K$1534,$B10)</f>
        <v>32397111</v>
      </c>
      <c r="I10" s="11">
        <f>INDEX(Data!$M$2:$M$1534,$B10)</f>
        <v>2997080</v>
      </c>
      <c r="J10" s="28">
        <f>INDEX(Data!$N$2:$N$1534,$B10)</f>
        <v>0.10822435476245948</v>
      </c>
      <c r="K10" s="27" t="str">
        <f>INDEX(Data!$O$2:$O$1534,$B10)</f>
        <v>REVIEW</v>
      </c>
    </row>
    <row r="11" spans="1:11" x14ac:dyDescent="0.2">
      <c r="A11" s="10">
        <v>7</v>
      </c>
      <c r="B11" s="10">
        <f>MATCH(LARGE(Data!$S$2:$S$1534,A11),Data!$S$2:$S$1534,0)</f>
        <v>1108</v>
      </c>
      <c r="C11" s="27" t="str">
        <f>INDEX(Data!$D$2:$D$1534,$B11)</f>
        <v>Public Safety</v>
      </c>
      <c r="D11" s="27" t="str">
        <f>INDEX(Data!$E$2:$E$1534,$B11)</f>
        <v>101-302: Police</v>
      </c>
      <c r="E11" s="27" t="str">
        <f>INDEX(Data!$G$2:$G$1534,$B11)</f>
        <v>CALL BACK</v>
      </c>
      <c r="F11" s="11">
        <f>INDEX(Data!$I$2:$I$1534,$B11)</f>
        <v>1291331</v>
      </c>
      <c r="G11" s="11">
        <f>INDEX(Data!$J$2:$J$1534,$B11)</f>
        <v>3500000</v>
      </c>
      <c r="H11" s="11">
        <f>INDEX(Data!$K$2:$K$1534,$B11)</f>
        <v>1450000</v>
      </c>
      <c r="I11" s="11">
        <f>INDEX(Data!$M$2:$M$1534,$B11)</f>
        <v>2208669</v>
      </c>
      <c r="J11" s="28">
        <f>INDEX(Data!$N$2:$N$1534,$B11)</f>
        <v>1.7103817688880698</v>
      </c>
      <c r="K11" s="27" t="str">
        <f>INDEX(Data!$O$2:$O$1534,$B11)</f>
        <v>REVIEW</v>
      </c>
    </row>
    <row r="12" spans="1:11" x14ac:dyDescent="0.2">
      <c r="A12" s="10">
        <v>8</v>
      </c>
      <c r="B12" s="10">
        <f>MATCH(LARGE(Data!$S$2:$S$1534,A12),Data!$S$2:$S$1534,0)</f>
        <v>1106</v>
      </c>
      <c r="C12" s="27" t="str">
        <f>INDEX(Data!$D$2:$D$1534,$B12)</f>
        <v>Public Safety</v>
      </c>
      <c r="D12" s="27" t="str">
        <f>INDEX(Data!$E$2:$E$1534,$B12)</f>
        <v>101-302: Police</v>
      </c>
      <c r="E12" s="27" t="str">
        <f>INDEX(Data!$G$2:$G$1534,$B12)</f>
        <v>VACATION</v>
      </c>
      <c r="F12" s="11">
        <f>INDEX(Data!$I$2:$I$1534,$B12)</f>
        <v>2183873</v>
      </c>
      <c r="G12" s="11">
        <f>INDEX(Data!$J$2:$J$1534,$B12)</f>
        <v>0</v>
      </c>
      <c r="H12" s="11">
        <f>INDEX(Data!$K$2:$K$1534,$B12)</f>
        <v>0</v>
      </c>
      <c r="I12" s="11">
        <f>INDEX(Data!$M$2:$M$1534,$B12)</f>
        <v>-2183873</v>
      </c>
      <c r="J12" s="28">
        <f>INDEX(Data!$N$2:$N$1534,$B12)</f>
        <v>-1</v>
      </c>
      <c r="K12" s="27" t="str">
        <f>INDEX(Data!$O$2:$O$1534,$B12)</f>
        <v>REVIEW</v>
      </c>
    </row>
    <row r="13" spans="1:11" x14ac:dyDescent="0.2">
      <c r="A13" s="10">
        <v>9</v>
      </c>
      <c r="B13" s="10">
        <f>MATCH(LARGE(Data!$S$2:$S$1534,A13),Data!$S$2:$S$1534,0)</f>
        <v>1176</v>
      </c>
      <c r="C13" s="27" t="str">
        <f>INDEX(Data!$D$2:$D$1534,$B13)</f>
        <v>Public Safety</v>
      </c>
      <c r="D13" s="27" t="str">
        <f>INDEX(Data!$E$2:$E$1534,$B13)</f>
        <v>101-303: Fire</v>
      </c>
      <c r="E13" s="27" t="str">
        <f>INDEX(Data!$G$2:$G$1534,$B13)</f>
        <v>VACATION</v>
      </c>
      <c r="F13" s="11">
        <f>INDEX(Data!$I$2:$I$1534,$B13)</f>
        <v>1798963</v>
      </c>
      <c r="G13" s="11">
        <f>INDEX(Data!$J$2:$J$1534,$B13)</f>
        <v>0</v>
      </c>
      <c r="H13" s="11">
        <f>INDEX(Data!$K$2:$K$1534,$B13)</f>
        <v>0</v>
      </c>
      <c r="I13" s="11">
        <f>INDEX(Data!$M$2:$M$1534,$B13)</f>
        <v>-1798963</v>
      </c>
      <c r="J13" s="28">
        <f>INDEX(Data!$N$2:$N$1534,$B13)</f>
        <v>-1</v>
      </c>
      <c r="K13" s="27" t="str">
        <f>INDEX(Data!$O$2:$O$1534,$B13)</f>
        <v>REVIEW</v>
      </c>
    </row>
    <row r="14" spans="1:11" x14ac:dyDescent="0.2">
      <c r="A14" s="10">
        <v>10</v>
      </c>
      <c r="B14" s="10">
        <f>MATCH(LARGE(Data!$S$2:$S$1534,A14),Data!$S$2:$S$1534,0)</f>
        <v>1178</v>
      </c>
      <c r="C14" s="27" t="str">
        <f>INDEX(Data!$D$2:$D$1534,$B14)</f>
        <v>Public Safety</v>
      </c>
      <c r="D14" s="27" t="str">
        <f>INDEX(Data!$E$2:$E$1534,$B14)</f>
        <v>101-303: Fire</v>
      </c>
      <c r="E14" s="27" t="str">
        <f>INDEX(Data!$G$2:$G$1534,$B14)</f>
        <v>CALL BACK</v>
      </c>
      <c r="F14" s="11">
        <f>INDEX(Data!$I$2:$I$1534,$B14)</f>
        <v>3815598</v>
      </c>
      <c r="G14" s="11">
        <f>INDEX(Data!$J$2:$J$1534,$B14)</f>
        <v>5400000</v>
      </c>
      <c r="H14" s="11">
        <f>INDEX(Data!$K$2:$K$1534,$B14)</f>
        <v>5400000</v>
      </c>
      <c r="I14" s="11">
        <f>INDEX(Data!$M$2:$M$1534,$B14)</f>
        <v>1584402</v>
      </c>
      <c r="J14" s="28">
        <f>INDEX(Data!$N$2:$N$1534,$B14)</f>
        <v>0.41524342973237749</v>
      </c>
      <c r="K14" s="27" t="str">
        <f>INDEX(Data!$O$2:$O$1534,$B14)</f>
        <v>REVIEW</v>
      </c>
    </row>
    <row r="15" spans="1:11" x14ac:dyDescent="0.2">
      <c r="A15" s="10">
        <v>11</v>
      </c>
      <c r="B15" s="10">
        <f>MATCH(LARGE(Data!$S$2:$S$1534,A15),Data!$S$2:$S$1534,0)</f>
        <v>1222</v>
      </c>
      <c r="C15" s="27" t="str">
        <f>INDEX(Data!$D$2:$D$1534,$B15)</f>
        <v>Public Safety</v>
      </c>
      <c r="D15" s="27" t="str">
        <f>INDEX(Data!$E$2:$E$1534,$B15)</f>
        <v>101-304: Communications</v>
      </c>
      <c r="E15" s="27" t="str">
        <f>INDEX(Data!$G$2:$G$1534,$B15)</f>
        <v>SALARIES</v>
      </c>
      <c r="F15" s="11">
        <f>INDEX(Data!$I$2:$I$1534,$B15)</f>
        <v>2509881</v>
      </c>
      <c r="G15" s="11">
        <f>INDEX(Data!$J$2:$J$1534,$B15)</f>
        <v>3996901</v>
      </c>
      <c r="H15" s="11">
        <f>INDEX(Data!$K$2:$K$1534,$B15)</f>
        <v>4324684</v>
      </c>
      <c r="I15" s="11">
        <f>INDEX(Data!$M$2:$M$1534,$B15)</f>
        <v>1487020</v>
      </c>
      <c r="J15" s="28">
        <f>INDEX(Data!$N$2:$N$1534,$B15)</f>
        <v>0.59246633605338261</v>
      </c>
      <c r="K15" s="27" t="str">
        <f>INDEX(Data!$O$2:$O$1534,$B15)</f>
        <v>REVIEW</v>
      </c>
    </row>
    <row r="16" spans="1:11" x14ac:dyDescent="0.2">
      <c r="A16" s="10">
        <v>12</v>
      </c>
      <c r="B16" s="10">
        <f>MATCH(LARGE(Data!$S$2:$S$1534,A16),Data!$S$2:$S$1534,0)</f>
        <v>1104</v>
      </c>
      <c r="C16" s="27" t="str">
        <f>INDEX(Data!$D$2:$D$1534,$B16)</f>
        <v>Public Safety</v>
      </c>
      <c r="D16" s="27" t="str">
        <f>INDEX(Data!$E$2:$E$1534,$B16)</f>
        <v>101-302: Police</v>
      </c>
      <c r="E16" s="27" t="str">
        <f>INDEX(Data!$G$2:$G$1534,$B16)</f>
        <v>SICK LEAVE</v>
      </c>
      <c r="F16" s="11">
        <f>INDEX(Data!$I$2:$I$1534,$B16)</f>
        <v>1415261</v>
      </c>
      <c r="G16" s="11">
        <f>INDEX(Data!$J$2:$J$1534,$B16)</f>
        <v>0</v>
      </c>
      <c r="H16" s="11">
        <f>INDEX(Data!$K$2:$K$1534,$B16)</f>
        <v>0</v>
      </c>
      <c r="I16" s="11">
        <f>INDEX(Data!$M$2:$M$1534,$B16)</f>
        <v>-1415261</v>
      </c>
      <c r="J16" s="28">
        <f>INDEX(Data!$N$2:$N$1534,$B16)</f>
        <v>-1</v>
      </c>
      <c r="K16" s="27" t="str">
        <f>INDEX(Data!$O$2:$O$1534,$B16)</f>
        <v>REVIEW</v>
      </c>
    </row>
    <row r="17" spans="1:11" x14ac:dyDescent="0.2">
      <c r="A17" s="10">
        <v>13</v>
      </c>
      <c r="B17" s="10">
        <f>MATCH(LARGE(Data!$S$2:$S$1534,A17),Data!$S$2:$S$1534,0)</f>
        <v>1111</v>
      </c>
      <c r="C17" s="27" t="str">
        <f>INDEX(Data!$D$2:$D$1534,$B17)</f>
        <v>Public Safety</v>
      </c>
      <c r="D17" s="27" t="str">
        <f>INDEX(Data!$E$2:$E$1534,$B17)</f>
        <v>101-302: Police</v>
      </c>
      <c r="E17" s="27" t="str">
        <f>INDEX(Data!$G$2:$G$1534,$B17)</f>
        <v>HOLIDAY</v>
      </c>
      <c r="F17" s="11">
        <f>INDEX(Data!$I$2:$I$1534,$B17)</f>
        <v>1404628</v>
      </c>
      <c r="G17" s="11">
        <f>INDEX(Data!$J$2:$J$1534,$B17)</f>
        <v>0</v>
      </c>
      <c r="H17" s="11">
        <f>INDEX(Data!$K$2:$K$1534,$B17)</f>
        <v>0</v>
      </c>
      <c r="I17" s="11">
        <f>INDEX(Data!$M$2:$M$1534,$B17)</f>
        <v>-1404628</v>
      </c>
      <c r="J17" s="28">
        <f>INDEX(Data!$N$2:$N$1534,$B17)</f>
        <v>-1</v>
      </c>
      <c r="K17" s="27" t="str">
        <f>INDEX(Data!$O$2:$O$1534,$B17)</f>
        <v>REVIEW</v>
      </c>
    </row>
    <row r="18" spans="1:11" x14ac:dyDescent="0.2">
      <c r="A18" s="10">
        <v>14</v>
      </c>
      <c r="B18" s="10">
        <f>MATCH(LARGE(Data!$S$2:$S$1534,A18),Data!$S$2:$S$1534,0)</f>
        <v>210</v>
      </c>
      <c r="C18" s="27" t="str">
        <f>INDEX(Data!$D$2:$D$1534,$B18)</f>
        <v>General (Non-Departmental)</v>
      </c>
      <c r="D18" s="27" t="str">
        <f>INDEX(Data!$E$2:$E$1534,$B18)</f>
        <v>101-01803: Heat Power &amp; Light</v>
      </c>
      <c r="E18" s="27" t="str">
        <f>INDEX(Data!$G$2:$G$1534,$B18)</f>
        <v>HEAT &amp; LIGHT &amp; POWER</v>
      </c>
      <c r="F18" s="11">
        <f>INDEX(Data!$I$2:$I$1534,$B18)</f>
        <v>6032397</v>
      </c>
      <c r="G18" s="11">
        <f>INDEX(Data!$J$2:$J$1534,$B18)</f>
        <v>4642960</v>
      </c>
      <c r="H18" s="11">
        <f>INDEX(Data!$K$2:$K$1534,$B18)</f>
        <v>4578247</v>
      </c>
      <c r="I18" s="11">
        <f>INDEX(Data!$M$2:$M$1534,$B18)</f>
        <v>-1389437</v>
      </c>
      <c r="J18" s="28">
        <f>INDEX(Data!$N$2:$N$1534,$B18)</f>
        <v>-0.23032917097465569</v>
      </c>
      <c r="K18" s="27" t="str">
        <f>INDEX(Data!$O$2:$O$1534,$B18)</f>
        <v>REVIEW</v>
      </c>
    </row>
    <row r="19" spans="1:11" x14ac:dyDescent="0.2">
      <c r="A19" s="10">
        <v>15</v>
      </c>
      <c r="B19" s="10">
        <f>MATCH(LARGE(Data!$S$2:$S$1534,A19),Data!$S$2:$S$1534,0)</f>
        <v>235</v>
      </c>
      <c r="C19" s="27" t="str">
        <f>INDEX(Data!$D$2:$D$1534,$B19)</f>
        <v>General (Non-Departmental)</v>
      </c>
      <c r="D19" s="27" t="str">
        <f>INDEX(Data!$E$2:$E$1534,$B19)</f>
        <v>101-800: Benefits</v>
      </c>
      <c r="E19" s="27" t="str">
        <f>INDEX(Data!$G$2:$G$1534,$B19)</f>
        <v>TRANSFER TO RETIREE MEDICAL INS FUND</v>
      </c>
      <c r="F19" s="11">
        <f>INDEX(Data!$I$2:$I$1534,$B19)</f>
        <v>29134481</v>
      </c>
      <c r="G19" s="11">
        <f>INDEX(Data!$J$2:$J$1534,$B19)</f>
        <v>27757393</v>
      </c>
      <c r="H19" s="11">
        <f>INDEX(Data!$K$2:$K$1534,$B19)</f>
        <v>27212182</v>
      </c>
      <c r="I19" s="11">
        <f>INDEX(Data!$M$2:$M$1534,$B19)</f>
        <v>-1377088</v>
      </c>
      <c r="J19" s="28">
        <f>INDEX(Data!$N$2:$N$1534,$B19)</f>
        <v>-4.7266604817844532E-2</v>
      </c>
      <c r="K19" s="27" t="str">
        <f>INDEX(Data!$O$2:$O$1534,$B19)</f>
        <v>OK</v>
      </c>
    </row>
    <row r="21" spans="1:11" x14ac:dyDescent="0.2">
      <c r="A21" s="3" t="s">
        <v>154</v>
      </c>
    </row>
  </sheetData>
  <conditionalFormatting sqref="K5:K19">
    <cfRule type="expression" dxfId="2" priority="2">
      <formula>LEFT(K5,6)="REVIEW"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534"/>
  <sheetViews>
    <sheetView zoomScaleNormal="100" workbookViewId="0">
      <selection activeCell="I4" sqref="I4"/>
    </sheetView>
  </sheetViews>
  <sheetFormatPr baseColWidth="10" defaultColWidth="8.6640625" defaultRowHeight="15" x14ac:dyDescent="0.2"/>
  <cols>
    <col min="1" max="1" width="7" customWidth="1"/>
    <col min="2" max="2" width="16" customWidth="1"/>
    <col min="3" max="3" width="12" customWidth="1"/>
    <col min="4" max="4" width="30" customWidth="1"/>
    <col min="5" max="5" width="38" customWidth="1"/>
    <col min="6" max="6" width="32" customWidth="1"/>
    <col min="7" max="7" width="36" customWidth="1"/>
    <col min="8" max="10" width="14" customWidth="1"/>
    <col min="11" max="11" width="15" customWidth="1"/>
    <col min="12" max="12" width="14" customWidth="1"/>
    <col min="13" max="13" width="15" customWidth="1"/>
    <col min="14" max="14" width="12" customWidth="1"/>
    <col min="15" max="15" width="18" customWidth="1"/>
    <col min="16" max="16" width="15" customWidth="1"/>
    <col min="17" max="17" width="12" customWidth="1"/>
    <col min="18" max="18" width="18" customWidth="1"/>
    <col min="19" max="19" width="15.6640625" bestFit="1" customWidth="1"/>
  </cols>
  <sheetData>
    <row r="1" spans="1:19" ht="42" customHeight="1" x14ac:dyDescent="0.2">
      <c r="A1" s="29" t="s">
        <v>155</v>
      </c>
      <c r="B1" s="29" t="s">
        <v>156</v>
      </c>
      <c r="C1" s="29" t="s">
        <v>157</v>
      </c>
      <c r="D1" s="29" t="s">
        <v>43</v>
      </c>
      <c r="E1" s="29" t="s">
        <v>76</v>
      </c>
      <c r="F1" s="29" t="s">
        <v>158</v>
      </c>
      <c r="G1" s="29" t="s">
        <v>153</v>
      </c>
      <c r="H1" s="29" t="s">
        <v>159</v>
      </c>
      <c r="I1" s="29" t="s">
        <v>160</v>
      </c>
      <c r="J1" s="29" t="s">
        <v>161</v>
      </c>
      <c r="K1" s="29" t="s">
        <v>162</v>
      </c>
      <c r="L1" s="29" t="s">
        <v>163</v>
      </c>
      <c r="M1" s="29" t="s">
        <v>164</v>
      </c>
      <c r="N1" s="29" t="s">
        <v>165</v>
      </c>
      <c r="O1" s="29" t="s">
        <v>166</v>
      </c>
      <c r="P1" s="29" t="s">
        <v>167</v>
      </c>
      <c r="Q1" s="29" t="s">
        <v>168</v>
      </c>
      <c r="R1" s="29" t="s">
        <v>169</v>
      </c>
      <c r="S1" s="29" t="s">
        <v>170</v>
      </c>
    </row>
    <row r="2" spans="1:19" x14ac:dyDescent="0.2">
      <c r="A2" s="17">
        <v>0</v>
      </c>
      <c r="B2" s="17" t="s">
        <v>171</v>
      </c>
      <c r="C2" s="17" t="s">
        <v>172</v>
      </c>
      <c r="D2" s="17" t="s">
        <v>54</v>
      </c>
      <c r="E2" s="17" t="s">
        <v>77</v>
      </c>
      <c r="F2" s="17" t="s">
        <v>173</v>
      </c>
      <c r="G2" s="17" t="s">
        <v>174</v>
      </c>
      <c r="H2" s="30">
        <v>-275045271</v>
      </c>
      <c r="I2" s="30">
        <v>-280548133</v>
      </c>
      <c r="J2" s="30">
        <v>-274542432</v>
      </c>
      <c r="K2" s="30">
        <v>-281901992</v>
      </c>
      <c r="L2" s="30">
        <v>-287440350</v>
      </c>
      <c r="M2" s="31">
        <f t="shared" ref="M2:M65" si="0">J2-I2</f>
        <v>6005701</v>
      </c>
      <c r="N2" s="32">
        <f t="shared" ref="N2:N65" si="1">IF(I2=0,"n/a",M2/ABS(I2))</f>
        <v>2.1407025367728965E-2</v>
      </c>
      <c r="O2" s="6" t="str">
        <f>IF(ABS(M2)&lt;Overview!$B$6,"OK",IF(I2=0,"REVIEW (zero base)",IF(ABS(M2/ABS(I2))&gt;=Overview!$B$5,"REVIEW","OK")))</f>
        <v>OK</v>
      </c>
      <c r="P2" s="31">
        <f t="shared" ref="P2:P65" si="2">K2-J2</f>
        <v>-7359560</v>
      </c>
      <c r="Q2" s="32">
        <f t="shared" ref="Q2:Q65" si="3">IF(J2=0,"n/a",P2/ABS(J2))</f>
        <v>-2.6806639492433722E-2</v>
      </c>
      <c r="R2" s="6" t="str">
        <f>IF(ABS(P2)&lt;Overview!$B$6,"OK",IF(J2=0,"REVIEW (zero base)",IF(ABS(P2/ABS(J2))&gt;=Overview!$B$5,"REVIEW","OK")))</f>
        <v>OK</v>
      </c>
      <c r="S2" s="33">
        <f t="shared" ref="S2:S65" si="4">IF(C2="EXPENSES",ABS(M2)+ROW()/1000000,0)</f>
        <v>0</v>
      </c>
    </row>
    <row r="3" spans="1:19" x14ac:dyDescent="0.2">
      <c r="A3" s="17">
        <v>1</v>
      </c>
      <c r="B3" s="17" t="s">
        <v>171</v>
      </c>
      <c r="C3" s="17" t="s">
        <v>172</v>
      </c>
      <c r="D3" s="17" t="s">
        <v>54</v>
      </c>
      <c r="E3" s="17" t="s">
        <v>77</v>
      </c>
      <c r="F3" s="17" t="s">
        <v>173</v>
      </c>
      <c r="G3" s="17" t="s">
        <v>175</v>
      </c>
      <c r="H3" s="30">
        <v>-51020530</v>
      </c>
      <c r="I3" s="30">
        <v>-53083749</v>
      </c>
      <c r="J3" s="30">
        <v>-56635839</v>
      </c>
      <c r="K3" s="30">
        <v>-58519773</v>
      </c>
      <c r="L3" s="30">
        <v>-59679372</v>
      </c>
      <c r="M3" s="31">
        <f t="shared" si="0"/>
        <v>-3552090</v>
      </c>
      <c r="N3" s="32">
        <f t="shared" si="1"/>
        <v>-6.6914829244633794E-2</v>
      </c>
      <c r="O3" s="6" t="str">
        <f>IF(ABS(M3)&lt;Overview!$B$6,"OK",IF(I3=0,"REVIEW (zero base)",IF(ABS(M3/ABS(I3))&gt;=Overview!$B$5,"REVIEW","OK")))</f>
        <v>OK</v>
      </c>
      <c r="P3" s="31">
        <f t="shared" si="2"/>
        <v>-1883934</v>
      </c>
      <c r="Q3" s="32">
        <f t="shared" si="3"/>
        <v>-3.3263990315390228E-2</v>
      </c>
      <c r="R3" s="6" t="str">
        <f>IF(ABS(P3)&lt;Overview!$B$6,"OK",IF(J3=0,"REVIEW (zero base)",IF(ABS(P3/ABS(J3))&gt;=Overview!$B$5,"REVIEW","OK")))</f>
        <v>OK</v>
      </c>
      <c r="S3" s="33">
        <f t="shared" si="4"/>
        <v>0</v>
      </c>
    </row>
    <row r="4" spans="1:19" x14ac:dyDescent="0.2">
      <c r="A4" s="17">
        <v>2</v>
      </c>
      <c r="B4" s="17" t="s">
        <v>171</v>
      </c>
      <c r="C4" s="17" t="s">
        <v>172</v>
      </c>
      <c r="D4" s="17" t="s">
        <v>54</v>
      </c>
      <c r="E4" s="17" t="s">
        <v>77</v>
      </c>
      <c r="F4" s="17" t="s">
        <v>173</v>
      </c>
      <c r="G4" s="17" t="s">
        <v>176</v>
      </c>
      <c r="H4" s="30">
        <v>-22865816</v>
      </c>
      <c r="I4" s="30">
        <v>-14961121</v>
      </c>
      <c r="J4" s="30">
        <v>-13238754</v>
      </c>
      <c r="K4" s="30">
        <v>-11407989</v>
      </c>
      <c r="L4" s="30">
        <v>-8407989</v>
      </c>
      <c r="M4" s="31">
        <f t="shared" si="0"/>
        <v>1722367</v>
      </c>
      <c r="N4" s="32">
        <f t="shared" si="1"/>
        <v>0.11512285743828955</v>
      </c>
      <c r="O4" s="6" t="str">
        <f>IF(ABS(M4)&lt;Overview!$B$6,"OK",IF(I4=0,"REVIEW (zero base)",IF(ABS(M4/ABS(I4))&gt;=Overview!$B$5,"REVIEW","OK")))</f>
        <v>REVIEW</v>
      </c>
      <c r="P4" s="31">
        <f t="shared" si="2"/>
        <v>1830765</v>
      </c>
      <c r="Q4" s="32">
        <f t="shared" si="3"/>
        <v>0.13828831625695287</v>
      </c>
      <c r="R4" s="6" t="str">
        <f>IF(ABS(P4)&lt;Overview!$B$6,"OK",IF(J4=0,"REVIEW (zero base)",IF(ABS(P4/ABS(J4))&gt;=Overview!$B$5,"REVIEW","OK")))</f>
        <v>REVIEW</v>
      </c>
      <c r="S4" s="33">
        <f t="shared" si="4"/>
        <v>0</v>
      </c>
    </row>
    <row r="5" spans="1:19" x14ac:dyDescent="0.2">
      <c r="A5" s="17">
        <v>3</v>
      </c>
      <c r="B5" s="17" t="s">
        <v>171</v>
      </c>
      <c r="C5" s="17" t="s">
        <v>172</v>
      </c>
      <c r="D5" s="17" t="s">
        <v>54</v>
      </c>
      <c r="E5" s="17" t="s">
        <v>77</v>
      </c>
      <c r="F5" s="17" t="s">
        <v>177</v>
      </c>
      <c r="G5" s="17" t="s">
        <v>178</v>
      </c>
      <c r="H5" s="30">
        <v>-33187319</v>
      </c>
      <c r="I5" s="30">
        <v>-14199131</v>
      </c>
      <c r="J5" s="30">
        <v>-34077915</v>
      </c>
      <c r="K5" s="30">
        <v>-34027865</v>
      </c>
      <c r="L5" s="30">
        <v>-34027865</v>
      </c>
      <c r="M5" s="31">
        <f t="shared" si="0"/>
        <v>-19878784</v>
      </c>
      <c r="N5" s="32">
        <f t="shared" si="1"/>
        <v>-1.4000000422561072</v>
      </c>
      <c r="O5" s="6" t="str">
        <f>IF(ABS(M5)&lt;Overview!$B$6,"OK",IF(I5=0,"REVIEW (zero base)",IF(ABS(M5/ABS(I5))&gt;=Overview!$B$5,"REVIEW","OK")))</f>
        <v>REVIEW</v>
      </c>
      <c r="P5" s="31">
        <f t="shared" si="2"/>
        <v>50050</v>
      </c>
      <c r="Q5" s="32">
        <f t="shared" si="3"/>
        <v>1.4686931404107324E-3</v>
      </c>
      <c r="R5" s="6" t="str">
        <f>IF(ABS(P5)&lt;Overview!$B$6,"OK",IF(J5=0,"REVIEW (zero base)",IF(ABS(P5/ABS(J5))&gt;=Overview!$B$5,"REVIEW","OK")))</f>
        <v>OK</v>
      </c>
      <c r="S5" s="33">
        <f t="shared" si="4"/>
        <v>0</v>
      </c>
    </row>
    <row r="6" spans="1:19" x14ac:dyDescent="0.2">
      <c r="A6" s="17">
        <v>4</v>
      </c>
      <c r="B6" s="17" t="s">
        <v>171</v>
      </c>
      <c r="C6" s="17" t="s">
        <v>172</v>
      </c>
      <c r="D6" s="17" t="s">
        <v>54</v>
      </c>
      <c r="E6" s="17" t="s">
        <v>77</v>
      </c>
      <c r="F6" s="17" t="s">
        <v>177</v>
      </c>
      <c r="G6" s="17" t="s">
        <v>179</v>
      </c>
      <c r="H6" s="30">
        <v>-23511102</v>
      </c>
      <c r="I6" s="30">
        <v>-25608576</v>
      </c>
      <c r="J6" s="30">
        <v>-21703485</v>
      </c>
      <c r="K6" s="30">
        <v>-23260714</v>
      </c>
      <c r="L6" s="30">
        <v>-21308536</v>
      </c>
      <c r="M6" s="31">
        <f t="shared" si="0"/>
        <v>3905091</v>
      </c>
      <c r="N6" s="32">
        <f t="shared" si="1"/>
        <v>0.15249153252410441</v>
      </c>
      <c r="O6" s="6" t="str">
        <f>IF(ABS(M6)&lt;Overview!$B$6,"OK",IF(I6=0,"REVIEW (zero base)",IF(ABS(M6/ABS(I6))&gt;=Overview!$B$5,"REVIEW","OK")))</f>
        <v>REVIEW</v>
      </c>
      <c r="P6" s="31">
        <f t="shared" si="2"/>
        <v>-1557229</v>
      </c>
      <c r="Q6" s="32">
        <f t="shared" si="3"/>
        <v>-7.1750182056015424E-2</v>
      </c>
      <c r="R6" s="6" t="str">
        <f>IF(ABS(P6)&lt;Overview!$B$6,"OK",IF(J6=0,"REVIEW (zero base)",IF(ABS(P6/ABS(J6))&gt;=Overview!$B$5,"REVIEW","OK")))</f>
        <v>OK</v>
      </c>
      <c r="S6" s="33">
        <f t="shared" si="4"/>
        <v>0</v>
      </c>
    </row>
    <row r="7" spans="1:19" x14ac:dyDescent="0.2">
      <c r="A7" s="17">
        <v>5</v>
      </c>
      <c r="B7" s="17" t="s">
        <v>171</v>
      </c>
      <c r="C7" s="17" t="s">
        <v>172</v>
      </c>
      <c r="D7" s="17" t="s">
        <v>54</v>
      </c>
      <c r="E7" s="17" t="s">
        <v>77</v>
      </c>
      <c r="F7" s="17" t="s">
        <v>177</v>
      </c>
      <c r="G7" s="17" t="s">
        <v>180</v>
      </c>
      <c r="H7" s="30">
        <v>-2262538</v>
      </c>
      <c r="I7" s="30">
        <v>-2234814</v>
      </c>
      <c r="J7" s="30">
        <v>-2262538</v>
      </c>
      <c r="K7" s="30">
        <v>-2234814</v>
      </c>
      <c r="L7" s="30">
        <v>-2234814</v>
      </c>
      <c r="M7" s="31">
        <f t="shared" si="0"/>
        <v>-27724</v>
      </c>
      <c r="N7" s="32">
        <f t="shared" si="1"/>
        <v>-1.2405506677513207E-2</v>
      </c>
      <c r="O7" s="6" t="str">
        <f>IF(ABS(M7)&lt;Overview!$B$6,"OK",IF(I7=0,"REVIEW (zero base)",IF(ABS(M7/ABS(I7))&gt;=Overview!$B$5,"REVIEW","OK")))</f>
        <v>OK</v>
      </c>
      <c r="P7" s="31">
        <f t="shared" si="2"/>
        <v>27724</v>
      </c>
      <c r="Q7" s="32">
        <f t="shared" si="3"/>
        <v>1.2253495852887333E-2</v>
      </c>
      <c r="R7" s="6" t="str">
        <f>IF(ABS(P7)&lt;Overview!$B$6,"OK",IF(J7=0,"REVIEW (zero base)",IF(ABS(P7/ABS(J7))&gt;=Overview!$B$5,"REVIEW","OK")))</f>
        <v>OK</v>
      </c>
      <c r="S7" s="33">
        <f t="shared" si="4"/>
        <v>0</v>
      </c>
    </row>
    <row r="8" spans="1:19" x14ac:dyDescent="0.2">
      <c r="A8" s="17">
        <v>6</v>
      </c>
      <c r="B8" s="17" t="s">
        <v>171</v>
      </c>
      <c r="C8" s="17" t="s">
        <v>172</v>
      </c>
      <c r="D8" s="17" t="s">
        <v>54</v>
      </c>
      <c r="E8" s="17" t="s">
        <v>77</v>
      </c>
      <c r="F8" s="17" t="s">
        <v>177</v>
      </c>
      <c r="G8" s="17" t="s">
        <v>181</v>
      </c>
      <c r="H8" s="30">
        <v>0</v>
      </c>
      <c r="I8" s="30">
        <v>0</v>
      </c>
      <c r="J8" s="30">
        <v>0</v>
      </c>
      <c r="K8" s="30">
        <v>-750000</v>
      </c>
      <c r="L8" s="30">
        <v>-1000000</v>
      </c>
      <c r="M8" s="31">
        <f t="shared" si="0"/>
        <v>0</v>
      </c>
      <c r="N8" s="32" t="str">
        <f t="shared" si="1"/>
        <v>n/a</v>
      </c>
      <c r="O8" s="6" t="str">
        <f>IF(ABS(M8)&lt;Overview!$B$6,"OK",IF(I8=0,"REVIEW (zero base)",IF(ABS(M8/ABS(I8))&gt;=Overview!$B$5,"REVIEW","OK")))</f>
        <v>OK</v>
      </c>
      <c r="P8" s="31">
        <f t="shared" si="2"/>
        <v>-750000</v>
      </c>
      <c r="Q8" s="32" t="str">
        <f t="shared" si="3"/>
        <v>n/a</v>
      </c>
      <c r="R8" s="6" t="str">
        <f>IF(ABS(P8)&lt;Overview!$B$6,"OK",IF(J8=0,"REVIEW (zero base)",IF(ABS(P8/ABS(J8))&gt;=Overview!$B$5,"REVIEW","OK")))</f>
        <v>REVIEW (zero base)</v>
      </c>
      <c r="S8" s="33">
        <f t="shared" si="4"/>
        <v>0</v>
      </c>
    </row>
    <row r="9" spans="1:19" x14ac:dyDescent="0.2">
      <c r="A9" s="17">
        <v>7</v>
      </c>
      <c r="B9" s="17" t="s">
        <v>171</v>
      </c>
      <c r="C9" s="17" t="s">
        <v>172</v>
      </c>
      <c r="D9" s="17" t="s">
        <v>54</v>
      </c>
      <c r="E9" s="17" t="s">
        <v>77</v>
      </c>
      <c r="F9" s="17" t="s">
        <v>177</v>
      </c>
      <c r="G9" s="17" t="s">
        <v>182</v>
      </c>
      <c r="H9" s="30">
        <v>-11661930</v>
      </c>
      <c r="I9" s="30">
        <v>-20503369</v>
      </c>
      <c r="J9" s="30">
        <v>-8543070</v>
      </c>
      <c r="K9" s="30">
        <v>-24588929</v>
      </c>
      <c r="L9" s="30">
        <v>-27588929</v>
      </c>
      <c r="M9" s="31">
        <f t="shared" si="0"/>
        <v>11960299</v>
      </c>
      <c r="N9" s="32">
        <f t="shared" si="1"/>
        <v>0.5833333536551969</v>
      </c>
      <c r="O9" s="6" t="str">
        <f>IF(ABS(M9)&lt;Overview!$B$6,"OK",IF(I9=0,"REVIEW (zero base)",IF(ABS(M9/ABS(I9))&gt;=Overview!$B$5,"REVIEW","OK")))</f>
        <v>REVIEW</v>
      </c>
      <c r="P9" s="31">
        <f t="shared" si="2"/>
        <v>-16045859</v>
      </c>
      <c r="Q9" s="32">
        <f t="shared" si="3"/>
        <v>-1.8782310106320093</v>
      </c>
      <c r="R9" s="6" t="str">
        <f>IF(ABS(P9)&lt;Overview!$B$6,"OK",IF(J9=0,"REVIEW (zero base)",IF(ABS(P9/ABS(J9))&gt;=Overview!$B$5,"REVIEW","OK")))</f>
        <v>REVIEW</v>
      </c>
      <c r="S9" s="33">
        <f t="shared" si="4"/>
        <v>0</v>
      </c>
    </row>
    <row r="10" spans="1:19" x14ac:dyDescent="0.2">
      <c r="A10" s="17">
        <v>8</v>
      </c>
      <c r="B10" s="17" t="s">
        <v>171</v>
      </c>
      <c r="C10" s="17" t="s">
        <v>172</v>
      </c>
      <c r="D10" s="17" t="s">
        <v>54</v>
      </c>
      <c r="E10" s="17" t="s">
        <v>77</v>
      </c>
      <c r="F10" s="17" t="s">
        <v>177</v>
      </c>
      <c r="G10" s="17" t="s">
        <v>183</v>
      </c>
      <c r="H10" s="30">
        <v>-5606831</v>
      </c>
      <c r="I10" s="30">
        <v>-5155694</v>
      </c>
      <c r="J10" s="30">
        <v>-1120549</v>
      </c>
      <c r="K10" s="30">
        <v>-5265375</v>
      </c>
      <c r="L10" s="30">
        <v>-5265375</v>
      </c>
      <c r="M10" s="31">
        <f t="shared" si="0"/>
        <v>4035145</v>
      </c>
      <c r="N10" s="32">
        <f t="shared" si="1"/>
        <v>0.78265797000365034</v>
      </c>
      <c r="O10" s="6" t="str">
        <f>IF(ABS(M10)&lt;Overview!$B$6,"OK",IF(I10=0,"REVIEW (zero base)",IF(ABS(M10/ABS(I10))&gt;=Overview!$B$5,"REVIEW","OK")))</f>
        <v>REVIEW</v>
      </c>
      <c r="P10" s="31">
        <f t="shared" si="2"/>
        <v>-4144826</v>
      </c>
      <c r="Q10" s="32">
        <f t="shared" si="3"/>
        <v>-3.6989243665381881</v>
      </c>
      <c r="R10" s="6" t="str">
        <f>IF(ABS(P10)&lt;Overview!$B$6,"OK",IF(J10=0,"REVIEW (zero base)",IF(ABS(P10/ABS(J10))&gt;=Overview!$B$5,"REVIEW","OK")))</f>
        <v>REVIEW</v>
      </c>
      <c r="S10" s="33">
        <f t="shared" si="4"/>
        <v>0</v>
      </c>
    </row>
    <row r="11" spans="1:19" x14ac:dyDescent="0.2">
      <c r="A11" s="17">
        <v>9</v>
      </c>
      <c r="B11" s="17" t="s">
        <v>171</v>
      </c>
      <c r="C11" s="17" t="s">
        <v>172</v>
      </c>
      <c r="D11" s="17" t="s">
        <v>54</v>
      </c>
      <c r="E11" s="17" t="s">
        <v>77</v>
      </c>
      <c r="F11" s="17" t="s">
        <v>177</v>
      </c>
      <c r="G11" s="17" t="s">
        <v>184</v>
      </c>
      <c r="H11" s="30">
        <v>-5586483</v>
      </c>
      <c r="I11" s="30">
        <v>-5252178</v>
      </c>
      <c r="J11" s="30">
        <v>-4972708</v>
      </c>
      <c r="K11" s="30">
        <v>-5282907</v>
      </c>
      <c r="L11" s="30">
        <v>-6650532</v>
      </c>
      <c r="M11" s="31">
        <f t="shared" si="0"/>
        <v>279470</v>
      </c>
      <c r="N11" s="32">
        <f t="shared" si="1"/>
        <v>5.3210306276748429E-2</v>
      </c>
      <c r="O11" s="6" t="str">
        <f>IF(ABS(M11)&lt;Overview!$B$6,"OK",IF(I11=0,"REVIEW (zero base)",IF(ABS(M11/ABS(I11))&gt;=Overview!$B$5,"REVIEW","OK")))</f>
        <v>OK</v>
      </c>
      <c r="P11" s="31">
        <f t="shared" si="2"/>
        <v>-310199</v>
      </c>
      <c r="Q11" s="32">
        <f t="shared" si="3"/>
        <v>-6.2380296611021603E-2</v>
      </c>
      <c r="R11" s="6" t="str">
        <f>IF(ABS(P11)&lt;Overview!$B$6,"OK",IF(J11=0,"REVIEW (zero base)",IF(ABS(P11/ABS(J11))&gt;=Overview!$B$5,"REVIEW","OK")))</f>
        <v>OK</v>
      </c>
      <c r="S11" s="33">
        <f t="shared" si="4"/>
        <v>0</v>
      </c>
    </row>
    <row r="12" spans="1:19" x14ac:dyDescent="0.2">
      <c r="A12" s="17">
        <v>10</v>
      </c>
      <c r="B12" s="17" t="s">
        <v>171</v>
      </c>
      <c r="C12" s="17" t="s">
        <v>172</v>
      </c>
      <c r="D12" s="17" t="s">
        <v>54</v>
      </c>
      <c r="E12" s="17" t="s">
        <v>77</v>
      </c>
      <c r="F12" s="17" t="s">
        <v>185</v>
      </c>
      <c r="G12" s="17" t="s">
        <v>186</v>
      </c>
      <c r="H12" s="30">
        <v>0</v>
      </c>
      <c r="I12" s="30">
        <v>0</v>
      </c>
      <c r="J12" s="30">
        <v>-26494542</v>
      </c>
      <c r="K12" s="30">
        <v>0</v>
      </c>
      <c r="L12" s="30">
        <v>0</v>
      </c>
      <c r="M12" s="31">
        <f t="shared" si="0"/>
        <v>-26494542</v>
      </c>
      <c r="N12" s="32" t="str">
        <f t="shared" si="1"/>
        <v>n/a</v>
      </c>
      <c r="O12" s="6" t="str">
        <f>IF(ABS(M12)&lt;Overview!$B$6,"OK",IF(I12=0,"REVIEW (zero base)",IF(ABS(M12/ABS(I12))&gt;=Overview!$B$5,"REVIEW","OK")))</f>
        <v>REVIEW (zero base)</v>
      </c>
      <c r="P12" s="31">
        <f t="shared" si="2"/>
        <v>26494542</v>
      </c>
      <c r="Q12" s="32">
        <f t="shared" si="3"/>
        <v>1</v>
      </c>
      <c r="R12" s="6" t="str">
        <f>IF(ABS(P12)&lt;Overview!$B$6,"OK",IF(J12=0,"REVIEW (zero base)",IF(ABS(P12/ABS(J12))&gt;=Overview!$B$5,"REVIEW","OK")))</f>
        <v>REVIEW</v>
      </c>
      <c r="S12" s="33">
        <f t="shared" si="4"/>
        <v>0</v>
      </c>
    </row>
    <row r="13" spans="1:19" x14ac:dyDescent="0.2">
      <c r="A13" s="17">
        <v>11</v>
      </c>
      <c r="B13" s="17" t="s">
        <v>171</v>
      </c>
      <c r="C13" s="17" t="s">
        <v>172</v>
      </c>
      <c r="D13" s="17" t="s">
        <v>54</v>
      </c>
      <c r="E13" s="17" t="s">
        <v>77</v>
      </c>
      <c r="F13" s="17" t="s">
        <v>187</v>
      </c>
      <c r="G13" s="17" t="s">
        <v>188</v>
      </c>
      <c r="H13" s="30">
        <v>0</v>
      </c>
      <c r="I13" s="30">
        <v>-155408</v>
      </c>
      <c r="J13" s="30">
        <v>0</v>
      </c>
      <c r="K13" s="30">
        <v>0</v>
      </c>
      <c r="L13" s="30">
        <v>0</v>
      </c>
      <c r="M13" s="31">
        <f t="shared" si="0"/>
        <v>155408</v>
      </c>
      <c r="N13" s="32">
        <f t="shared" si="1"/>
        <v>1</v>
      </c>
      <c r="O13" s="6" t="str">
        <f>IF(ABS(M13)&lt;Overview!$B$6,"OK",IF(I13=0,"REVIEW (zero base)",IF(ABS(M13/ABS(I13))&gt;=Overview!$B$5,"REVIEW","OK")))</f>
        <v>OK</v>
      </c>
      <c r="P13" s="31">
        <f t="shared" si="2"/>
        <v>0</v>
      </c>
      <c r="Q13" s="32" t="str">
        <f t="shared" si="3"/>
        <v>n/a</v>
      </c>
      <c r="R13" s="6" t="str">
        <f>IF(ABS(P13)&lt;Overview!$B$6,"OK",IF(J13=0,"REVIEW (zero base)",IF(ABS(P13/ABS(J13))&gt;=Overview!$B$5,"REVIEW","OK")))</f>
        <v>OK</v>
      </c>
      <c r="S13" s="33">
        <f t="shared" si="4"/>
        <v>0</v>
      </c>
    </row>
    <row r="14" spans="1:19" x14ac:dyDescent="0.2">
      <c r="A14" s="17">
        <v>12</v>
      </c>
      <c r="B14" s="17" t="s">
        <v>171</v>
      </c>
      <c r="C14" s="17" t="s">
        <v>172</v>
      </c>
      <c r="D14" s="17" t="s">
        <v>54</v>
      </c>
      <c r="E14" s="17" t="s">
        <v>77</v>
      </c>
      <c r="F14" s="17" t="s">
        <v>189</v>
      </c>
      <c r="G14" s="17" t="s">
        <v>190</v>
      </c>
      <c r="H14" s="30">
        <v>0</v>
      </c>
      <c r="I14" s="30">
        <v>0</v>
      </c>
      <c r="J14" s="30">
        <v>-1009927</v>
      </c>
      <c r="K14" s="30">
        <v>-1009927</v>
      </c>
      <c r="L14" s="30">
        <v>-1009927</v>
      </c>
      <c r="M14" s="31">
        <f t="shared" si="0"/>
        <v>-1009927</v>
      </c>
      <c r="N14" s="32" t="str">
        <f t="shared" si="1"/>
        <v>n/a</v>
      </c>
      <c r="O14" s="6" t="str">
        <f>IF(ABS(M14)&lt;Overview!$B$6,"OK",IF(I14=0,"REVIEW (zero base)",IF(ABS(M14/ABS(I14))&gt;=Overview!$B$5,"REVIEW","OK")))</f>
        <v>REVIEW (zero base)</v>
      </c>
      <c r="P14" s="31">
        <f t="shared" si="2"/>
        <v>0</v>
      </c>
      <c r="Q14" s="32">
        <f t="shared" si="3"/>
        <v>0</v>
      </c>
      <c r="R14" s="6" t="str">
        <f>IF(ABS(P14)&lt;Overview!$B$6,"OK",IF(J14=0,"REVIEW (zero base)",IF(ABS(P14/ABS(J14))&gt;=Overview!$B$5,"REVIEW","OK")))</f>
        <v>OK</v>
      </c>
      <c r="S14" s="33">
        <f t="shared" si="4"/>
        <v>0</v>
      </c>
    </row>
    <row r="15" spans="1:19" x14ac:dyDescent="0.2">
      <c r="A15" s="17">
        <v>13</v>
      </c>
      <c r="B15" s="17" t="s">
        <v>171</v>
      </c>
      <c r="C15" s="17" t="s">
        <v>172</v>
      </c>
      <c r="D15" s="17" t="s">
        <v>54</v>
      </c>
      <c r="E15" s="17" t="s">
        <v>77</v>
      </c>
      <c r="F15" s="17" t="s">
        <v>189</v>
      </c>
      <c r="G15" s="17" t="s">
        <v>191</v>
      </c>
      <c r="H15" s="30">
        <v>0</v>
      </c>
      <c r="I15" s="30">
        <v>0</v>
      </c>
      <c r="J15" s="30">
        <v>1009927</v>
      </c>
      <c r="K15" s="30">
        <v>1009927</v>
      </c>
      <c r="L15" s="30">
        <v>1009927</v>
      </c>
      <c r="M15" s="31">
        <f t="shared" si="0"/>
        <v>1009927</v>
      </c>
      <c r="N15" s="32" t="str">
        <f t="shared" si="1"/>
        <v>n/a</v>
      </c>
      <c r="O15" s="6" t="str">
        <f>IF(ABS(M15)&lt;Overview!$B$6,"OK",IF(I15=0,"REVIEW (zero base)",IF(ABS(M15/ABS(I15))&gt;=Overview!$B$5,"REVIEW","OK")))</f>
        <v>REVIEW (zero base)</v>
      </c>
      <c r="P15" s="31">
        <f t="shared" si="2"/>
        <v>0</v>
      </c>
      <c r="Q15" s="32">
        <f t="shared" si="3"/>
        <v>0</v>
      </c>
      <c r="R15" s="6" t="str">
        <f>IF(ABS(P15)&lt;Overview!$B$6,"OK",IF(J15=0,"REVIEW (zero base)",IF(ABS(P15/ABS(J15))&gt;=Overview!$B$5,"REVIEW","OK")))</f>
        <v>OK</v>
      </c>
      <c r="S15" s="33">
        <f t="shared" si="4"/>
        <v>0</v>
      </c>
    </row>
    <row r="16" spans="1:19" x14ac:dyDescent="0.2">
      <c r="A16" s="17">
        <v>14</v>
      </c>
      <c r="B16" s="17" t="s">
        <v>171</v>
      </c>
      <c r="C16" s="17" t="s">
        <v>172</v>
      </c>
      <c r="D16" s="17" t="s">
        <v>54</v>
      </c>
      <c r="E16" s="17" t="s">
        <v>77</v>
      </c>
      <c r="F16" s="17" t="s">
        <v>192</v>
      </c>
      <c r="G16" s="17" t="s">
        <v>193</v>
      </c>
      <c r="H16" s="30">
        <v>-7397</v>
      </c>
      <c r="I16" s="30">
        <v>-11886</v>
      </c>
      <c r="J16" s="30">
        <v>0</v>
      </c>
      <c r="K16" s="30">
        <v>0</v>
      </c>
      <c r="L16" s="30">
        <v>0</v>
      </c>
      <c r="M16" s="31">
        <f t="shared" si="0"/>
        <v>11886</v>
      </c>
      <c r="N16" s="32">
        <f t="shared" si="1"/>
        <v>1</v>
      </c>
      <c r="O16" s="6" t="str">
        <f>IF(ABS(M16)&lt;Overview!$B$6,"OK",IF(I16=0,"REVIEW (zero base)",IF(ABS(M16/ABS(I16))&gt;=Overview!$B$5,"REVIEW","OK")))</f>
        <v>OK</v>
      </c>
      <c r="P16" s="31">
        <f t="shared" si="2"/>
        <v>0</v>
      </c>
      <c r="Q16" s="32" t="str">
        <f t="shared" si="3"/>
        <v>n/a</v>
      </c>
      <c r="R16" s="6" t="str">
        <f>IF(ABS(P16)&lt;Overview!$B$6,"OK",IF(J16=0,"REVIEW (zero base)",IF(ABS(P16/ABS(J16))&gt;=Overview!$B$5,"REVIEW","OK")))</f>
        <v>OK</v>
      </c>
      <c r="S16" s="33">
        <f t="shared" si="4"/>
        <v>0</v>
      </c>
    </row>
    <row r="17" spans="1:19" x14ac:dyDescent="0.2">
      <c r="A17" s="17">
        <v>15</v>
      </c>
      <c r="B17" s="17" t="s">
        <v>171</v>
      </c>
      <c r="C17" s="17" t="s">
        <v>172</v>
      </c>
      <c r="D17" s="17" t="s">
        <v>54</v>
      </c>
      <c r="E17" s="17" t="s">
        <v>77</v>
      </c>
      <c r="F17" s="17" t="s">
        <v>192</v>
      </c>
      <c r="G17" s="17" t="s">
        <v>194</v>
      </c>
      <c r="H17" s="30">
        <v>-178207</v>
      </c>
      <c r="I17" s="30">
        <v>-38628</v>
      </c>
      <c r="J17" s="30">
        <v>0</v>
      </c>
      <c r="K17" s="30">
        <v>0</v>
      </c>
      <c r="L17" s="30">
        <v>0</v>
      </c>
      <c r="M17" s="31">
        <f t="shared" si="0"/>
        <v>38628</v>
      </c>
      <c r="N17" s="32">
        <f t="shared" si="1"/>
        <v>1</v>
      </c>
      <c r="O17" s="6" t="str">
        <f>IF(ABS(M17)&lt;Overview!$B$6,"OK",IF(I17=0,"REVIEW (zero base)",IF(ABS(M17/ABS(I17))&gt;=Overview!$B$5,"REVIEW","OK")))</f>
        <v>OK</v>
      </c>
      <c r="P17" s="31">
        <f t="shared" si="2"/>
        <v>0</v>
      </c>
      <c r="Q17" s="32" t="str">
        <f t="shared" si="3"/>
        <v>n/a</v>
      </c>
      <c r="R17" s="6" t="str">
        <f>IF(ABS(P17)&lt;Overview!$B$6,"OK",IF(J17=0,"REVIEW (zero base)",IF(ABS(P17/ABS(J17))&gt;=Overview!$B$5,"REVIEW","OK")))</f>
        <v>OK</v>
      </c>
      <c r="S17" s="33">
        <f t="shared" si="4"/>
        <v>0</v>
      </c>
    </row>
    <row r="18" spans="1:19" x14ac:dyDescent="0.2">
      <c r="A18" s="17">
        <v>16</v>
      </c>
      <c r="B18" s="17" t="s">
        <v>171</v>
      </c>
      <c r="C18" s="17" t="s">
        <v>172</v>
      </c>
      <c r="D18" s="17" t="s">
        <v>54</v>
      </c>
      <c r="E18" s="17" t="s">
        <v>77</v>
      </c>
      <c r="F18" s="17" t="s">
        <v>192</v>
      </c>
      <c r="G18" s="17" t="s">
        <v>195</v>
      </c>
      <c r="H18" s="30">
        <v>-3911930</v>
      </c>
      <c r="I18" s="30">
        <v>-2708591</v>
      </c>
      <c r="J18" s="30">
        <v>0</v>
      </c>
      <c r="K18" s="30">
        <v>0</v>
      </c>
      <c r="L18" s="30">
        <v>0</v>
      </c>
      <c r="M18" s="31">
        <f t="shared" si="0"/>
        <v>2708591</v>
      </c>
      <c r="N18" s="32">
        <f t="shared" si="1"/>
        <v>1</v>
      </c>
      <c r="O18" s="6" t="str">
        <f>IF(ABS(M18)&lt;Overview!$B$6,"OK",IF(I18=0,"REVIEW (zero base)",IF(ABS(M18/ABS(I18))&gt;=Overview!$B$5,"REVIEW","OK")))</f>
        <v>REVIEW</v>
      </c>
      <c r="P18" s="31">
        <f t="shared" si="2"/>
        <v>0</v>
      </c>
      <c r="Q18" s="32" t="str">
        <f t="shared" si="3"/>
        <v>n/a</v>
      </c>
      <c r="R18" s="6" t="str">
        <f>IF(ABS(P18)&lt;Overview!$B$6,"OK",IF(J18=0,"REVIEW (zero base)",IF(ABS(P18/ABS(J18))&gt;=Overview!$B$5,"REVIEW","OK")))</f>
        <v>OK</v>
      </c>
      <c r="S18" s="33">
        <f t="shared" si="4"/>
        <v>0</v>
      </c>
    </row>
    <row r="19" spans="1:19" x14ac:dyDescent="0.2">
      <c r="A19" s="17">
        <v>17</v>
      </c>
      <c r="B19" s="17" t="s">
        <v>171</v>
      </c>
      <c r="C19" s="17" t="s">
        <v>172</v>
      </c>
      <c r="D19" s="17" t="s">
        <v>54</v>
      </c>
      <c r="E19" s="17" t="s">
        <v>77</v>
      </c>
      <c r="F19" s="17" t="s">
        <v>192</v>
      </c>
      <c r="G19" s="17" t="s">
        <v>196</v>
      </c>
      <c r="H19" s="30">
        <v>-294254</v>
      </c>
      <c r="I19" s="30">
        <v>-199995</v>
      </c>
      <c r="J19" s="30">
        <v>0</v>
      </c>
      <c r="K19" s="30">
        <v>0</v>
      </c>
      <c r="L19" s="30">
        <v>0</v>
      </c>
      <c r="M19" s="31">
        <f t="shared" si="0"/>
        <v>199995</v>
      </c>
      <c r="N19" s="32">
        <f t="shared" si="1"/>
        <v>1</v>
      </c>
      <c r="O19" s="6" t="str">
        <f>IF(ABS(M19)&lt;Overview!$B$6,"OK",IF(I19=0,"REVIEW (zero base)",IF(ABS(M19/ABS(I19))&gt;=Overview!$B$5,"REVIEW","OK")))</f>
        <v>OK</v>
      </c>
      <c r="P19" s="31">
        <f t="shared" si="2"/>
        <v>0</v>
      </c>
      <c r="Q19" s="32" t="str">
        <f t="shared" si="3"/>
        <v>n/a</v>
      </c>
      <c r="R19" s="6" t="str">
        <f>IF(ABS(P19)&lt;Overview!$B$6,"OK",IF(J19=0,"REVIEW (zero base)",IF(ABS(P19/ABS(J19))&gt;=Overview!$B$5,"REVIEW","OK")))</f>
        <v>OK</v>
      </c>
      <c r="S19" s="33">
        <f t="shared" si="4"/>
        <v>0</v>
      </c>
    </row>
    <row r="20" spans="1:19" x14ac:dyDescent="0.2">
      <c r="A20" s="17">
        <v>18</v>
      </c>
      <c r="B20" s="17" t="s">
        <v>171</v>
      </c>
      <c r="C20" s="17" t="s">
        <v>172</v>
      </c>
      <c r="D20" s="17" t="s">
        <v>54</v>
      </c>
      <c r="E20" s="17" t="s">
        <v>77</v>
      </c>
      <c r="F20" s="17" t="s">
        <v>192</v>
      </c>
      <c r="G20" s="17" t="s">
        <v>197</v>
      </c>
      <c r="H20" s="30">
        <v>-14220</v>
      </c>
      <c r="I20" s="30">
        <v>-15365</v>
      </c>
      <c r="J20" s="30">
        <v>-3180576</v>
      </c>
      <c r="K20" s="30">
        <v>-3180576</v>
      </c>
      <c r="L20" s="30">
        <v>-5000000</v>
      </c>
      <c r="M20" s="31">
        <f t="shared" si="0"/>
        <v>-3165211</v>
      </c>
      <c r="N20" s="32">
        <f t="shared" si="1"/>
        <v>-206.00136674259682</v>
      </c>
      <c r="O20" s="6" t="str">
        <f>IF(ABS(M20)&lt;Overview!$B$6,"OK",IF(I20=0,"REVIEW (zero base)",IF(ABS(M20/ABS(I20))&gt;=Overview!$B$5,"REVIEW","OK")))</f>
        <v>REVIEW</v>
      </c>
      <c r="P20" s="31">
        <f t="shared" si="2"/>
        <v>0</v>
      </c>
      <c r="Q20" s="32">
        <f t="shared" si="3"/>
        <v>0</v>
      </c>
      <c r="R20" s="6" t="str">
        <f>IF(ABS(P20)&lt;Overview!$B$6,"OK",IF(J20=0,"REVIEW (zero base)",IF(ABS(P20/ABS(J20))&gt;=Overview!$B$5,"REVIEW","OK")))</f>
        <v>OK</v>
      </c>
      <c r="S20" s="33">
        <f t="shared" si="4"/>
        <v>0</v>
      </c>
    </row>
    <row r="21" spans="1:19" x14ac:dyDescent="0.2">
      <c r="A21" s="17">
        <v>19</v>
      </c>
      <c r="B21" s="17" t="s">
        <v>171</v>
      </c>
      <c r="C21" s="17" t="s">
        <v>172</v>
      </c>
      <c r="D21" s="17" t="s">
        <v>54</v>
      </c>
      <c r="E21" s="17" t="s">
        <v>77</v>
      </c>
      <c r="F21" s="17" t="s">
        <v>198</v>
      </c>
      <c r="G21" s="17" t="s">
        <v>199</v>
      </c>
      <c r="H21" s="30">
        <v>0</v>
      </c>
      <c r="I21" s="30">
        <v>-2</v>
      </c>
      <c r="J21" s="30">
        <v>0</v>
      </c>
      <c r="K21" s="30">
        <v>0</v>
      </c>
      <c r="L21" s="30">
        <v>0</v>
      </c>
      <c r="M21" s="31">
        <f t="shared" si="0"/>
        <v>2</v>
      </c>
      <c r="N21" s="32">
        <f t="shared" si="1"/>
        <v>1</v>
      </c>
      <c r="O21" s="6" t="str">
        <f>IF(ABS(M21)&lt;Overview!$B$6,"OK",IF(I21=0,"REVIEW (zero base)",IF(ABS(M21/ABS(I21))&gt;=Overview!$B$5,"REVIEW","OK")))</f>
        <v>OK</v>
      </c>
      <c r="P21" s="31">
        <f t="shared" si="2"/>
        <v>0</v>
      </c>
      <c r="Q21" s="32" t="str">
        <f t="shared" si="3"/>
        <v>n/a</v>
      </c>
      <c r="R21" s="6" t="str">
        <f>IF(ABS(P21)&lt;Overview!$B$6,"OK",IF(J21=0,"REVIEW (zero base)",IF(ABS(P21/ABS(J21))&gt;=Overview!$B$5,"REVIEW","OK")))</f>
        <v>OK</v>
      </c>
      <c r="S21" s="33">
        <f t="shared" si="4"/>
        <v>0</v>
      </c>
    </row>
    <row r="22" spans="1:19" x14ac:dyDescent="0.2">
      <c r="A22" s="17">
        <v>20</v>
      </c>
      <c r="B22" s="17" t="s">
        <v>171</v>
      </c>
      <c r="C22" s="17" t="s">
        <v>172</v>
      </c>
      <c r="D22" s="17" t="s">
        <v>54</v>
      </c>
      <c r="E22" s="17" t="s">
        <v>77</v>
      </c>
      <c r="F22" s="17" t="s">
        <v>200</v>
      </c>
      <c r="G22" s="17" t="s">
        <v>201</v>
      </c>
      <c r="H22" s="30">
        <v>-295606</v>
      </c>
      <c r="I22" s="30">
        <v>-215768</v>
      </c>
      <c r="J22" s="30">
        <v>-400000</v>
      </c>
      <c r="K22" s="30">
        <v>-400000</v>
      </c>
      <c r="L22" s="30">
        <v>-400000</v>
      </c>
      <c r="M22" s="31">
        <f t="shared" si="0"/>
        <v>-184232</v>
      </c>
      <c r="N22" s="32">
        <f t="shared" si="1"/>
        <v>-0.85384301657335659</v>
      </c>
      <c r="O22" s="6" t="str">
        <f>IF(ABS(M22)&lt;Overview!$B$6,"OK",IF(I22=0,"REVIEW (zero base)",IF(ABS(M22/ABS(I22))&gt;=Overview!$B$5,"REVIEW","OK")))</f>
        <v>OK</v>
      </c>
      <c r="P22" s="31">
        <f t="shared" si="2"/>
        <v>0</v>
      </c>
      <c r="Q22" s="32">
        <f t="shared" si="3"/>
        <v>0</v>
      </c>
      <c r="R22" s="6" t="str">
        <f>IF(ABS(P22)&lt;Overview!$B$6,"OK",IF(J22=0,"REVIEW (zero base)",IF(ABS(P22/ABS(J22))&gt;=Overview!$B$5,"REVIEW","OK")))</f>
        <v>OK</v>
      </c>
      <c r="S22" s="33">
        <f t="shared" si="4"/>
        <v>0</v>
      </c>
    </row>
    <row r="23" spans="1:19" x14ac:dyDescent="0.2">
      <c r="A23" s="17">
        <v>21</v>
      </c>
      <c r="B23" s="17" t="s">
        <v>171</v>
      </c>
      <c r="C23" s="17" t="s">
        <v>172</v>
      </c>
      <c r="D23" s="17" t="s">
        <v>54</v>
      </c>
      <c r="E23" s="17" t="s">
        <v>77</v>
      </c>
      <c r="F23" s="17" t="s">
        <v>200</v>
      </c>
      <c r="G23" s="17" t="s">
        <v>202</v>
      </c>
      <c r="H23" s="30">
        <v>-4453848</v>
      </c>
      <c r="I23" s="30">
        <v>-4157342</v>
      </c>
      <c r="J23" s="30">
        <v>-4300000</v>
      </c>
      <c r="K23" s="30">
        <v>-4300000</v>
      </c>
      <c r="L23" s="30">
        <v>-4300000</v>
      </c>
      <c r="M23" s="31">
        <f t="shared" si="0"/>
        <v>-142658</v>
      </c>
      <c r="N23" s="32">
        <f t="shared" si="1"/>
        <v>-3.4314713583823507E-2</v>
      </c>
      <c r="O23" s="6" t="str">
        <f>IF(ABS(M23)&lt;Overview!$B$6,"OK",IF(I23=0,"REVIEW (zero base)",IF(ABS(M23/ABS(I23))&gt;=Overview!$B$5,"REVIEW","OK")))</f>
        <v>OK</v>
      </c>
      <c r="P23" s="31">
        <f t="shared" si="2"/>
        <v>0</v>
      </c>
      <c r="Q23" s="32">
        <f t="shared" si="3"/>
        <v>0</v>
      </c>
      <c r="R23" s="6" t="str">
        <f>IF(ABS(P23)&lt;Overview!$B$6,"OK",IF(J23=0,"REVIEW (zero base)",IF(ABS(P23/ABS(J23))&gt;=Overview!$B$5,"REVIEW","OK")))</f>
        <v>OK</v>
      </c>
      <c r="S23" s="33">
        <f t="shared" si="4"/>
        <v>0</v>
      </c>
    </row>
    <row r="24" spans="1:19" x14ac:dyDescent="0.2">
      <c r="A24" s="17">
        <v>22</v>
      </c>
      <c r="B24" s="17" t="s">
        <v>171</v>
      </c>
      <c r="C24" s="17" t="s">
        <v>172</v>
      </c>
      <c r="D24" s="17" t="s">
        <v>54</v>
      </c>
      <c r="E24" s="17" t="s">
        <v>77</v>
      </c>
      <c r="F24" s="17" t="s">
        <v>200</v>
      </c>
      <c r="G24" s="17" t="s">
        <v>203</v>
      </c>
      <c r="H24" s="30">
        <v>-101628</v>
      </c>
      <c r="I24" s="30">
        <v>-302388</v>
      </c>
      <c r="J24" s="30">
        <v>0</v>
      </c>
      <c r="K24" s="30">
        <v>0</v>
      </c>
      <c r="L24" s="30">
        <v>0</v>
      </c>
      <c r="M24" s="31">
        <f t="shared" si="0"/>
        <v>302388</v>
      </c>
      <c r="N24" s="32">
        <f t="shared" si="1"/>
        <v>1</v>
      </c>
      <c r="O24" s="6" t="str">
        <f>IF(ABS(M24)&lt;Overview!$B$6,"OK",IF(I24=0,"REVIEW (zero base)",IF(ABS(M24/ABS(I24))&gt;=Overview!$B$5,"REVIEW","OK")))</f>
        <v>REVIEW</v>
      </c>
      <c r="P24" s="31">
        <f t="shared" si="2"/>
        <v>0</v>
      </c>
      <c r="Q24" s="32" t="str">
        <f t="shared" si="3"/>
        <v>n/a</v>
      </c>
      <c r="R24" s="6" t="str">
        <f>IF(ABS(P24)&lt;Overview!$B$6,"OK",IF(J24=0,"REVIEW (zero base)",IF(ABS(P24/ABS(J24))&gt;=Overview!$B$5,"REVIEW","OK")))</f>
        <v>OK</v>
      </c>
      <c r="S24" s="33">
        <f t="shared" si="4"/>
        <v>0</v>
      </c>
    </row>
    <row r="25" spans="1:19" x14ac:dyDescent="0.2">
      <c r="A25" s="17">
        <v>23</v>
      </c>
      <c r="B25" s="17" t="s">
        <v>171</v>
      </c>
      <c r="C25" s="17" t="s">
        <v>172</v>
      </c>
      <c r="D25" s="17" t="s">
        <v>54</v>
      </c>
      <c r="E25" s="17" t="s">
        <v>77</v>
      </c>
      <c r="F25" s="17" t="s">
        <v>204</v>
      </c>
      <c r="G25" s="17" t="s">
        <v>205</v>
      </c>
      <c r="H25" s="30">
        <v>-48759</v>
      </c>
      <c r="I25" s="30">
        <v>-56641</v>
      </c>
      <c r="J25" s="30">
        <v>0</v>
      </c>
      <c r="K25" s="30">
        <v>0</v>
      </c>
      <c r="L25" s="30">
        <v>0</v>
      </c>
      <c r="M25" s="31">
        <f t="shared" si="0"/>
        <v>56641</v>
      </c>
      <c r="N25" s="32">
        <f t="shared" si="1"/>
        <v>1</v>
      </c>
      <c r="O25" s="6" t="str">
        <f>IF(ABS(M25)&lt;Overview!$B$6,"OK",IF(I25=0,"REVIEW (zero base)",IF(ABS(M25/ABS(I25))&gt;=Overview!$B$5,"REVIEW","OK")))</f>
        <v>OK</v>
      </c>
      <c r="P25" s="31">
        <f t="shared" si="2"/>
        <v>0</v>
      </c>
      <c r="Q25" s="32" t="str">
        <f t="shared" si="3"/>
        <v>n/a</v>
      </c>
      <c r="R25" s="6" t="str">
        <f>IF(ABS(P25)&lt;Overview!$B$6,"OK",IF(J25=0,"REVIEW (zero base)",IF(ABS(P25/ABS(J25))&gt;=Overview!$B$5,"REVIEW","OK")))</f>
        <v>OK</v>
      </c>
      <c r="S25" s="33">
        <f t="shared" si="4"/>
        <v>0</v>
      </c>
    </row>
    <row r="26" spans="1:19" x14ac:dyDescent="0.2">
      <c r="A26" s="17">
        <v>24</v>
      </c>
      <c r="B26" s="17" t="s">
        <v>171</v>
      </c>
      <c r="C26" s="17" t="s">
        <v>172</v>
      </c>
      <c r="D26" s="17" t="s">
        <v>54</v>
      </c>
      <c r="E26" s="17" t="s">
        <v>77</v>
      </c>
      <c r="F26" s="17" t="s">
        <v>204</v>
      </c>
      <c r="G26" s="17" t="s">
        <v>206</v>
      </c>
      <c r="H26" s="30">
        <v>-218</v>
      </c>
      <c r="I26" s="30">
        <v>-3333</v>
      </c>
      <c r="J26" s="30">
        <v>0</v>
      </c>
      <c r="K26" s="30">
        <v>0</v>
      </c>
      <c r="L26" s="30">
        <v>0</v>
      </c>
      <c r="M26" s="31">
        <f t="shared" si="0"/>
        <v>3333</v>
      </c>
      <c r="N26" s="32">
        <f t="shared" si="1"/>
        <v>1</v>
      </c>
      <c r="O26" s="6" t="str">
        <f>IF(ABS(M26)&lt;Overview!$B$6,"OK",IF(I26=0,"REVIEW (zero base)",IF(ABS(M26/ABS(I26))&gt;=Overview!$B$5,"REVIEW","OK")))</f>
        <v>OK</v>
      </c>
      <c r="P26" s="31">
        <f t="shared" si="2"/>
        <v>0</v>
      </c>
      <c r="Q26" s="32" t="str">
        <f t="shared" si="3"/>
        <v>n/a</v>
      </c>
      <c r="R26" s="6" t="str">
        <f>IF(ABS(P26)&lt;Overview!$B$6,"OK",IF(J26=0,"REVIEW (zero base)",IF(ABS(P26/ABS(J26))&gt;=Overview!$B$5,"REVIEW","OK")))</f>
        <v>OK</v>
      </c>
      <c r="S26" s="33">
        <f t="shared" si="4"/>
        <v>0</v>
      </c>
    </row>
    <row r="27" spans="1:19" x14ac:dyDescent="0.2">
      <c r="A27" s="17">
        <v>25</v>
      </c>
      <c r="B27" s="17" t="s">
        <v>171</v>
      </c>
      <c r="C27" s="17" t="s">
        <v>172</v>
      </c>
      <c r="D27" s="17" t="s">
        <v>54</v>
      </c>
      <c r="E27" s="17" t="s">
        <v>77</v>
      </c>
      <c r="F27" s="17" t="s">
        <v>207</v>
      </c>
      <c r="G27" s="17" t="s">
        <v>208</v>
      </c>
      <c r="H27" s="30">
        <v>-839167</v>
      </c>
      <c r="I27" s="30">
        <v>-839167</v>
      </c>
      <c r="J27" s="30">
        <v>-839167</v>
      </c>
      <c r="K27" s="30">
        <v>-839167</v>
      </c>
      <c r="L27" s="30">
        <v>-839167</v>
      </c>
      <c r="M27" s="31">
        <f t="shared" si="0"/>
        <v>0</v>
      </c>
      <c r="N27" s="32">
        <f t="shared" si="1"/>
        <v>0</v>
      </c>
      <c r="O27" s="6" t="str">
        <f>IF(ABS(M27)&lt;Overview!$B$6,"OK",IF(I27=0,"REVIEW (zero base)",IF(ABS(M27/ABS(I27))&gt;=Overview!$B$5,"REVIEW","OK")))</f>
        <v>OK</v>
      </c>
      <c r="P27" s="31">
        <f t="shared" si="2"/>
        <v>0</v>
      </c>
      <c r="Q27" s="32">
        <f t="shared" si="3"/>
        <v>0</v>
      </c>
      <c r="R27" s="6" t="str">
        <f>IF(ABS(P27)&lt;Overview!$B$6,"OK",IF(J27=0,"REVIEW (zero base)",IF(ABS(P27/ABS(J27))&gt;=Overview!$B$5,"REVIEW","OK")))</f>
        <v>OK</v>
      </c>
      <c r="S27" s="33">
        <f t="shared" si="4"/>
        <v>0</v>
      </c>
    </row>
    <row r="28" spans="1:19" x14ac:dyDescent="0.2">
      <c r="A28" s="17">
        <v>26</v>
      </c>
      <c r="B28" s="17" t="s">
        <v>171</v>
      </c>
      <c r="C28" s="17" t="s">
        <v>172</v>
      </c>
      <c r="D28" s="17" t="s">
        <v>54</v>
      </c>
      <c r="E28" s="17" t="s">
        <v>77</v>
      </c>
      <c r="F28" s="17" t="s">
        <v>207</v>
      </c>
      <c r="G28" s="17" t="s">
        <v>209</v>
      </c>
      <c r="H28" s="30">
        <v>0</v>
      </c>
      <c r="I28" s="30">
        <v>-1853</v>
      </c>
      <c r="J28" s="30">
        <v>0</v>
      </c>
      <c r="K28" s="30">
        <v>0</v>
      </c>
      <c r="L28" s="30">
        <v>0</v>
      </c>
      <c r="M28" s="31">
        <f t="shared" si="0"/>
        <v>1853</v>
      </c>
      <c r="N28" s="32">
        <f t="shared" si="1"/>
        <v>1</v>
      </c>
      <c r="O28" s="6" t="str">
        <f>IF(ABS(M28)&lt;Overview!$B$6,"OK",IF(I28=0,"REVIEW (zero base)",IF(ABS(M28/ABS(I28))&gt;=Overview!$B$5,"REVIEW","OK")))</f>
        <v>OK</v>
      </c>
      <c r="P28" s="31">
        <f t="shared" si="2"/>
        <v>0</v>
      </c>
      <c r="Q28" s="32" t="str">
        <f t="shared" si="3"/>
        <v>n/a</v>
      </c>
      <c r="R28" s="6" t="str">
        <f>IF(ABS(P28)&lt;Overview!$B$6,"OK",IF(J28=0,"REVIEW (zero base)",IF(ABS(P28/ABS(J28))&gt;=Overview!$B$5,"REVIEW","OK")))</f>
        <v>OK</v>
      </c>
      <c r="S28" s="33">
        <f t="shared" si="4"/>
        <v>0</v>
      </c>
    </row>
    <row r="29" spans="1:19" x14ac:dyDescent="0.2">
      <c r="A29" s="17">
        <v>27</v>
      </c>
      <c r="B29" s="17" t="s">
        <v>171</v>
      </c>
      <c r="C29" s="17" t="s">
        <v>172</v>
      </c>
      <c r="D29" s="17" t="s">
        <v>54</v>
      </c>
      <c r="E29" s="17" t="s">
        <v>77</v>
      </c>
      <c r="F29" s="17" t="s">
        <v>207</v>
      </c>
      <c r="G29" s="17" t="s">
        <v>210</v>
      </c>
      <c r="H29" s="30">
        <v>-1979745</v>
      </c>
      <c r="I29" s="30">
        <v>-1848027</v>
      </c>
      <c r="J29" s="30">
        <v>-786182</v>
      </c>
      <c r="K29" s="30">
        <v>-1453471</v>
      </c>
      <c r="L29" s="30">
        <v>-2418537</v>
      </c>
      <c r="M29" s="31">
        <f t="shared" si="0"/>
        <v>1061845</v>
      </c>
      <c r="N29" s="32">
        <f t="shared" si="1"/>
        <v>0.57458305533414822</v>
      </c>
      <c r="O29" s="6" t="str">
        <f>IF(ABS(M29)&lt;Overview!$B$6,"OK",IF(I29=0,"REVIEW (zero base)",IF(ABS(M29/ABS(I29))&gt;=Overview!$B$5,"REVIEW","OK")))</f>
        <v>REVIEW</v>
      </c>
      <c r="P29" s="31">
        <f t="shared" si="2"/>
        <v>-667289</v>
      </c>
      <c r="Q29" s="32">
        <f t="shared" si="3"/>
        <v>-0.84877165847093927</v>
      </c>
      <c r="R29" s="6" t="str">
        <f>IF(ABS(P29)&lt;Overview!$B$6,"OK",IF(J29=0,"REVIEW (zero base)",IF(ABS(P29/ABS(J29))&gt;=Overview!$B$5,"REVIEW","OK")))</f>
        <v>REVIEW</v>
      </c>
      <c r="S29" s="33">
        <f t="shared" si="4"/>
        <v>0</v>
      </c>
    </row>
    <row r="30" spans="1:19" x14ac:dyDescent="0.2">
      <c r="A30" s="17">
        <v>28</v>
      </c>
      <c r="B30" s="17" t="s">
        <v>171</v>
      </c>
      <c r="C30" s="17" t="s">
        <v>172</v>
      </c>
      <c r="D30" s="17" t="s">
        <v>54</v>
      </c>
      <c r="E30" s="17" t="s">
        <v>77</v>
      </c>
      <c r="F30" s="17" t="s">
        <v>207</v>
      </c>
      <c r="G30" s="17" t="s">
        <v>211</v>
      </c>
      <c r="H30" s="30">
        <v>-114964</v>
      </c>
      <c r="I30" s="30">
        <v>-438831</v>
      </c>
      <c r="J30" s="30">
        <v>-35000</v>
      </c>
      <c r="K30" s="30">
        <v>-35000</v>
      </c>
      <c r="L30" s="30">
        <v>-35000</v>
      </c>
      <c r="M30" s="31">
        <f t="shared" si="0"/>
        <v>403831</v>
      </c>
      <c r="N30" s="32">
        <f t="shared" si="1"/>
        <v>0.92024264466275174</v>
      </c>
      <c r="O30" s="6" t="str">
        <f>IF(ABS(M30)&lt;Overview!$B$6,"OK",IF(I30=0,"REVIEW (zero base)",IF(ABS(M30/ABS(I30))&gt;=Overview!$B$5,"REVIEW","OK")))</f>
        <v>REVIEW</v>
      </c>
      <c r="P30" s="31">
        <f t="shared" si="2"/>
        <v>0</v>
      </c>
      <c r="Q30" s="32">
        <f t="shared" si="3"/>
        <v>0</v>
      </c>
      <c r="R30" s="6" t="str">
        <f>IF(ABS(P30)&lt;Overview!$B$6,"OK",IF(J30=0,"REVIEW (zero base)",IF(ABS(P30/ABS(J30))&gt;=Overview!$B$5,"REVIEW","OK")))</f>
        <v>OK</v>
      </c>
      <c r="S30" s="33">
        <f t="shared" si="4"/>
        <v>0</v>
      </c>
    </row>
    <row r="31" spans="1:19" x14ac:dyDescent="0.2">
      <c r="A31" s="17">
        <v>29</v>
      </c>
      <c r="B31" s="17" t="s">
        <v>171</v>
      </c>
      <c r="C31" s="17" t="s">
        <v>172</v>
      </c>
      <c r="D31" s="17" t="s">
        <v>54</v>
      </c>
      <c r="E31" s="17" t="s">
        <v>77</v>
      </c>
      <c r="F31" s="17" t="s">
        <v>207</v>
      </c>
      <c r="G31" s="17" t="s">
        <v>212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1">
        <f t="shared" si="0"/>
        <v>0</v>
      </c>
      <c r="N31" s="32" t="str">
        <f t="shared" si="1"/>
        <v>n/a</v>
      </c>
      <c r="O31" s="6" t="str">
        <f>IF(ABS(M31)&lt;Overview!$B$6,"OK",IF(I31=0,"REVIEW (zero base)",IF(ABS(M31/ABS(I31))&gt;=Overview!$B$5,"REVIEW","OK")))</f>
        <v>OK</v>
      </c>
      <c r="P31" s="31">
        <f t="shared" si="2"/>
        <v>0</v>
      </c>
      <c r="Q31" s="32" t="str">
        <f t="shared" si="3"/>
        <v>n/a</v>
      </c>
      <c r="R31" s="6" t="str">
        <f>IF(ABS(P31)&lt;Overview!$B$6,"OK",IF(J31=0,"REVIEW (zero base)",IF(ABS(P31/ABS(J31))&gt;=Overview!$B$5,"REVIEW","OK")))</f>
        <v>OK</v>
      </c>
      <c r="S31" s="33">
        <f t="shared" si="4"/>
        <v>0</v>
      </c>
    </row>
    <row r="32" spans="1:19" x14ac:dyDescent="0.2">
      <c r="A32" s="17">
        <v>30</v>
      </c>
      <c r="B32" s="17" t="s">
        <v>171</v>
      </c>
      <c r="C32" s="17" t="s">
        <v>172</v>
      </c>
      <c r="D32" s="17" t="s">
        <v>54</v>
      </c>
      <c r="E32" s="17" t="s">
        <v>77</v>
      </c>
      <c r="F32" s="17" t="s">
        <v>207</v>
      </c>
      <c r="G32" s="17" t="s">
        <v>213</v>
      </c>
      <c r="H32" s="30">
        <v>-15000</v>
      </c>
      <c r="I32" s="30">
        <v>-15000</v>
      </c>
      <c r="J32" s="30">
        <v>-15000</v>
      </c>
      <c r="K32" s="30">
        <v>-15000</v>
      </c>
      <c r="L32" s="30">
        <v>-15000</v>
      </c>
      <c r="M32" s="31">
        <f t="shared" si="0"/>
        <v>0</v>
      </c>
      <c r="N32" s="32">
        <f t="shared" si="1"/>
        <v>0</v>
      </c>
      <c r="O32" s="6" t="str">
        <f>IF(ABS(M32)&lt;Overview!$B$6,"OK",IF(I32=0,"REVIEW (zero base)",IF(ABS(M32/ABS(I32))&gt;=Overview!$B$5,"REVIEW","OK")))</f>
        <v>OK</v>
      </c>
      <c r="P32" s="31">
        <f t="shared" si="2"/>
        <v>0</v>
      </c>
      <c r="Q32" s="32">
        <f t="shared" si="3"/>
        <v>0</v>
      </c>
      <c r="R32" s="6" t="str">
        <f>IF(ABS(P32)&lt;Overview!$B$6,"OK",IF(J32=0,"REVIEW (zero base)",IF(ABS(P32/ABS(J32))&gt;=Overview!$B$5,"REVIEW","OK")))</f>
        <v>OK</v>
      </c>
      <c r="S32" s="33">
        <f t="shared" si="4"/>
        <v>0</v>
      </c>
    </row>
    <row r="33" spans="1:19" x14ac:dyDescent="0.2">
      <c r="A33" s="17">
        <v>31</v>
      </c>
      <c r="B33" s="17" t="s">
        <v>171</v>
      </c>
      <c r="C33" s="17" t="s">
        <v>172</v>
      </c>
      <c r="D33" s="17" t="s">
        <v>54</v>
      </c>
      <c r="E33" s="17" t="s">
        <v>77</v>
      </c>
      <c r="F33" s="17" t="s">
        <v>207</v>
      </c>
      <c r="G33" s="17" t="s">
        <v>214</v>
      </c>
      <c r="H33" s="30">
        <v>-7678118</v>
      </c>
      <c r="I33" s="30">
        <v>-7016472</v>
      </c>
      <c r="J33" s="30">
        <v>-7658372</v>
      </c>
      <c r="K33" s="30">
        <v>-7177936</v>
      </c>
      <c r="L33" s="30">
        <v>-7177936</v>
      </c>
      <c r="M33" s="31">
        <f t="shared" si="0"/>
        <v>-641900</v>
      </c>
      <c r="N33" s="32">
        <f t="shared" si="1"/>
        <v>-9.148472337664855E-2</v>
      </c>
      <c r="O33" s="6" t="str">
        <f>IF(ABS(M33)&lt;Overview!$B$6,"OK",IF(I33=0,"REVIEW (zero base)",IF(ABS(M33/ABS(I33))&gt;=Overview!$B$5,"REVIEW","OK")))</f>
        <v>OK</v>
      </c>
      <c r="P33" s="31">
        <f t="shared" si="2"/>
        <v>480436</v>
      </c>
      <c r="Q33" s="32">
        <f t="shared" si="3"/>
        <v>6.2733437341513321E-2</v>
      </c>
      <c r="R33" s="6" t="str">
        <f>IF(ABS(P33)&lt;Overview!$B$6,"OK",IF(J33=0,"REVIEW (zero base)",IF(ABS(P33/ABS(J33))&gt;=Overview!$B$5,"REVIEW","OK")))</f>
        <v>OK</v>
      </c>
      <c r="S33" s="33">
        <f t="shared" si="4"/>
        <v>0</v>
      </c>
    </row>
    <row r="34" spans="1:19" x14ac:dyDescent="0.2">
      <c r="A34" s="17">
        <v>32</v>
      </c>
      <c r="B34" s="17" t="s">
        <v>171</v>
      </c>
      <c r="C34" s="17" t="s">
        <v>172</v>
      </c>
      <c r="D34" s="17" t="s">
        <v>54</v>
      </c>
      <c r="E34" s="17" t="s">
        <v>77</v>
      </c>
      <c r="F34" s="17" t="s">
        <v>207</v>
      </c>
      <c r="G34" s="17" t="s">
        <v>215</v>
      </c>
      <c r="H34" s="30">
        <v>-7835000</v>
      </c>
      <c r="I34" s="30">
        <v>-7810000</v>
      </c>
      <c r="J34" s="30">
        <v>0</v>
      </c>
      <c r="K34" s="30">
        <v>0</v>
      </c>
      <c r="L34" s="30">
        <v>0</v>
      </c>
      <c r="M34" s="31">
        <f t="shared" si="0"/>
        <v>7810000</v>
      </c>
      <c r="N34" s="32">
        <f t="shared" si="1"/>
        <v>1</v>
      </c>
      <c r="O34" s="6" t="str">
        <f>IF(ABS(M34)&lt;Overview!$B$6,"OK",IF(I34=0,"REVIEW (zero base)",IF(ABS(M34/ABS(I34))&gt;=Overview!$B$5,"REVIEW","OK")))</f>
        <v>REVIEW</v>
      </c>
      <c r="P34" s="31">
        <f t="shared" si="2"/>
        <v>0</v>
      </c>
      <c r="Q34" s="32" t="str">
        <f t="shared" si="3"/>
        <v>n/a</v>
      </c>
      <c r="R34" s="6" t="str">
        <f>IF(ABS(P34)&lt;Overview!$B$6,"OK",IF(J34=0,"REVIEW (zero base)",IF(ABS(P34/ABS(J34))&gt;=Overview!$B$5,"REVIEW","OK")))</f>
        <v>OK</v>
      </c>
      <c r="S34" s="33">
        <f t="shared" si="4"/>
        <v>0</v>
      </c>
    </row>
    <row r="35" spans="1:19" x14ac:dyDescent="0.2">
      <c r="A35" s="17">
        <v>33</v>
      </c>
      <c r="B35" s="17" t="s">
        <v>171</v>
      </c>
      <c r="C35" s="17" t="s">
        <v>172</v>
      </c>
      <c r="D35" s="17" t="s">
        <v>54</v>
      </c>
      <c r="E35" s="17" t="s">
        <v>77</v>
      </c>
      <c r="F35" s="17" t="s">
        <v>207</v>
      </c>
      <c r="G35" s="17" t="s">
        <v>216</v>
      </c>
      <c r="H35" s="30">
        <v>-779870</v>
      </c>
      <c r="I35" s="30">
        <v>-991387</v>
      </c>
      <c r="J35" s="30">
        <v>-970000</v>
      </c>
      <c r="K35" s="30">
        <v>-970000</v>
      </c>
      <c r="L35" s="30">
        <v>-970000</v>
      </c>
      <c r="M35" s="31">
        <f t="shared" si="0"/>
        <v>21387</v>
      </c>
      <c r="N35" s="32">
        <f t="shared" si="1"/>
        <v>2.1572806583100242E-2</v>
      </c>
      <c r="O35" s="6" t="str">
        <f>IF(ABS(M35)&lt;Overview!$B$6,"OK",IF(I35=0,"REVIEW (zero base)",IF(ABS(M35/ABS(I35))&gt;=Overview!$B$5,"REVIEW","OK")))</f>
        <v>OK</v>
      </c>
      <c r="P35" s="31">
        <f t="shared" si="2"/>
        <v>0</v>
      </c>
      <c r="Q35" s="32">
        <f t="shared" si="3"/>
        <v>0</v>
      </c>
      <c r="R35" s="6" t="str">
        <f>IF(ABS(P35)&lt;Overview!$B$6,"OK",IF(J35=0,"REVIEW (zero base)",IF(ABS(P35/ABS(J35))&gt;=Overview!$B$5,"REVIEW","OK")))</f>
        <v>OK</v>
      </c>
      <c r="S35" s="33">
        <f t="shared" si="4"/>
        <v>0</v>
      </c>
    </row>
    <row r="36" spans="1:19" x14ac:dyDescent="0.2">
      <c r="A36" s="17">
        <v>34</v>
      </c>
      <c r="B36" s="17" t="s">
        <v>171</v>
      </c>
      <c r="C36" s="17" t="s">
        <v>172</v>
      </c>
      <c r="D36" s="17" t="s">
        <v>54</v>
      </c>
      <c r="E36" s="17" t="s">
        <v>77</v>
      </c>
      <c r="F36" s="17" t="s">
        <v>207</v>
      </c>
      <c r="G36" s="17" t="s">
        <v>217</v>
      </c>
      <c r="H36" s="30">
        <v>-122136</v>
      </c>
      <c r="I36" s="30">
        <v>-134985</v>
      </c>
      <c r="J36" s="30">
        <v>-140000</v>
      </c>
      <c r="K36" s="30">
        <v>-140000</v>
      </c>
      <c r="L36" s="30">
        <v>-140000</v>
      </c>
      <c r="M36" s="31">
        <f t="shared" si="0"/>
        <v>-5015</v>
      </c>
      <c r="N36" s="32">
        <f t="shared" si="1"/>
        <v>-3.7152276178834688E-2</v>
      </c>
      <c r="O36" s="6" t="str">
        <f>IF(ABS(M36)&lt;Overview!$B$6,"OK",IF(I36=0,"REVIEW (zero base)",IF(ABS(M36/ABS(I36))&gt;=Overview!$B$5,"REVIEW","OK")))</f>
        <v>OK</v>
      </c>
      <c r="P36" s="31">
        <f t="shared" si="2"/>
        <v>0</v>
      </c>
      <c r="Q36" s="32">
        <f t="shared" si="3"/>
        <v>0</v>
      </c>
      <c r="R36" s="6" t="str">
        <f>IF(ABS(P36)&lt;Overview!$B$6,"OK",IF(J36=0,"REVIEW (zero base)",IF(ABS(P36/ABS(J36))&gt;=Overview!$B$5,"REVIEW","OK")))</f>
        <v>OK</v>
      </c>
      <c r="S36" s="33">
        <f t="shared" si="4"/>
        <v>0</v>
      </c>
    </row>
    <row r="37" spans="1:19" x14ac:dyDescent="0.2">
      <c r="A37" s="17">
        <v>35</v>
      </c>
      <c r="B37" s="17" t="s">
        <v>171</v>
      </c>
      <c r="C37" s="17" t="s">
        <v>172</v>
      </c>
      <c r="D37" s="17" t="s">
        <v>54</v>
      </c>
      <c r="E37" s="17" t="s">
        <v>77</v>
      </c>
      <c r="F37" s="17" t="s">
        <v>207</v>
      </c>
      <c r="G37" s="17" t="s">
        <v>218</v>
      </c>
      <c r="H37" s="30">
        <v>0</v>
      </c>
      <c r="I37" s="30">
        <v>0</v>
      </c>
      <c r="J37" s="30">
        <v>-12496805</v>
      </c>
      <c r="K37" s="30">
        <v>-13329454</v>
      </c>
      <c r="L37" s="30">
        <v>-16041490</v>
      </c>
      <c r="M37" s="31">
        <f t="shared" si="0"/>
        <v>-12496805</v>
      </c>
      <c r="N37" s="32" t="str">
        <f t="shared" si="1"/>
        <v>n/a</v>
      </c>
      <c r="O37" s="6" t="str">
        <f>IF(ABS(M37)&lt;Overview!$B$6,"OK",IF(I37=0,"REVIEW (zero base)",IF(ABS(M37/ABS(I37))&gt;=Overview!$B$5,"REVIEW","OK")))</f>
        <v>REVIEW (zero base)</v>
      </c>
      <c r="P37" s="31">
        <f t="shared" si="2"/>
        <v>-832649</v>
      </c>
      <c r="Q37" s="32">
        <f t="shared" si="3"/>
        <v>-6.6628950359711947E-2</v>
      </c>
      <c r="R37" s="6" t="str">
        <f>IF(ABS(P37)&lt;Overview!$B$6,"OK",IF(J37=0,"REVIEW (zero base)",IF(ABS(P37/ABS(J37))&gt;=Overview!$B$5,"REVIEW","OK")))</f>
        <v>OK</v>
      </c>
      <c r="S37" s="33">
        <f t="shared" si="4"/>
        <v>0</v>
      </c>
    </row>
    <row r="38" spans="1:19" x14ac:dyDescent="0.2">
      <c r="A38" s="17">
        <v>36</v>
      </c>
      <c r="B38" s="17" t="s">
        <v>171</v>
      </c>
      <c r="C38" s="17" t="s">
        <v>172</v>
      </c>
      <c r="D38" s="17" t="s">
        <v>54</v>
      </c>
      <c r="E38" s="17" t="s">
        <v>77</v>
      </c>
      <c r="F38" s="17" t="s">
        <v>207</v>
      </c>
      <c r="G38" s="17" t="s">
        <v>219</v>
      </c>
      <c r="H38" s="30">
        <v>0</v>
      </c>
      <c r="I38" s="30">
        <v>0</v>
      </c>
      <c r="J38" s="30">
        <v>-646415</v>
      </c>
      <c r="K38" s="30">
        <v>-674323</v>
      </c>
      <c r="L38" s="30">
        <v>-868189</v>
      </c>
      <c r="M38" s="31">
        <f t="shared" si="0"/>
        <v>-646415</v>
      </c>
      <c r="N38" s="32" t="str">
        <f t="shared" si="1"/>
        <v>n/a</v>
      </c>
      <c r="O38" s="6" t="str">
        <f>IF(ABS(M38)&lt;Overview!$B$6,"OK",IF(I38=0,"REVIEW (zero base)",IF(ABS(M38/ABS(I38))&gt;=Overview!$B$5,"REVIEW","OK")))</f>
        <v>REVIEW (zero base)</v>
      </c>
      <c r="P38" s="31">
        <f t="shared" si="2"/>
        <v>-27908</v>
      </c>
      <c r="Q38" s="32">
        <f t="shared" si="3"/>
        <v>-4.3173503090120122E-2</v>
      </c>
      <c r="R38" s="6" t="str">
        <f>IF(ABS(P38)&lt;Overview!$B$6,"OK",IF(J38=0,"REVIEW (zero base)",IF(ABS(P38/ABS(J38))&gt;=Overview!$B$5,"REVIEW","OK")))</f>
        <v>OK</v>
      </c>
      <c r="S38" s="33">
        <f t="shared" si="4"/>
        <v>0</v>
      </c>
    </row>
    <row r="39" spans="1:19" x14ac:dyDescent="0.2">
      <c r="A39" s="17">
        <v>37</v>
      </c>
      <c r="B39" s="17" t="s">
        <v>171</v>
      </c>
      <c r="C39" s="17" t="s">
        <v>172</v>
      </c>
      <c r="D39" s="17" t="s">
        <v>54</v>
      </c>
      <c r="E39" s="17" t="s">
        <v>77</v>
      </c>
      <c r="F39" s="17" t="s">
        <v>207</v>
      </c>
      <c r="G39" s="17" t="s">
        <v>220</v>
      </c>
      <c r="H39" s="30">
        <v>-453829</v>
      </c>
      <c r="I39" s="30">
        <v>-438033</v>
      </c>
      <c r="J39" s="30">
        <v>-400000</v>
      </c>
      <c r="K39" s="30">
        <v>-450000</v>
      </c>
      <c r="L39" s="30">
        <v>-450000</v>
      </c>
      <c r="M39" s="31">
        <f t="shared" si="0"/>
        <v>38033</v>
      </c>
      <c r="N39" s="32">
        <f t="shared" si="1"/>
        <v>8.6826791588761582E-2</v>
      </c>
      <c r="O39" s="6" t="str">
        <f>IF(ABS(M39)&lt;Overview!$B$6,"OK",IF(I39=0,"REVIEW (zero base)",IF(ABS(M39/ABS(I39))&gt;=Overview!$B$5,"REVIEW","OK")))</f>
        <v>OK</v>
      </c>
      <c r="P39" s="31">
        <f t="shared" si="2"/>
        <v>-50000</v>
      </c>
      <c r="Q39" s="32">
        <f t="shared" si="3"/>
        <v>-0.125</v>
      </c>
      <c r="R39" s="6" t="str">
        <f>IF(ABS(P39)&lt;Overview!$B$6,"OK",IF(J39=0,"REVIEW (zero base)",IF(ABS(P39/ABS(J39))&gt;=Overview!$B$5,"REVIEW","OK")))</f>
        <v>OK</v>
      </c>
      <c r="S39" s="33">
        <f t="shared" si="4"/>
        <v>0</v>
      </c>
    </row>
    <row r="40" spans="1:19" x14ac:dyDescent="0.2">
      <c r="A40" s="17">
        <v>38</v>
      </c>
      <c r="B40" s="17" t="s">
        <v>171</v>
      </c>
      <c r="C40" s="17" t="s">
        <v>172</v>
      </c>
      <c r="D40" s="17" t="s">
        <v>54</v>
      </c>
      <c r="E40" s="17" t="s">
        <v>77</v>
      </c>
      <c r="F40" s="17" t="s">
        <v>221</v>
      </c>
      <c r="G40" s="17" t="s">
        <v>222</v>
      </c>
      <c r="H40" s="30">
        <v>-1614340</v>
      </c>
      <c r="I40" s="30">
        <v>-1590905</v>
      </c>
      <c r="J40" s="30">
        <v>-1700000</v>
      </c>
      <c r="K40" s="30">
        <v>-1700000</v>
      </c>
      <c r="L40" s="30">
        <v>-1845000</v>
      </c>
      <c r="M40" s="31">
        <f t="shared" si="0"/>
        <v>-109095</v>
      </c>
      <c r="N40" s="32">
        <f t="shared" si="1"/>
        <v>-6.857417633359629E-2</v>
      </c>
      <c r="O40" s="6" t="str">
        <f>IF(ABS(M40)&lt;Overview!$B$6,"OK",IF(I40=0,"REVIEW (zero base)",IF(ABS(M40/ABS(I40))&gt;=Overview!$B$5,"REVIEW","OK")))</f>
        <v>OK</v>
      </c>
      <c r="P40" s="31">
        <f t="shared" si="2"/>
        <v>0</v>
      </c>
      <c r="Q40" s="32">
        <f t="shared" si="3"/>
        <v>0</v>
      </c>
      <c r="R40" s="6" t="str">
        <f>IF(ABS(P40)&lt;Overview!$B$6,"OK",IF(J40=0,"REVIEW (zero base)",IF(ABS(P40/ABS(J40))&gt;=Overview!$B$5,"REVIEW","OK")))</f>
        <v>OK</v>
      </c>
      <c r="S40" s="33">
        <f t="shared" si="4"/>
        <v>0</v>
      </c>
    </row>
    <row r="41" spans="1:19" x14ac:dyDescent="0.2">
      <c r="A41" s="17">
        <v>39</v>
      </c>
      <c r="B41" s="17" t="s">
        <v>171</v>
      </c>
      <c r="C41" s="17" t="s">
        <v>172</v>
      </c>
      <c r="D41" s="17" t="s">
        <v>54</v>
      </c>
      <c r="E41" s="17" t="s">
        <v>77</v>
      </c>
      <c r="F41" s="17" t="s">
        <v>221</v>
      </c>
      <c r="G41" s="17" t="s">
        <v>223</v>
      </c>
      <c r="H41" s="30">
        <v>-179810</v>
      </c>
      <c r="I41" s="30">
        <v>-122153</v>
      </c>
      <c r="J41" s="30">
        <v>-100000</v>
      </c>
      <c r="K41" s="30">
        <v>-100000</v>
      </c>
      <c r="L41" s="30">
        <v>-250000</v>
      </c>
      <c r="M41" s="31">
        <f t="shared" si="0"/>
        <v>22153</v>
      </c>
      <c r="N41" s="32">
        <f t="shared" si="1"/>
        <v>0.18135453079334932</v>
      </c>
      <c r="O41" s="6" t="str">
        <f>IF(ABS(M41)&lt;Overview!$B$6,"OK",IF(I41=0,"REVIEW (zero base)",IF(ABS(M41/ABS(I41))&gt;=Overview!$B$5,"REVIEW","OK")))</f>
        <v>OK</v>
      </c>
      <c r="P41" s="31">
        <f t="shared" si="2"/>
        <v>0</v>
      </c>
      <c r="Q41" s="32">
        <f t="shared" si="3"/>
        <v>0</v>
      </c>
      <c r="R41" s="6" t="str">
        <f>IF(ABS(P41)&lt;Overview!$B$6,"OK",IF(J41=0,"REVIEW (zero base)",IF(ABS(P41/ABS(J41))&gt;=Overview!$B$5,"REVIEW","OK")))</f>
        <v>OK</v>
      </c>
      <c r="S41" s="33">
        <f t="shared" si="4"/>
        <v>0</v>
      </c>
    </row>
    <row r="42" spans="1:19" x14ac:dyDescent="0.2">
      <c r="A42" s="17">
        <v>40</v>
      </c>
      <c r="B42" s="17" t="s">
        <v>171</v>
      </c>
      <c r="C42" s="17" t="s">
        <v>172</v>
      </c>
      <c r="D42" s="17" t="s">
        <v>54</v>
      </c>
      <c r="E42" s="17" t="s">
        <v>77</v>
      </c>
      <c r="F42" s="17" t="s">
        <v>221</v>
      </c>
      <c r="G42" s="17" t="s">
        <v>224</v>
      </c>
      <c r="H42" s="30">
        <v>0</v>
      </c>
      <c r="I42" s="30">
        <v>0</v>
      </c>
      <c r="J42" s="30">
        <v>0</v>
      </c>
      <c r="K42" s="30">
        <v>-16357352</v>
      </c>
      <c r="L42" s="30">
        <v>-10000000</v>
      </c>
      <c r="M42" s="31">
        <f t="shared" si="0"/>
        <v>0</v>
      </c>
      <c r="N42" s="32" t="str">
        <f t="shared" si="1"/>
        <v>n/a</v>
      </c>
      <c r="O42" s="6" t="str">
        <f>IF(ABS(M42)&lt;Overview!$B$6,"OK",IF(I42=0,"REVIEW (zero base)",IF(ABS(M42/ABS(I42))&gt;=Overview!$B$5,"REVIEW","OK")))</f>
        <v>OK</v>
      </c>
      <c r="P42" s="31">
        <f t="shared" si="2"/>
        <v>-16357352</v>
      </c>
      <c r="Q42" s="32" t="str">
        <f t="shared" si="3"/>
        <v>n/a</v>
      </c>
      <c r="R42" s="6" t="str">
        <f>IF(ABS(P42)&lt;Overview!$B$6,"OK",IF(J42=0,"REVIEW (zero base)",IF(ABS(P42/ABS(J42))&gt;=Overview!$B$5,"REVIEW","OK")))</f>
        <v>REVIEW (zero base)</v>
      </c>
      <c r="S42" s="33">
        <f t="shared" si="4"/>
        <v>0</v>
      </c>
    </row>
    <row r="43" spans="1:19" x14ac:dyDescent="0.2">
      <c r="A43" s="17">
        <v>41</v>
      </c>
      <c r="B43" s="17" t="s">
        <v>171</v>
      </c>
      <c r="C43" s="17" t="s">
        <v>172</v>
      </c>
      <c r="D43" s="17" t="s">
        <v>54</v>
      </c>
      <c r="E43" s="17" t="s">
        <v>77</v>
      </c>
      <c r="F43" s="17" t="s">
        <v>221</v>
      </c>
      <c r="G43" s="17" t="s">
        <v>225</v>
      </c>
      <c r="H43" s="30">
        <v>-4316529</v>
      </c>
      <c r="I43" s="30">
        <v>-5437404</v>
      </c>
      <c r="J43" s="30">
        <v>-5200000</v>
      </c>
      <c r="K43" s="30">
        <v>-5200000</v>
      </c>
      <c r="L43" s="30">
        <v>-5200000</v>
      </c>
      <c r="M43" s="31">
        <f t="shared" si="0"/>
        <v>237404</v>
      </c>
      <c r="N43" s="32">
        <f t="shared" si="1"/>
        <v>4.3661276594492517E-2</v>
      </c>
      <c r="O43" s="6" t="str">
        <f>IF(ABS(M43)&lt;Overview!$B$6,"OK",IF(I43=0,"REVIEW (zero base)",IF(ABS(M43/ABS(I43))&gt;=Overview!$B$5,"REVIEW","OK")))</f>
        <v>OK</v>
      </c>
      <c r="P43" s="31">
        <f t="shared" si="2"/>
        <v>0</v>
      </c>
      <c r="Q43" s="32">
        <f t="shared" si="3"/>
        <v>0</v>
      </c>
      <c r="R43" s="6" t="str">
        <f>IF(ABS(P43)&lt;Overview!$B$6,"OK",IF(J43=0,"REVIEW (zero base)",IF(ABS(P43/ABS(J43))&gt;=Overview!$B$5,"REVIEW","OK")))</f>
        <v>OK</v>
      </c>
      <c r="S43" s="33">
        <f t="shared" si="4"/>
        <v>0</v>
      </c>
    </row>
    <row r="44" spans="1:19" x14ac:dyDescent="0.2">
      <c r="A44" s="17">
        <v>42</v>
      </c>
      <c r="B44" s="17" t="s">
        <v>171</v>
      </c>
      <c r="C44" s="17" t="s">
        <v>172</v>
      </c>
      <c r="D44" s="17" t="s">
        <v>54</v>
      </c>
      <c r="E44" s="17" t="s">
        <v>77</v>
      </c>
      <c r="F44" s="17" t="s">
        <v>221</v>
      </c>
      <c r="G44" s="17" t="s">
        <v>226</v>
      </c>
      <c r="H44" s="30">
        <v>-185812</v>
      </c>
      <c r="I44" s="30">
        <v>-172046</v>
      </c>
      <c r="J44" s="30">
        <v>-260000</v>
      </c>
      <c r="K44" s="30">
        <v>-260000</v>
      </c>
      <c r="L44" s="30">
        <v>-260000</v>
      </c>
      <c r="M44" s="31">
        <f t="shared" si="0"/>
        <v>-87954</v>
      </c>
      <c r="N44" s="32">
        <f t="shared" si="1"/>
        <v>-0.51122374248747426</v>
      </c>
      <c r="O44" s="6" t="str">
        <f>IF(ABS(M44)&lt;Overview!$B$6,"OK",IF(I44=0,"REVIEW (zero base)",IF(ABS(M44/ABS(I44))&gt;=Overview!$B$5,"REVIEW","OK")))</f>
        <v>OK</v>
      </c>
      <c r="P44" s="31">
        <f t="shared" si="2"/>
        <v>0</v>
      </c>
      <c r="Q44" s="32">
        <f t="shared" si="3"/>
        <v>0</v>
      </c>
      <c r="R44" s="6" t="str">
        <f>IF(ABS(P44)&lt;Overview!$B$6,"OK",IF(J44=0,"REVIEW (zero base)",IF(ABS(P44/ABS(J44))&gt;=Overview!$B$5,"REVIEW","OK")))</f>
        <v>OK</v>
      </c>
      <c r="S44" s="33">
        <f t="shared" si="4"/>
        <v>0</v>
      </c>
    </row>
    <row r="45" spans="1:19" x14ac:dyDescent="0.2">
      <c r="A45" s="17">
        <v>43</v>
      </c>
      <c r="B45" s="17" t="s">
        <v>171</v>
      </c>
      <c r="C45" s="17" t="s">
        <v>172</v>
      </c>
      <c r="D45" s="17" t="s">
        <v>54</v>
      </c>
      <c r="E45" s="17" t="s">
        <v>77</v>
      </c>
      <c r="F45" s="17" t="s">
        <v>221</v>
      </c>
      <c r="G45" s="17" t="s">
        <v>227</v>
      </c>
      <c r="H45" s="30">
        <v>0</v>
      </c>
      <c r="I45" s="30">
        <v>-1195516</v>
      </c>
      <c r="J45" s="30">
        <v>0</v>
      </c>
      <c r="K45" s="30">
        <v>-3100000</v>
      </c>
      <c r="L45" s="30">
        <v>0</v>
      </c>
      <c r="M45" s="31">
        <f t="shared" si="0"/>
        <v>1195516</v>
      </c>
      <c r="N45" s="32">
        <f t="shared" si="1"/>
        <v>1</v>
      </c>
      <c r="O45" s="6" t="str">
        <f>IF(ABS(M45)&lt;Overview!$B$6,"OK",IF(I45=0,"REVIEW (zero base)",IF(ABS(M45/ABS(I45))&gt;=Overview!$B$5,"REVIEW","OK")))</f>
        <v>REVIEW</v>
      </c>
      <c r="P45" s="31">
        <f t="shared" si="2"/>
        <v>-3100000</v>
      </c>
      <c r="Q45" s="32" t="str">
        <f t="shared" si="3"/>
        <v>n/a</v>
      </c>
      <c r="R45" s="6" t="str">
        <f>IF(ABS(P45)&lt;Overview!$B$6,"OK",IF(J45=0,"REVIEW (zero base)",IF(ABS(P45/ABS(J45))&gt;=Overview!$B$5,"REVIEW","OK")))</f>
        <v>REVIEW (zero base)</v>
      </c>
      <c r="S45" s="33">
        <f t="shared" si="4"/>
        <v>0</v>
      </c>
    </row>
    <row r="46" spans="1:19" x14ac:dyDescent="0.2">
      <c r="A46" s="17">
        <v>44</v>
      </c>
      <c r="B46" s="17" t="s">
        <v>171</v>
      </c>
      <c r="C46" s="17" t="s">
        <v>172</v>
      </c>
      <c r="D46" s="17" t="s">
        <v>54</v>
      </c>
      <c r="E46" s="17" t="s">
        <v>80</v>
      </c>
      <c r="F46" s="17" t="s">
        <v>204</v>
      </c>
      <c r="G46" s="17" t="s">
        <v>205</v>
      </c>
      <c r="H46" s="30">
        <v>-1321690</v>
      </c>
      <c r="I46" s="30">
        <v>-2675675</v>
      </c>
      <c r="J46" s="30">
        <v>-1682448</v>
      </c>
      <c r="K46" s="30">
        <v>-1573221</v>
      </c>
      <c r="L46" s="30">
        <v>-1482941</v>
      </c>
      <c r="M46" s="31">
        <f t="shared" si="0"/>
        <v>993227</v>
      </c>
      <c r="N46" s="32">
        <f t="shared" si="1"/>
        <v>0.3712061442439758</v>
      </c>
      <c r="O46" s="6" t="str">
        <f>IF(ABS(M46)&lt;Overview!$B$6,"OK",IF(I46=0,"REVIEW (zero base)",IF(ABS(M46/ABS(I46))&gt;=Overview!$B$5,"REVIEW","OK")))</f>
        <v>REVIEW</v>
      </c>
      <c r="P46" s="31">
        <f t="shared" si="2"/>
        <v>109227</v>
      </c>
      <c r="Q46" s="32">
        <f t="shared" si="3"/>
        <v>6.4921471569998002E-2</v>
      </c>
      <c r="R46" s="6" t="str">
        <f>IF(ABS(P46)&lt;Overview!$B$6,"OK",IF(J46=0,"REVIEW (zero base)",IF(ABS(P46/ABS(J46))&gt;=Overview!$B$5,"REVIEW","OK")))</f>
        <v>OK</v>
      </c>
      <c r="S46" s="33">
        <f t="shared" si="4"/>
        <v>0</v>
      </c>
    </row>
    <row r="47" spans="1:19" x14ac:dyDescent="0.2">
      <c r="A47" s="17">
        <v>45</v>
      </c>
      <c r="B47" s="17" t="s">
        <v>171</v>
      </c>
      <c r="C47" s="17" t="s">
        <v>172</v>
      </c>
      <c r="D47" s="17" t="s">
        <v>54</v>
      </c>
      <c r="E47" s="17" t="s">
        <v>98</v>
      </c>
      <c r="F47" s="17" t="s">
        <v>204</v>
      </c>
      <c r="G47" s="17" t="s">
        <v>205</v>
      </c>
      <c r="H47" s="30">
        <v>-33333</v>
      </c>
      <c r="I47" s="30">
        <v>0</v>
      </c>
      <c r="J47" s="30">
        <v>0</v>
      </c>
      <c r="K47" s="30">
        <v>0</v>
      </c>
      <c r="L47" s="30">
        <v>0</v>
      </c>
      <c r="M47" s="31">
        <f t="shared" si="0"/>
        <v>0</v>
      </c>
      <c r="N47" s="32" t="str">
        <f t="shared" si="1"/>
        <v>n/a</v>
      </c>
      <c r="O47" s="6" t="str">
        <f>IF(ABS(M47)&lt;Overview!$B$6,"OK",IF(I47=0,"REVIEW (zero base)",IF(ABS(M47/ABS(I47))&gt;=Overview!$B$5,"REVIEW","OK")))</f>
        <v>OK</v>
      </c>
      <c r="P47" s="31">
        <f t="shared" si="2"/>
        <v>0</v>
      </c>
      <c r="Q47" s="32" t="str">
        <f t="shared" si="3"/>
        <v>n/a</v>
      </c>
      <c r="R47" s="6" t="str">
        <f>IF(ABS(P47)&lt;Overview!$B$6,"OK",IF(J47=0,"REVIEW (zero base)",IF(ABS(P47/ABS(J47))&gt;=Overview!$B$5,"REVIEW","OK")))</f>
        <v>OK</v>
      </c>
      <c r="S47" s="33">
        <f t="shared" si="4"/>
        <v>0</v>
      </c>
    </row>
    <row r="48" spans="1:19" x14ac:dyDescent="0.2">
      <c r="A48" s="17">
        <v>46</v>
      </c>
      <c r="B48" s="17" t="s">
        <v>171</v>
      </c>
      <c r="C48" s="17" t="s">
        <v>172</v>
      </c>
      <c r="D48" s="17" t="s">
        <v>61</v>
      </c>
      <c r="E48" s="17" t="s">
        <v>107</v>
      </c>
      <c r="F48" s="17" t="s">
        <v>189</v>
      </c>
      <c r="G48" s="17" t="s">
        <v>228</v>
      </c>
      <c r="H48" s="30">
        <v>-22</v>
      </c>
      <c r="I48" s="30">
        <v>-21</v>
      </c>
      <c r="J48" s="30">
        <v>-60</v>
      </c>
      <c r="K48" s="30">
        <v>-60</v>
      </c>
      <c r="L48" s="30">
        <v>-60</v>
      </c>
      <c r="M48" s="31">
        <f t="shared" si="0"/>
        <v>-39</v>
      </c>
      <c r="N48" s="32">
        <f t="shared" si="1"/>
        <v>-1.8571428571428572</v>
      </c>
      <c r="O48" s="6" t="str">
        <f>IF(ABS(M48)&lt;Overview!$B$6,"OK",IF(I48=0,"REVIEW (zero base)",IF(ABS(M48/ABS(I48))&gt;=Overview!$B$5,"REVIEW","OK")))</f>
        <v>OK</v>
      </c>
      <c r="P48" s="31">
        <f t="shared" si="2"/>
        <v>0</v>
      </c>
      <c r="Q48" s="32">
        <f t="shared" si="3"/>
        <v>0</v>
      </c>
      <c r="R48" s="6" t="str">
        <f>IF(ABS(P48)&lt;Overview!$B$6,"OK",IF(J48=0,"REVIEW (zero base)",IF(ABS(P48/ABS(J48))&gt;=Overview!$B$5,"REVIEW","OK")))</f>
        <v>OK</v>
      </c>
      <c r="S48" s="33">
        <f t="shared" si="4"/>
        <v>0</v>
      </c>
    </row>
    <row r="49" spans="1:19" x14ac:dyDescent="0.2">
      <c r="A49" s="17">
        <v>47</v>
      </c>
      <c r="B49" s="17" t="s">
        <v>171</v>
      </c>
      <c r="C49" s="17" t="s">
        <v>172</v>
      </c>
      <c r="D49" s="17" t="s">
        <v>61</v>
      </c>
      <c r="E49" s="17" t="s">
        <v>107</v>
      </c>
      <c r="F49" s="17" t="s">
        <v>189</v>
      </c>
      <c r="G49" s="17" t="s">
        <v>229</v>
      </c>
      <c r="H49" s="30">
        <v>-499</v>
      </c>
      <c r="I49" s="30">
        <v>-324</v>
      </c>
      <c r="J49" s="30">
        <v>-480</v>
      </c>
      <c r="K49" s="30">
        <v>-480</v>
      </c>
      <c r="L49" s="30">
        <v>0</v>
      </c>
      <c r="M49" s="31">
        <f t="shared" si="0"/>
        <v>-156</v>
      </c>
      <c r="N49" s="32">
        <f t="shared" si="1"/>
        <v>-0.48148148148148145</v>
      </c>
      <c r="O49" s="6" t="str">
        <f>IF(ABS(M49)&lt;Overview!$B$6,"OK",IF(I49=0,"REVIEW (zero base)",IF(ABS(M49/ABS(I49))&gt;=Overview!$B$5,"REVIEW","OK")))</f>
        <v>OK</v>
      </c>
      <c r="P49" s="31">
        <f t="shared" si="2"/>
        <v>0</v>
      </c>
      <c r="Q49" s="32">
        <f t="shared" si="3"/>
        <v>0</v>
      </c>
      <c r="R49" s="6" t="str">
        <f>IF(ABS(P49)&lt;Overview!$B$6,"OK",IF(J49=0,"REVIEW (zero base)",IF(ABS(P49/ABS(J49))&gt;=Overview!$B$5,"REVIEW","OK")))</f>
        <v>OK</v>
      </c>
      <c r="S49" s="33">
        <f t="shared" si="4"/>
        <v>0</v>
      </c>
    </row>
    <row r="50" spans="1:19" x14ac:dyDescent="0.2">
      <c r="A50" s="17">
        <v>48</v>
      </c>
      <c r="B50" s="17" t="s">
        <v>171</v>
      </c>
      <c r="C50" s="17" t="s">
        <v>172</v>
      </c>
      <c r="D50" s="17" t="s">
        <v>61</v>
      </c>
      <c r="E50" s="17" t="s">
        <v>107</v>
      </c>
      <c r="F50" s="17" t="s">
        <v>189</v>
      </c>
      <c r="G50" s="17" t="s">
        <v>230</v>
      </c>
      <c r="H50" s="30">
        <v>-1347</v>
      </c>
      <c r="I50" s="30">
        <v>-1438</v>
      </c>
      <c r="J50" s="30">
        <v>-1200</v>
      </c>
      <c r="K50" s="30">
        <v>-1200</v>
      </c>
      <c r="L50" s="30">
        <v>-1200</v>
      </c>
      <c r="M50" s="31">
        <f t="shared" si="0"/>
        <v>238</v>
      </c>
      <c r="N50" s="32">
        <f t="shared" si="1"/>
        <v>0.16550764951321278</v>
      </c>
      <c r="O50" s="6" t="str">
        <f>IF(ABS(M50)&lt;Overview!$B$6,"OK",IF(I50=0,"REVIEW (zero base)",IF(ABS(M50/ABS(I50))&gt;=Overview!$B$5,"REVIEW","OK")))</f>
        <v>OK</v>
      </c>
      <c r="P50" s="31">
        <f t="shared" si="2"/>
        <v>0</v>
      </c>
      <c r="Q50" s="32">
        <f t="shared" si="3"/>
        <v>0</v>
      </c>
      <c r="R50" s="6" t="str">
        <f>IF(ABS(P50)&lt;Overview!$B$6,"OK",IF(J50=0,"REVIEW (zero base)",IF(ABS(P50/ABS(J50))&gt;=Overview!$B$5,"REVIEW","OK")))</f>
        <v>OK</v>
      </c>
      <c r="S50" s="33">
        <f t="shared" si="4"/>
        <v>0</v>
      </c>
    </row>
    <row r="51" spans="1:19" x14ac:dyDescent="0.2">
      <c r="A51" s="17">
        <v>49</v>
      </c>
      <c r="B51" s="17" t="s">
        <v>171</v>
      </c>
      <c r="C51" s="17" t="s">
        <v>172</v>
      </c>
      <c r="D51" s="17" t="s">
        <v>61</v>
      </c>
      <c r="E51" s="17" t="s">
        <v>107</v>
      </c>
      <c r="F51" s="17" t="s">
        <v>189</v>
      </c>
      <c r="G51" s="17" t="s">
        <v>231</v>
      </c>
      <c r="H51" s="30">
        <v>0</v>
      </c>
      <c r="I51" s="30">
        <v>-5</v>
      </c>
      <c r="J51" s="30">
        <v>0</v>
      </c>
      <c r="K51" s="30">
        <v>0</v>
      </c>
      <c r="L51" s="30">
        <v>0</v>
      </c>
      <c r="M51" s="31">
        <f t="shared" si="0"/>
        <v>5</v>
      </c>
      <c r="N51" s="32">
        <f t="shared" si="1"/>
        <v>1</v>
      </c>
      <c r="O51" s="6" t="str">
        <f>IF(ABS(M51)&lt;Overview!$B$6,"OK",IF(I51=0,"REVIEW (zero base)",IF(ABS(M51/ABS(I51))&gt;=Overview!$B$5,"REVIEW","OK")))</f>
        <v>OK</v>
      </c>
      <c r="P51" s="31">
        <f t="shared" si="2"/>
        <v>0</v>
      </c>
      <c r="Q51" s="32" t="str">
        <f t="shared" si="3"/>
        <v>n/a</v>
      </c>
      <c r="R51" s="6" t="str">
        <f>IF(ABS(P51)&lt;Overview!$B$6,"OK",IF(J51=0,"REVIEW (zero base)",IF(ABS(P51/ABS(J51))&gt;=Overview!$B$5,"REVIEW","OK")))</f>
        <v>OK</v>
      </c>
      <c r="S51" s="33">
        <f t="shared" si="4"/>
        <v>0</v>
      </c>
    </row>
    <row r="52" spans="1:19" x14ac:dyDescent="0.2">
      <c r="A52" s="17">
        <v>50</v>
      </c>
      <c r="B52" s="17" t="s">
        <v>171</v>
      </c>
      <c r="C52" s="17" t="s">
        <v>172</v>
      </c>
      <c r="D52" s="17" t="s">
        <v>61</v>
      </c>
      <c r="E52" s="17" t="s">
        <v>107</v>
      </c>
      <c r="F52" s="17" t="s">
        <v>189</v>
      </c>
      <c r="G52" s="17" t="s">
        <v>232</v>
      </c>
      <c r="H52" s="30">
        <v>-4245</v>
      </c>
      <c r="I52" s="30">
        <v>-2980</v>
      </c>
      <c r="J52" s="30">
        <v>-4200</v>
      </c>
      <c r="K52" s="30">
        <v>-4200</v>
      </c>
      <c r="L52" s="30">
        <v>-4200</v>
      </c>
      <c r="M52" s="31">
        <f t="shared" si="0"/>
        <v>-1220</v>
      </c>
      <c r="N52" s="32">
        <f t="shared" si="1"/>
        <v>-0.40939597315436244</v>
      </c>
      <c r="O52" s="6" t="str">
        <f>IF(ABS(M52)&lt;Overview!$B$6,"OK",IF(I52=0,"REVIEW (zero base)",IF(ABS(M52/ABS(I52))&gt;=Overview!$B$5,"REVIEW","OK")))</f>
        <v>OK</v>
      </c>
      <c r="P52" s="31">
        <f t="shared" si="2"/>
        <v>0</v>
      </c>
      <c r="Q52" s="32">
        <f t="shared" si="3"/>
        <v>0</v>
      </c>
      <c r="R52" s="6" t="str">
        <f>IF(ABS(P52)&lt;Overview!$B$6,"OK",IF(J52=0,"REVIEW (zero base)",IF(ABS(P52/ABS(J52))&gt;=Overview!$B$5,"REVIEW","OK")))</f>
        <v>OK</v>
      </c>
      <c r="S52" s="33">
        <f t="shared" si="4"/>
        <v>0</v>
      </c>
    </row>
    <row r="53" spans="1:19" x14ac:dyDescent="0.2">
      <c r="A53" s="17">
        <v>51</v>
      </c>
      <c r="B53" s="17" t="s">
        <v>171</v>
      </c>
      <c r="C53" s="17" t="s">
        <v>172</v>
      </c>
      <c r="D53" s="17" t="s">
        <v>61</v>
      </c>
      <c r="E53" s="17" t="s">
        <v>107</v>
      </c>
      <c r="F53" s="17" t="s">
        <v>189</v>
      </c>
      <c r="G53" s="17" t="s">
        <v>233</v>
      </c>
      <c r="H53" s="30">
        <v>-80</v>
      </c>
      <c r="I53" s="30">
        <v>0</v>
      </c>
      <c r="J53" s="30">
        <v>0</v>
      </c>
      <c r="K53" s="30">
        <v>0</v>
      </c>
      <c r="L53" s="30">
        <v>0</v>
      </c>
      <c r="M53" s="31">
        <f t="shared" si="0"/>
        <v>0</v>
      </c>
      <c r="N53" s="32" t="str">
        <f t="shared" si="1"/>
        <v>n/a</v>
      </c>
      <c r="O53" s="6" t="str">
        <f>IF(ABS(M53)&lt;Overview!$B$6,"OK",IF(I53=0,"REVIEW (zero base)",IF(ABS(M53/ABS(I53))&gt;=Overview!$B$5,"REVIEW","OK")))</f>
        <v>OK</v>
      </c>
      <c r="P53" s="31">
        <f t="shared" si="2"/>
        <v>0</v>
      </c>
      <c r="Q53" s="32" t="str">
        <f t="shared" si="3"/>
        <v>n/a</v>
      </c>
      <c r="R53" s="6" t="str">
        <f>IF(ABS(P53)&lt;Overview!$B$6,"OK",IF(J53=0,"REVIEW (zero base)",IF(ABS(P53/ABS(J53))&gt;=Overview!$B$5,"REVIEW","OK")))</f>
        <v>OK</v>
      </c>
      <c r="S53" s="33">
        <f t="shared" si="4"/>
        <v>0</v>
      </c>
    </row>
    <row r="54" spans="1:19" x14ac:dyDescent="0.2">
      <c r="A54" s="17">
        <v>52</v>
      </c>
      <c r="B54" s="17" t="s">
        <v>171</v>
      </c>
      <c r="C54" s="17" t="s">
        <v>172</v>
      </c>
      <c r="D54" s="17" t="s">
        <v>61</v>
      </c>
      <c r="E54" s="17" t="s">
        <v>107</v>
      </c>
      <c r="F54" s="17" t="s">
        <v>189</v>
      </c>
      <c r="G54" s="17" t="s">
        <v>234</v>
      </c>
      <c r="H54" s="30">
        <v>-616</v>
      </c>
      <c r="I54" s="30">
        <v>-1341</v>
      </c>
      <c r="J54" s="30">
        <v>-1200</v>
      </c>
      <c r="K54" s="30">
        <v>-1500</v>
      </c>
      <c r="L54" s="30">
        <v>-1500</v>
      </c>
      <c r="M54" s="31">
        <f t="shared" si="0"/>
        <v>141</v>
      </c>
      <c r="N54" s="32">
        <f t="shared" si="1"/>
        <v>0.10514541387024609</v>
      </c>
      <c r="O54" s="6" t="str">
        <f>IF(ABS(M54)&lt;Overview!$B$6,"OK",IF(I54=0,"REVIEW (zero base)",IF(ABS(M54/ABS(I54))&gt;=Overview!$B$5,"REVIEW","OK")))</f>
        <v>OK</v>
      </c>
      <c r="P54" s="31">
        <f t="shared" si="2"/>
        <v>-300</v>
      </c>
      <c r="Q54" s="32">
        <f t="shared" si="3"/>
        <v>-0.25</v>
      </c>
      <c r="R54" s="6" t="str">
        <f>IF(ABS(P54)&lt;Overview!$B$6,"OK",IF(J54=0,"REVIEW (zero base)",IF(ABS(P54/ABS(J54))&gt;=Overview!$B$5,"REVIEW","OK")))</f>
        <v>OK</v>
      </c>
      <c r="S54" s="33">
        <f t="shared" si="4"/>
        <v>0</v>
      </c>
    </row>
    <row r="55" spans="1:19" x14ac:dyDescent="0.2">
      <c r="A55" s="17">
        <v>53</v>
      </c>
      <c r="B55" s="17" t="s">
        <v>171</v>
      </c>
      <c r="C55" s="17" t="s">
        <v>172</v>
      </c>
      <c r="D55" s="17" t="s">
        <v>61</v>
      </c>
      <c r="E55" s="17" t="s">
        <v>107</v>
      </c>
      <c r="F55" s="17" t="s">
        <v>189</v>
      </c>
      <c r="G55" s="17" t="s">
        <v>235</v>
      </c>
      <c r="H55" s="30">
        <v>-564</v>
      </c>
      <c r="I55" s="30">
        <v>-417</v>
      </c>
      <c r="J55" s="30">
        <v>-120</v>
      </c>
      <c r="K55" s="30">
        <v>-480</v>
      </c>
      <c r="L55" s="30">
        <v>-480</v>
      </c>
      <c r="M55" s="31">
        <f t="shared" si="0"/>
        <v>297</v>
      </c>
      <c r="N55" s="32">
        <f t="shared" si="1"/>
        <v>0.71223021582733814</v>
      </c>
      <c r="O55" s="6" t="str">
        <f>IF(ABS(M55)&lt;Overview!$B$6,"OK",IF(I55=0,"REVIEW (zero base)",IF(ABS(M55/ABS(I55))&gt;=Overview!$B$5,"REVIEW","OK")))</f>
        <v>OK</v>
      </c>
      <c r="P55" s="31">
        <f t="shared" si="2"/>
        <v>-360</v>
      </c>
      <c r="Q55" s="32">
        <f t="shared" si="3"/>
        <v>-3</v>
      </c>
      <c r="R55" s="6" t="str">
        <f>IF(ABS(P55)&lt;Overview!$B$6,"OK",IF(J55=0,"REVIEW (zero base)",IF(ABS(P55/ABS(J55))&gt;=Overview!$B$5,"REVIEW","OK")))</f>
        <v>OK</v>
      </c>
      <c r="S55" s="33">
        <f t="shared" si="4"/>
        <v>0</v>
      </c>
    </row>
    <row r="56" spans="1:19" x14ac:dyDescent="0.2">
      <c r="A56" s="17">
        <v>54</v>
      </c>
      <c r="B56" s="17" t="s">
        <v>171</v>
      </c>
      <c r="C56" s="17" t="s">
        <v>172</v>
      </c>
      <c r="D56" s="17" t="s">
        <v>61</v>
      </c>
      <c r="E56" s="17" t="s">
        <v>107</v>
      </c>
      <c r="F56" s="17" t="s">
        <v>189</v>
      </c>
      <c r="G56" s="17" t="s">
        <v>236</v>
      </c>
      <c r="H56" s="30">
        <v>-2025</v>
      </c>
      <c r="I56" s="30">
        <v>-1900</v>
      </c>
      <c r="J56" s="30">
        <v>-1200</v>
      </c>
      <c r="K56" s="30">
        <v>-2400</v>
      </c>
      <c r="L56" s="30">
        <v>-2400</v>
      </c>
      <c r="M56" s="31">
        <f t="shared" si="0"/>
        <v>700</v>
      </c>
      <c r="N56" s="32">
        <f t="shared" si="1"/>
        <v>0.36842105263157893</v>
      </c>
      <c r="O56" s="6" t="str">
        <f>IF(ABS(M56)&lt;Overview!$B$6,"OK",IF(I56=0,"REVIEW (zero base)",IF(ABS(M56/ABS(I56))&gt;=Overview!$B$5,"REVIEW","OK")))</f>
        <v>OK</v>
      </c>
      <c r="P56" s="31">
        <f t="shared" si="2"/>
        <v>-1200</v>
      </c>
      <c r="Q56" s="32">
        <f t="shared" si="3"/>
        <v>-1</v>
      </c>
      <c r="R56" s="6" t="str">
        <f>IF(ABS(P56)&lt;Overview!$B$6,"OK",IF(J56=0,"REVIEW (zero base)",IF(ABS(P56/ABS(J56))&gt;=Overview!$B$5,"REVIEW","OK")))</f>
        <v>OK</v>
      </c>
      <c r="S56" s="33">
        <f t="shared" si="4"/>
        <v>0</v>
      </c>
    </row>
    <row r="57" spans="1:19" x14ac:dyDescent="0.2">
      <c r="A57" s="17">
        <v>55</v>
      </c>
      <c r="B57" s="17" t="s">
        <v>171</v>
      </c>
      <c r="C57" s="17" t="s">
        <v>172</v>
      </c>
      <c r="D57" s="17" t="s">
        <v>61</v>
      </c>
      <c r="E57" s="17" t="s">
        <v>107</v>
      </c>
      <c r="F57" s="17" t="s">
        <v>204</v>
      </c>
      <c r="G57" s="17" t="s">
        <v>205</v>
      </c>
      <c r="H57" s="30">
        <v>-25</v>
      </c>
      <c r="I57" s="30">
        <v>0</v>
      </c>
      <c r="J57" s="30">
        <v>0</v>
      </c>
      <c r="K57" s="30">
        <v>0</v>
      </c>
      <c r="L57" s="30">
        <v>0</v>
      </c>
      <c r="M57" s="31">
        <f t="shared" si="0"/>
        <v>0</v>
      </c>
      <c r="N57" s="32" t="str">
        <f t="shared" si="1"/>
        <v>n/a</v>
      </c>
      <c r="O57" s="6" t="str">
        <f>IF(ABS(M57)&lt;Overview!$B$6,"OK",IF(I57=0,"REVIEW (zero base)",IF(ABS(M57/ABS(I57))&gt;=Overview!$B$5,"REVIEW","OK")))</f>
        <v>OK</v>
      </c>
      <c r="P57" s="31">
        <f t="shared" si="2"/>
        <v>0</v>
      </c>
      <c r="Q57" s="32" t="str">
        <f t="shared" si="3"/>
        <v>n/a</v>
      </c>
      <c r="R57" s="6" t="str">
        <f>IF(ABS(P57)&lt;Overview!$B$6,"OK",IF(J57=0,"REVIEW (zero base)",IF(ABS(P57/ABS(J57))&gt;=Overview!$B$5,"REVIEW","OK")))</f>
        <v>OK</v>
      </c>
      <c r="S57" s="33">
        <f t="shared" si="4"/>
        <v>0</v>
      </c>
    </row>
    <row r="58" spans="1:19" x14ac:dyDescent="0.2">
      <c r="A58" s="17">
        <v>56</v>
      </c>
      <c r="B58" s="17" t="s">
        <v>171</v>
      </c>
      <c r="C58" s="17" t="s">
        <v>172</v>
      </c>
      <c r="D58" s="17" t="s">
        <v>61</v>
      </c>
      <c r="E58" s="17" t="s">
        <v>107</v>
      </c>
      <c r="F58" s="17" t="s">
        <v>207</v>
      </c>
      <c r="G58" s="17" t="s">
        <v>237</v>
      </c>
      <c r="H58" s="30">
        <v>0</v>
      </c>
      <c r="I58" s="30">
        <v>-25</v>
      </c>
      <c r="J58" s="30">
        <v>-1200</v>
      </c>
      <c r="K58" s="30">
        <v>-1200</v>
      </c>
      <c r="L58" s="30">
        <v>-1200</v>
      </c>
      <c r="M58" s="31">
        <f t="shared" si="0"/>
        <v>-1175</v>
      </c>
      <c r="N58" s="32">
        <f t="shared" si="1"/>
        <v>-47</v>
      </c>
      <c r="O58" s="6" t="str">
        <f>IF(ABS(M58)&lt;Overview!$B$6,"OK",IF(I58=0,"REVIEW (zero base)",IF(ABS(M58/ABS(I58))&gt;=Overview!$B$5,"REVIEW","OK")))</f>
        <v>OK</v>
      </c>
      <c r="P58" s="31">
        <f t="shared" si="2"/>
        <v>0</v>
      </c>
      <c r="Q58" s="32">
        <f t="shared" si="3"/>
        <v>0</v>
      </c>
      <c r="R58" s="6" t="str">
        <f>IF(ABS(P58)&lt;Overview!$B$6,"OK",IF(J58=0,"REVIEW (zero base)",IF(ABS(P58/ABS(J58))&gt;=Overview!$B$5,"REVIEW","OK")))</f>
        <v>OK</v>
      </c>
      <c r="S58" s="33">
        <f t="shared" si="4"/>
        <v>0</v>
      </c>
    </row>
    <row r="59" spans="1:19" x14ac:dyDescent="0.2">
      <c r="A59" s="17">
        <v>57</v>
      </c>
      <c r="B59" s="17" t="s">
        <v>171</v>
      </c>
      <c r="C59" s="17" t="s">
        <v>172</v>
      </c>
      <c r="D59" s="17" t="s">
        <v>61</v>
      </c>
      <c r="E59" s="17" t="s">
        <v>125</v>
      </c>
      <c r="F59" s="17" t="s">
        <v>189</v>
      </c>
      <c r="G59" s="17" t="s">
        <v>228</v>
      </c>
      <c r="H59" s="30">
        <v>551</v>
      </c>
      <c r="I59" s="30">
        <v>-34</v>
      </c>
      <c r="J59" s="30">
        <v>-48</v>
      </c>
      <c r="K59" s="30">
        <v>-22</v>
      </c>
      <c r="L59" s="30">
        <v>-22</v>
      </c>
      <c r="M59" s="31">
        <f t="shared" si="0"/>
        <v>-14</v>
      </c>
      <c r="N59" s="32">
        <f t="shared" si="1"/>
        <v>-0.41176470588235292</v>
      </c>
      <c r="O59" s="6" t="str">
        <f>IF(ABS(M59)&lt;Overview!$B$6,"OK",IF(I59=0,"REVIEW (zero base)",IF(ABS(M59/ABS(I59))&gt;=Overview!$B$5,"REVIEW","OK")))</f>
        <v>OK</v>
      </c>
      <c r="P59" s="31">
        <f t="shared" si="2"/>
        <v>26</v>
      </c>
      <c r="Q59" s="32">
        <f t="shared" si="3"/>
        <v>0.54166666666666663</v>
      </c>
      <c r="R59" s="6" t="str">
        <f>IF(ABS(P59)&lt;Overview!$B$6,"OK",IF(J59=0,"REVIEW (zero base)",IF(ABS(P59/ABS(J59))&gt;=Overview!$B$5,"REVIEW","OK")))</f>
        <v>OK</v>
      </c>
      <c r="S59" s="33">
        <f t="shared" si="4"/>
        <v>0</v>
      </c>
    </row>
    <row r="60" spans="1:19" x14ac:dyDescent="0.2">
      <c r="A60" s="17">
        <v>58</v>
      </c>
      <c r="B60" s="17" t="s">
        <v>171</v>
      </c>
      <c r="C60" s="17" t="s">
        <v>172</v>
      </c>
      <c r="D60" s="17" t="s">
        <v>61</v>
      </c>
      <c r="E60" s="17" t="s">
        <v>125</v>
      </c>
      <c r="F60" s="17" t="s">
        <v>204</v>
      </c>
      <c r="G60" s="17" t="s">
        <v>205</v>
      </c>
      <c r="H60" s="30">
        <v>0</v>
      </c>
      <c r="I60" s="30">
        <v>0</v>
      </c>
      <c r="J60" s="30">
        <v>-54</v>
      </c>
      <c r="K60" s="30">
        <v>-22</v>
      </c>
      <c r="L60" s="30">
        <v>0</v>
      </c>
      <c r="M60" s="31">
        <f t="shared" si="0"/>
        <v>-54</v>
      </c>
      <c r="N60" s="32" t="str">
        <f t="shared" si="1"/>
        <v>n/a</v>
      </c>
      <c r="O60" s="6" t="str">
        <f>IF(ABS(M60)&lt;Overview!$B$6,"OK",IF(I60=0,"REVIEW (zero base)",IF(ABS(M60/ABS(I60))&gt;=Overview!$B$5,"REVIEW","OK")))</f>
        <v>OK</v>
      </c>
      <c r="P60" s="31">
        <f t="shared" si="2"/>
        <v>32</v>
      </c>
      <c r="Q60" s="32">
        <f t="shared" si="3"/>
        <v>0.59259259259259256</v>
      </c>
      <c r="R60" s="6" t="str">
        <f>IF(ABS(P60)&lt;Overview!$B$6,"OK",IF(J60=0,"REVIEW (zero base)",IF(ABS(P60/ABS(J60))&gt;=Overview!$B$5,"REVIEW","OK")))</f>
        <v>OK</v>
      </c>
      <c r="S60" s="33">
        <f t="shared" si="4"/>
        <v>0</v>
      </c>
    </row>
    <row r="61" spans="1:19" x14ac:dyDescent="0.2">
      <c r="A61" s="17">
        <v>59</v>
      </c>
      <c r="B61" s="17" t="s">
        <v>171</v>
      </c>
      <c r="C61" s="17" t="s">
        <v>172</v>
      </c>
      <c r="D61" s="17" t="s">
        <v>70</v>
      </c>
      <c r="E61" s="17" t="s">
        <v>136</v>
      </c>
      <c r="F61" s="17" t="s">
        <v>189</v>
      </c>
      <c r="G61" s="17" t="s">
        <v>228</v>
      </c>
      <c r="H61" s="30">
        <v>-1520</v>
      </c>
      <c r="I61" s="30">
        <v>-450</v>
      </c>
      <c r="J61" s="30">
        <v>-1200</v>
      </c>
      <c r="K61" s="30">
        <v>-1200</v>
      </c>
      <c r="L61" s="30">
        <v>-1200</v>
      </c>
      <c r="M61" s="31">
        <f t="shared" si="0"/>
        <v>-750</v>
      </c>
      <c r="N61" s="32">
        <f t="shared" si="1"/>
        <v>-1.6666666666666667</v>
      </c>
      <c r="O61" s="6" t="str">
        <f>IF(ABS(M61)&lt;Overview!$B$6,"OK",IF(I61=0,"REVIEW (zero base)",IF(ABS(M61/ABS(I61))&gt;=Overview!$B$5,"REVIEW","OK")))</f>
        <v>OK</v>
      </c>
      <c r="P61" s="31">
        <f t="shared" si="2"/>
        <v>0</v>
      </c>
      <c r="Q61" s="32">
        <f t="shared" si="3"/>
        <v>0</v>
      </c>
      <c r="R61" s="6" t="str">
        <f>IF(ABS(P61)&lt;Overview!$B$6,"OK",IF(J61=0,"REVIEW (zero base)",IF(ABS(P61/ABS(J61))&gt;=Overview!$B$5,"REVIEW","OK")))</f>
        <v>OK</v>
      </c>
      <c r="S61" s="33">
        <f t="shared" si="4"/>
        <v>0</v>
      </c>
    </row>
    <row r="62" spans="1:19" x14ac:dyDescent="0.2">
      <c r="A62" s="17">
        <v>60</v>
      </c>
      <c r="B62" s="17" t="s">
        <v>171</v>
      </c>
      <c r="C62" s="17" t="s">
        <v>172</v>
      </c>
      <c r="D62" s="17" t="s">
        <v>70</v>
      </c>
      <c r="E62" s="17" t="s">
        <v>136</v>
      </c>
      <c r="F62" s="17" t="s">
        <v>189</v>
      </c>
      <c r="G62" s="17" t="s">
        <v>229</v>
      </c>
      <c r="H62" s="30">
        <v>-309406</v>
      </c>
      <c r="I62" s="30">
        <v>-269479</v>
      </c>
      <c r="J62" s="30">
        <v>-325300</v>
      </c>
      <c r="K62" s="30">
        <v>-325300</v>
      </c>
      <c r="L62" s="30">
        <v>0</v>
      </c>
      <c r="M62" s="31">
        <f t="shared" si="0"/>
        <v>-55821</v>
      </c>
      <c r="N62" s="32">
        <f t="shared" si="1"/>
        <v>-0.20714415594536123</v>
      </c>
      <c r="O62" s="6" t="str">
        <f>IF(ABS(M62)&lt;Overview!$B$6,"OK",IF(I62=0,"REVIEW (zero base)",IF(ABS(M62/ABS(I62))&gt;=Overview!$B$5,"REVIEW","OK")))</f>
        <v>OK</v>
      </c>
      <c r="P62" s="31">
        <f t="shared" si="2"/>
        <v>0</v>
      </c>
      <c r="Q62" s="32">
        <f t="shared" si="3"/>
        <v>0</v>
      </c>
      <c r="R62" s="6" t="str">
        <f>IF(ABS(P62)&lt;Overview!$B$6,"OK",IF(J62=0,"REVIEW (zero base)",IF(ABS(P62/ABS(J62))&gt;=Overview!$B$5,"REVIEW","OK")))</f>
        <v>OK</v>
      </c>
      <c r="S62" s="33">
        <f t="shared" si="4"/>
        <v>0</v>
      </c>
    </row>
    <row r="63" spans="1:19" x14ac:dyDescent="0.2">
      <c r="A63" s="17">
        <v>61</v>
      </c>
      <c r="B63" s="17" t="s">
        <v>171</v>
      </c>
      <c r="C63" s="17" t="s">
        <v>172</v>
      </c>
      <c r="D63" s="17" t="s">
        <v>70</v>
      </c>
      <c r="E63" s="17" t="s">
        <v>136</v>
      </c>
      <c r="F63" s="17" t="s">
        <v>189</v>
      </c>
      <c r="G63" s="17" t="s">
        <v>238</v>
      </c>
      <c r="H63" s="30">
        <v>-9382</v>
      </c>
      <c r="I63" s="30">
        <v>-8054</v>
      </c>
      <c r="J63" s="30">
        <v>-10200</v>
      </c>
      <c r="K63" s="30">
        <v>-10000</v>
      </c>
      <c r="L63" s="30">
        <v>-10740</v>
      </c>
      <c r="M63" s="31">
        <f t="shared" si="0"/>
        <v>-2146</v>
      </c>
      <c r="N63" s="32">
        <f t="shared" si="1"/>
        <v>-0.26645145269431336</v>
      </c>
      <c r="O63" s="6" t="str">
        <f>IF(ABS(M63)&lt;Overview!$B$6,"OK",IF(I63=0,"REVIEW (zero base)",IF(ABS(M63/ABS(I63))&gt;=Overview!$B$5,"REVIEW","OK")))</f>
        <v>OK</v>
      </c>
      <c r="P63" s="31">
        <f t="shared" si="2"/>
        <v>200</v>
      </c>
      <c r="Q63" s="32">
        <f t="shared" si="3"/>
        <v>1.9607843137254902E-2</v>
      </c>
      <c r="R63" s="6" t="str">
        <f>IF(ABS(P63)&lt;Overview!$B$6,"OK",IF(J63=0,"REVIEW (zero base)",IF(ABS(P63/ABS(J63))&gt;=Overview!$B$5,"REVIEW","OK")))</f>
        <v>OK</v>
      </c>
      <c r="S63" s="33">
        <f t="shared" si="4"/>
        <v>0</v>
      </c>
    </row>
    <row r="64" spans="1:19" x14ac:dyDescent="0.2">
      <c r="A64" s="17">
        <v>62</v>
      </c>
      <c r="B64" s="17" t="s">
        <v>171</v>
      </c>
      <c r="C64" s="17" t="s">
        <v>172</v>
      </c>
      <c r="D64" s="17" t="s">
        <v>70</v>
      </c>
      <c r="E64" s="17" t="s">
        <v>116</v>
      </c>
      <c r="F64" s="17" t="s">
        <v>239</v>
      </c>
      <c r="G64" s="17" t="s">
        <v>240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1">
        <f t="shared" si="0"/>
        <v>0</v>
      </c>
      <c r="N64" s="32" t="str">
        <f t="shared" si="1"/>
        <v>n/a</v>
      </c>
      <c r="O64" s="6" t="str">
        <f>IF(ABS(M64)&lt;Overview!$B$6,"OK",IF(I64=0,"REVIEW (zero base)",IF(ABS(M64/ABS(I64))&gt;=Overview!$B$5,"REVIEW","OK")))</f>
        <v>OK</v>
      </c>
      <c r="P64" s="31">
        <f t="shared" si="2"/>
        <v>0</v>
      </c>
      <c r="Q64" s="32" t="str">
        <f t="shared" si="3"/>
        <v>n/a</v>
      </c>
      <c r="R64" s="6" t="str">
        <f>IF(ABS(P64)&lt;Overview!$B$6,"OK",IF(J64=0,"REVIEW (zero base)",IF(ABS(P64/ABS(J64))&gt;=Overview!$B$5,"REVIEW","OK")))</f>
        <v>OK</v>
      </c>
      <c r="S64" s="33">
        <f t="shared" si="4"/>
        <v>0</v>
      </c>
    </row>
    <row r="65" spans="1:19" x14ac:dyDescent="0.2">
      <c r="A65" s="17">
        <v>63</v>
      </c>
      <c r="B65" s="17" t="s">
        <v>171</v>
      </c>
      <c r="C65" s="17" t="s">
        <v>172</v>
      </c>
      <c r="D65" s="17" t="s">
        <v>70</v>
      </c>
      <c r="E65" s="17" t="s">
        <v>116</v>
      </c>
      <c r="F65" s="17" t="s">
        <v>189</v>
      </c>
      <c r="G65" s="17" t="s">
        <v>241</v>
      </c>
      <c r="H65" s="30">
        <v>-320</v>
      </c>
      <c r="I65" s="30">
        <v>0</v>
      </c>
      <c r="J65" s="30">
        <v>0</v>
      </c>
      <c r="K65" s="30">
        <v>0</v>
      </c>
      <c r="L65" s="30">
        <v>0</v>
      </c>
      <c r="M65" s="31">
        <f t="shared" si="0"/>
        <v>0</v>
      </c>
      <c r="N65" s="32" t="str">
        <f t="shared" si="1"/>
        <v>n/a</v>
      </c>
      <c r="O65" s="6" t="str">
        <f>IF(ABS(M65)&lt;Overview!$B$6,"OK",IF(I65=0,"REVIEW (zero base)",IF(ABS(M65/ABS(I65))&gt;=Overview!$B$5,"REVIEW","OK")))</f>
        <v>OK</v>
      </c>
      <c r="P65" s="31">
        <f t="shared" si="2"/>
        <v>0</v>
      </c>
      <c r="Q65" s="32" t="str">
        <f t="shared" si="3"/>
        <v>n/a</v>
      </c>
      <c r="R65" s="6" t="str">
        <f>IF(ABS(P65)&lt;Overview!$B$6,"OK",IF(J65=0,"REVIEW (zero base)",IF(ABS(P65/ABS(J65))&gt;=Overview!$B$5,"REVIEW","OK")))</f>
        <v>OK</v>
      </c>
      <c r="S65" s="33">
        <f t="shared" si="4"/>
        <v>0</v>
      </c>
    </row>
    <row r="66" spans="1:19" x14ac:dyDescent="0.2">
      <c r="A66" s="17">
        <v>64</v>
      </c>
      <c r="B66" s="17" t="s">
        <v>171</v>
      </c>
      <c r="C66" s="17" t="s">
        <v>172</v>
      </c>
      <c r="D66" s="17" t="s">
        <v>70</v>
      </c>
      <c r="E66" s="17" t="s">
        <v>120</v>
      </c>
      <c r="F66" s="17" t="s">
        <v>189</v>
      </c>
      <c r="G66" s="17" t="s">
        <v>228</v>
      </c>
      <c r="H66" s="30">
        <v>-1676</v>
      </c>
      <c r="I66" s="30">
        <v>-1535</v>
      </c>
      <c r="J66" s="30">
        <v>-1301</v>
      </c>
      <c r="K66" s="30">
        <v>-200</v>
      </c>
      <c r="L66" s="30">
        <v>0</v>
      </c>
      <c r="M66" s="31">
        <f t="shared" ref="M66:M129" si="5">J66-I66</f>
        <v>234</v>
      </c>
      <c r="N66" s="32">
        <f t="shared" ref="N66:N129" si="6">IF(I66=0,"n/a",M66/ABS(I66))</f>
        <v>0.15244299674267101</v>
      </c>
      <c r="O66" s="6" t="str">
        <f>IF(ABS(M66)&lt;Overview!$B$6,"OK",IF(I66=0,"REVIEW (zero base)",IF(ABS(M66/ABS(I66))&gt;=Overview!$B$5,"REVIEW","OK")))</f>
        <v>OK</v>
      </c>
      <c r="P66" s="31">
        <f t="shared" ref="P66:P129" si="7">K66-J66</f>
        <v>1101</v>
      </c>
      <c r="Q66" s="32">
        <f t="shared" ref="Q66:Q129" si="8">IF(J66=0,"n/a",P66/ABS(J66))</f>
        <v>0.84627209838585704</v>
      </c>
      <c r="R66" s="6" t="str">
        <f>IF(ABS(P66)&lt;Overview!$B$6,"OK",IF(J66=0,"REVIEW (zero base)",IF(ABS(P66/ABS(J66))&gt;=Overview!$B$5,"REVIEW","OK")))</f>
        <v>OK</v>
      </c>
      <c r="S66" s="33">
        <f t="shared" ref="S66:S129" si="9">IF(C66="EXPENSES",ABS(M66)+ROW()/1000000,0)</f>
        <v>0</v>
      </c>
    </row>
    <row r="67" spans="1:19" x14ac:dyDescent="0.2">
      <c r="A67" s="17">
        <v>65</v>
      </c>
      <c r="B67" s="17" t="s">
        <v>171</v>
      </c>
      <c r="C67" s="17" t="s">
        <v>172</v>
      </c>
      <c r="D67" s="17" t="s">
        <v>70</v>
      </c>
      <c r="E67" s="17" t="s">
        <v>120</v>
      </c>
      <c r="F67" s="17" t="s">
        <v>189</v>
      </c>
      <c r="G67" s="17" t="s">
        <v>242</v>
      </c>
      <c r="H67" s="30">
        <v>-831378</v>
      </c>
      <c r="I67" s="30">
        <v>-839263</v>
      </c>
      <c r="J67" s="30">
        <v>-656000</v>
      </c>
      <c r="K67" s="30">
        <v>-720000</v>
      </c>
      <c r="L67" s="30">
        <v>-850000</v>
      </c>
      <c r="M67" s="31">
        <f t="shared" si="5"/>
        <v>183263</v>
      </c>
      <c r="N67" s="32">
        <f t="shared" si="6"/>
        <v>0.21836182460087006</v>
      </c>
      <c r="O67" s="6" t="str">
        <f>IF(ABS(M67)&lt;Overview!$B$6,"OK",IF(I67=0,"REVIEW (zero base)",IF(ABS(M67/ABS(I67))&gt;=Overview!$B$5,"REVIEW","OK")))</f>
        <v>OK</v>
      </c>
      <c r="P67" s="31">
        <f t="shared" si="7"/>
        <v>-64000</v>
      </c>
      <c r="Q67" s="32">
        <f t="shared" si="8"/>
        <v>-9.7560975609756101E-2</v>
      </c>
      <c r="R67" s="6" t="str">
        <f>IF(ABS(P67)&lt;Overview!$B$6,"OK",IF(J67=0,"REVIEW (zero base)",IF(ABS(P67/ABS(J67))&gt;=Overview!$B$5,"REVIEW","OK")))</f>
        <v>OK</v>
      </c>
      <c r="S67" s="33">
        <f t="shared" si="9"/>
        <v>0</v>
      </c>
    </row>
    <row r="68" spans="1:19" x14ac:dyDescent="0.2">
      <c r="A68" s="17">
        <v>66</v>
      </c>
      <c r="B68" s="17" t="s">
        <v>171</v>
      </c>
      <c r="C68" s="17" t="s">
        <v>172</v>
      </c>
      <c r="D68" s="17" t="s">
        <v>70</v>
      </c>
      <c r="E68" s="17" t="s">
        <v>120</v>
      </c>
      <c r="F68" s="17" t="s">
        <v>189</v>
      </c>
      <c r="G68" s="17" t="s">
        <v>243</v>
      </c>
      <c r="H68" s="30">
        <v>-23400</v>
      </c>
      <c r="I68" s="30">
        <v>-23400</v>
      </c>
      <c r="J68" s="30">
        <v>0</v>
      </c>
      <c r="K68" s="30">
        <v>0</v>
      </c>
      <c r="L68" s="30">
        <v>0</v>
      </c>
      <c r="M68" s="31">
        <f t="shared" si="5"/>
        <v>23400</v>
      </c>
      <c r="N68" s="32">
        <f t="shared" si="6"/>
        <v>1</v>
      </c>
      <c r="O68" s="6" t="str">
        <f>IF(ABS(M68)&lt;Overview!$B$6,"OK",IF(I68=0,"REVIEW (zero base)",IF(ABS(M68/ABS(I68))&gt;=Overview!$B$5,"REVIEW","OK")))</f>
        <v>OK</v>
      </c>
      <c r="P68" s="31">
        <f t="shared" si="7"/>
        <v>0</v>
      </c>
      <c r="Q68" s="32" t="str">
        <f t="shared" si="8"/>
        <v>n/a</v>
      </c>
      <c r="R68" s="6" t="str">
        <f>IF(ABS(P68)&lt;Overview!$B$6,"OK",IF(J68=0,"REVIEW (zero base)",IF(ABS(P68/ABS(J68))&gt;=Overview!$B$5,"REVIEW","OK")))</f>
        <v>OK</v>
      </c>
      <c r="S68" s="33">
        <f t="shared" si="9"/>
        <v>0</v>
      </c>
    </row>
    <row r="69" spans="1:19" x14ac:dyDescent="0.2">
      <c r="A69" s="17">
        <v>67</v>
      </c>
      <c r="B69" s="17" t="s">
        <v>171</v>
      </c>
      <c r="C69" s="17" t="s">
        <v>172</v>
      </c>
      <c r="D69" s="17" t="s">
        <v>70</v>
      </c>
      <c r="E69" s="17" t="s">
        <v>120</v>
      </c>
      <c r="F69" s="17" t="s">
        <v>189</v>
      </c>
      <c r="G69" s="17" t="s">
        <v>244</v>
      </c>
      <c r="H69" s="30">
        <v>-164962</v>
      </c>
      <c r="I69" s="30">
        <v>-117870</v>
      </c>
      <c r="J69" s="30">
        <v>-78000</v>
      </c>
      <c r="K69" s="30">
        <v>-96000</v>
      </c>
      <c r="L69" s="30">
        <v>-156000</v>
      </c>
      <c r="M69" s="31">
        <f t="shared" si="5"/>
        <v>39870</v>
      </c>
      <c r="N69" s="32">
        <f t="shared" si="6"/>
        <v>0.33825400865360145</v>
      </c>
      <c r="O69" s="6" t="str">
        <f>IF(ABS(M69)&lt;Overview!$B$6,"OK",IF(I69=0,"REVIEW (zero base)",IF(ABS(M69/ABS(I69))&gt;=Overview!$B$5,"REVIEW","OK")))</f>
        <v>OK</v>
      </c>
      <c r="P69" s="31">
        <f t="shared" si="7"/>
        <v>-18000</v>
      </c>
      <c r="Q69" s="32">
        <f t="shared" si="8"/>
        <v>-0.23076923076923078</v>
      </c>
      <c r="R69" s="6" t="str">
        <f>IF(ABS(P69)&lt;Overview!$B$6,"OK",IF(J69=0,"REVIEW (zero base)",IF(ABS(P69/ABS(J69))&gt;=Overview!$B$5,"REVIEW","OK")))</f>
        <v>OK</v>
      </c>
      <c r="S69" s="33">
        <f t="shared" si="9"/>
        <v>0</v>
      </c>
    </row>
    <row r="70" spans="1:19" x14ac:dyDescent="0.2">
      <c r="A70" s="17">
        <v>68</v>
      </c>
      <c r="B70" s="17" t="s">
        <v>171</v>
      </c>
      <c r="C70" s="17" t="s">
        <v>172</v>
      </c>
      <c r="D70" s="17" t="s">
        <v>70</v>
      </c>
      <c r="E70" s="17" t="s">
        <v>120</v>
      </c>
      <c r="F70" s="17" t="s">
        <v>189</v>
      </c>
      <c r="G70" s="17" t="s">
        <v>245</v>
      </c>
      <c r="H70" s="30">
        <v>-1400</v>
      </c>
      <c r="I70" s="30">
        <v>-1000</v>
      </c>
      <c r="J70" s="30">
        <v>-1200</v>
      </c>
      <c r="K70" s="30">
        <v>-1200</v>
      </c>
      <c r="L70" s="30">
        <v>-1200</v>
      </c>
      <c r="M70" s="31">
        <f t="shared" si="5"/>
        <v>-200</v>
      </c>
      <c r="N70" s="32">
        <f t="shared" si="6"/>
        <v>-0.2</v>
      </c>
      <c r="O70" s="6" t="str">
        <f>IF(ABS(M70)&lt;Overview!$B$6,"OK",IF(I70=0,"REVIEW (zero base)",IF(ABS(M70/ABS(I70))&gt;=Overview!$B$5,"REVIEW","OK")))</f>
        <v>OK</v>
      </c>
      <c r="P70" s="31">
        <f t="shared" si="7"/>
        <v>0</v>
      </c>
      <c r="Q70" s="32">
        <f t="shared" si="8"/>
        <v>0</v>
      </c>
      <c r="R70" s="6" t="str">
        <f>IF(ABS(P70)&lt;Overview!$B$6,"OK",IF(J70=0,"REVIEW (zero base)",IF(ABS(P70/ABS(J70))&gt;=Overview!$B$5,"REVIEW","OK")))</f>
        <v>OK</v>
      </c>
      <c r="S70" s="33">
        <f t="shared" si="9"/>
        <v>0</v>
      </c>
    </row>
    <row r="71" spans="1:19" x14ac:dyDescent="0.2">
      <c r="A71" s="17">
        <v>69</v>
      </c>
      <c r="B71" s="17" t="s">
        <v>171</v>
      </c>
      <c r="C71" s="17" t="s">
        <v>172</v>
      </c>
      <c r="D71" s="17" t="s">
        <v>70</v>
      </c>
      <c r="E71" s="17" t="s">
        <v>120</v>
      </c>
      <c r="F71" s="17" t="s">
        <v>189</v>
      </c>
      <c r="G71" s="17" t="s">
        <v>246</v>
      </c>
      <c r="H71" s="30">
        <v>-400</v>
      </c>
      <c r="I71" s="30">
        <v>-600</v>
      </c>
      <c r="J71" s="30">
        <v>-1500</v>
      </c>
      <c r="K71" s="30">
        <v>-1500</v>
      </c>
      <c r="L71" s="30">
        <v>-1200</v>
      </c>
      <c r="M71" s="31">
        <f t="shared" si="5"/>
        <v>-900</v>
      </c>
      <c r="N71" s="32">
        <f t="shared" si="6"/>
        <v>-1.5</v>
      </c>
      <c r="O71" s="6" t="str">
        <f>IF(ABS(M71)&lt;Overview!$B$6,"OK",IF(I71=0,"REVIEW (zero base)",IF(ABS(M71/ABS(I71))&gt;=Overview!$B$5,"REVIEW","OK")))</f>
        <v>OK</v>
      </c>
      <c r="P71" s="31">
        <f t="shared" si="7"/>
        <v>0</v>
      </c>
      <c r="Q71" s="32">
        <f t="shared" si="8"/>
        <v>0</v>
      </c>
      <c r="R71" s="6" t="str">
        <f>IF(ABS(P71)&lt;Overview!$B$6,"OK",IF(J71=0,"REVIEW (zero base)",IF(ABS(P71/ABS(J71))&gt;=Overview!$B$5,"REVIEW","OK")))</f>
        <v>OK</v>
      </c>
      <c r="S71" s="33">
        <f t="shared" si="9"/>
        <v>0</v>
      </c>
    </row>
    <row r="72" spans="1:19" x14ac:dyDescent="0.2">
      <c r="A72" s="17">
        <v>70</v>
      </c>
      <c r="B72" s="17" t="s">
        <v>171</v>
      </c>
      <c r="C72" s="17" t="s">
        <v>172</v>
      </c>
      <c r="D72" s="17" t="s">
        <v>70</v>
      </c>
      <c r="E72" s="17" t="s">
        <v>120</v>
      </c>
      <c r="F72" s="17" t="s">
        <v>189</v>
      </c>
      <c r="G72" s="17" t="s">
        <v>247</v>
      </c>
      <c r="H72" s="30">
        <v>-9000</v>
      </c>
      <c r="I72" s="30">
        <v>-8700</v>
      </c>
      <c r="J72" s="30">
        <v>-12000</v>
      </c>
      <c r="K72" s="30">
        <v>-12000</v>
      </c>
      <c r="L72" s="30">
        <v>-12000</v>
      </c>
      <c r="M72" s="31">
        <f t="shared" si="5"/>
        <v>-3300</v>
      </c>
      <c r="N72" s="32">
        <f t="shared" si="6"/>
        <v>-0.37931034482758619</v>
      </c>
      <c r="O72" s="6" t="str">
        <f>IF(ABS(M72)&lt;Overview!$B$6,"OK",IF(I72=0,"REVIEW (zero base)",IF(ABS(M72/ABS(I72))&gt;=Overview!$B$5,"REVIEW","OK")))</f>
        <v>OK</v>
      </c>
      <c r="P72" s="31">
        <f t="shared" si="7"/>
        <v>0</v>
      </c>
      <c r="Q72" s="32">
        <f t="shared" si="8"/>
        <v>0</v>
      </c>
      <c r="R72" s="6" t="str">
        <f>IF(ABS(P72)&lt;Overview!$B$6,"OK",IF(J72=0,"REVIEW (zero base)",IF(ABS(P72/ABS(J72))&gt;=Overview!$B$5,"REVIEW","OK")))</f>
        <v>OK</v>
      </c>
      <c r="S72" s="33">
        <f t="shared" si="9"/>
        <v>0</v>
      </c>
    </row>
    <row r="73" spans="1:19" x14ac:dyDescent="0.2">
      <c r="A73" s="17">
        <v>71</v>
      </c>
      <c r="B73" s="17" t="s">
        <v>171</v>
      </c>
      <c r="C73" s="17" t="s">
        <v>172</v>
      </c>
      <c r="D73" s="17" t="s">
        <v>70</v>
      </c>
      <c r="E73" s="17" t="s">
        <v>120</v>
      </c>
      <c r="F73" s="17" t="s">
        <v>189</v>
      </c>
      <c r="G73" s="17" t="s">
        <v>248</v>
      </c>
      <c r="H73" s="30">
        <v>-109702</v>
      </c>
      <c r="I73" s="30">
        <v>-124005</v>
      </c>
      <c r="J73" s="30">
        <v>-110000</v>
      </c>
      <c r="K73" s="30">
        <v>-109200</v>
      </c>
      <c r="L73" s="30">
        <v>-110000</v>
      </c>
      <c r="M73" s="31">
        <f t="shared" si="5"/>
        <v>14005</v>
      </c>
      <c r="N73" s="32">
        <f t="shared" si="6"/>
        <v>0.11293899439538728</v>
      </c>
      <c r="O73" s="6" t="str">
        <f>IF(ABS(M73)&lt;Overview!$B$6,"OK",IF(I73=0,"REVIEW (zero base)",IF(ABS(M73/ABS(I73))&gt;=Overview!$B$5,"REVIEW","OK")))</f>
        <v>OK</v>
      </c>
      <c r="P73" s="31">
        <f t="shared" si="7"/>
        <v>800</v>
      </c>
      <c r="Q73" s="32">
        <f t="shared" si="8"/>
        <v>7.2727272727272727E-3</v>
      </c>
      <c r="R73" s="6" t="str">
        <f>IF(ABS(P73)&lt;Overview!$B$6,"OK",IF(J73=0,"REVIEW (zero base)",IF(ABS(P73/ABS(J73))&gt;=Overview!$B$5,"REVIEW","OK")))</f>
        <v>OK</v>
      </c>
      <c r="S73" s="33">
        <f t="shared" si="9"/>
        <v>0</v>
      </c>
    </row>
    <row r="74" spans="1:19" x14ac:dyDescent="0.2">
      <c r="A74" s="17">
        <v>72</v>
      </c>
      <c r="B74" s="17" t="s">
        <v>171</v>
      </c>
      <c r="C74" s="17" t="s">
        <v>172</v>
      </c>
      <c r="D74" s="17" t="s">
        <v>70</v>
      </c>
      <c r="E74" s="17" t="s">
        <v>120</v>
      </c>
      <c r="F74" s="17" t="s">
        <v>189</v>
      </c>
      <c r="G74" s="17" t="s">
        <v>249</v>
      </c>
      <c r="H74" s="30">
        <v>-6587</v>
      </c>
      <c r="I74" s="30">
        <v>-6280</v>
      </c>
      <c r="J74" s="30">
        <v>-5000</v>
      </c>
      <c r="K74" s="30">
        <v>-6000</v>
      </c>
      <c r="L74" s="30">
        <v>-5000</v>
      </c>
      <c r="M74" s="31">
        <f t="shared" si="5"/>
        <v>1280</v>
      </c>
      <c r="N74" s="32">
        <f t="shared" si="6"/>
        <v>0.20382165605095542</v>
      </c>
      <c r="O74" s="6" t="str">
        <f>IF(ABS(M74)&lt;Overview!$B$6,"OK",IF(I74=0,"REVIEW (zero base)",IF(ABS(M74/ABS(I74))&gt;=Overview!$B$5,"REVIEW","OK")))</f>
        <v>OK</v>
      </c>
      <c r="P74" s="31">
        <f t="shared" si="7"/>
        <v>-1000</v>
      </c>
      <c r="Q74" s="32">
        <f t="shared" si="8"/>
        <v>-0.2</v>
      </c>
      <c r="R74" s="6" t="str">
        <f>IF(ABS(P74)&lt;Overview!$B$6,"OK",IF(J74=0,"REVIEW (zero base)",IF(ABS(P74/ABS(J74))&gt;=Overview!$B$5,"REVIEW","OK")))</f>
        <v>OK</v>
      </c>
      <c r="S74" s="33">
        <f t="shared" si="9"/>
        <v>0</v>
      </c>
    </row>
    <row r="75" spans="1:19" x14ac:dyDescent="0.2">
      <c r="A75" s="17">
        <v>73</v>
      </c>
      <c r="B75" s="17" t="s">
        <v>171</v>
      </c>
      <c r="C75" s="17" t="s">
        <v>172</v>
      </c>
      <c r="D75" s="17" t="s">
        <v>70</v>
      </c>
      <c r="E75" s="17" t="s">
        <v>120</v>
      </c>
      <c r="F75" s="17" t="s">
        <v>189</v>
      </c>
      <c r="G75" s="17" t="s">
        <v>250</v>
      </c>
      <c r="H75" s="30">
        <v>-54125</v>
      </c>
      <c r="I75" s="30">
        <v>-41078</v>
      </c>
      <c r="J75" s="30">
        <v>-54000</v>
      </c>
      <c r="K75" s="30">
        <v>-38400</v>
      </c>
      <c r="L75" s="30">
        <v>-45000</v>
      </c>
      <c r="M75" s="31">
        <f t="shared" si="5"/>
        <v>-12922</v>
      </c>
      <c r="N75" s="32">
        <f t="shared" si="6"/>
        <v>-0.31457227713131114</v>
      </c>
      <c r="O75" s="6" t="str">
        <f>IF(ABS(M75)&lt;Overview!$B$6,"OK",IF(I75=0,"REVIEW (zero base)",IF(ABS(M75/ABS(I75))&gt;=Overview!$B$5,"REVIEW","OK")))</f>
        <v>OK</v>
      </c>
      <c r="P75" s="31">
        <f t="shared" si="7"/>
        <v>15600</v>
      </c>
      <c r="Q75" s="32">
        <f t="shared" si="8"/>
        <v>0.28888888888888886</v>
      </c>
      <c r="R75" s="6" t="str">
        <f>IF(ABS(P75)&lt;Overview!$B$6,"OK",IF(J75=0,"REVIEW (zero base)",IF(ABS(P75/ABS(J75))&gt;=Overview!$B$5,"REVIEW","OK")))</f>
        <v>OK</v>
      </c>
      <c r="S75" s="33">
        <f t="shared" si="9"/>
        <v>0</v>
      </c>
    </row>
    <row r="76" spans="1:19" x14ac:dyDescent="0.2">
      <c r="A76" s="17">
        <v>74</v>
      </c>
      <c r="B76" s="17" t="s">
        <v>171</v>
      </c>
      <c r="C76" s="17" t="s">
        <v>172</v>
      </c>
      <c r="D76" s="17" t="s">
        <v>70</v>
      </c>
      <c r="E76" s="17" t="s">
        <v>120</v>
      </c>
      <c r="F76" s="17" t="s">
        <v>189</v>
      </c>
      <c r="G76" s="17" t="s">
        <v>251</v>
      </c>
      <c r="H76" s="30">
        <v>-1870</v>
      </c>
      <c r="I76" s="30">
        <v>-1650</v>
      </c>
      <c r="J76" s="30">
        <v>-2700</v>
      </c>
      <c r="K76" s="30">
        <v>-2700</v>
      </c>
      <c r="L76" s="30">
        <v>-2700</v>
      </c>
      <c r="M76" s="31">
        <f t="shared" si="5"/>
        <v>-1050</v>
      </c>
      <c r="N76" s="32">
        <f t="shared" si="6"/>
        <v>-0.63636363636363635</v>
      </c>
      <c r="O76" s="6" t="str">
        <f>IF(ABS(M76)&lt;Overview!$B$6,"OK",IF(I76=0,"REVIEW (zero base)",IF(ABS(M76/ABS(I76))&gt;=Overview!$B$5,"REVIEW","OK")))</f>
        <v>OK</v>
      </c>
      <c r="P76" s="31">
        <f t="shared" si="7"/>
        <v>0</v>
      </c>
      <c r="Q76" s="32">
        <f t="shared" si="8"/>
        <v>0</v>
      </c>
      <c r="R76" s="6" t="str">
        <f>IF(ABS(P76)&lt;Overview!$B$6,"OK",IF(J76=0,"REVIEW (zero base)",IF(ABS(P76/ABS(J76))&gt;=Overview!$B$5,"REVIEW","OK")))</f>
        <v>OK</v>
      </c>
      <c r="S76" s="33">
        <f t="shared" si="9"/>
        <v>0</v>
      </c>
    </row>
    <row r="77" spans="1:19" x14ac:dyDescent="0.2">
      <c r="A77" s="17">
        <v>75</v>
      </c>
      <c r="B77" s="17" t="s">
        <v>171</v>
      </c>
      <c r="C77" s="17" t="s">
        <v>172</v>
      </c>
      <c r="D77" s="17" t="s">
        <v>70</v>
      </c>
      <c r="E77" s="17" t="s">
        <v>120</v>
      </c>
      <c r="F77" s="17" t="s">
        <v>189</v>
      </c>
      <c r="G77" s="17" t="s">
        <v>252</v>
      </c>
      <c r="H77" s="30">
        <v>-92760</v>
      </c>
      <c r="I77" s="30">
        <v>-107303</v>
      </c>
      <c r="J77" s="30">
        <v>-101000</v>
      </c>
      <c r="K77" s="30">
        <v>-100800</v>
      </c>
      <c r="L77" s="30">
        <v>-110000</v>
      </c>
      <c r="M77" s="31">
        <f t="shared" si="5"/>
        <v>6303</v>
      </c>
      <c r="N77" s="32">
        <f t="shared" si="6"/>
        <v>5.8740202976617618E-2</v>
      </c>
      <c r="O77" s="6" t="str">
        <f>IF(ABS(M77)&lt;Overview!$B$6,"OK",IF(I77=0,"REVIEW (zero base)",IF(ABS(M77/ABS(I77))&gt;=Overview!$B$5,"REVIEW","OK")))</f>
        <v>OK</v>
      </c>
      <c r="P77" s="31">
        <f t="shared" si="7"/>
        <v>200</v>
      </c>
      <c r="Q77" s="32">
        <f t="shared" si="8"/>
        <v>1.9801980198019802E-3</v>
      </c>
      <c r="R77" s="6" t="str">
        <f>IF(ABS(P77)&lt;Overview!$B$6,"OK",IF(J77=0,"REVIEW (zero base)",IF(ABS(P77/ABS(J77))&gt;=Overview!$B$5,"REVIEW","OK")))</f>
        <v>OK</v>
      </c>
      <c r="S77" s="33">
        <f t="shared" si="9"/>
        <v>0</v>
      </c>
    </row>
    <row r="78" spans="1:19" x14ac:dyDescent="0.2">
      <c r="A78" s="17">
        <v>76</v>
      </c>
      <c r="B78" s="17" t="s">
        <v>171</v>
      </c>
      <c r="C78" s="17" t="s">
        <v>172</v>
      </c>
      <c r="D78" s="17" t="s">
        <v>70</v>
      </c>
      <c r="E78" s="17" t="s">
        <v>120</v>
      </c>
      <c r="F78" s="17" t="s">
        <v>189</v>
      </c>
      <c r="G78" s="17" t="s">
        <v>253</v>
      </c>
      <c r="H78" s="30">
        <v>-1700</v>
      </c>
      <c r="I78" s="30">
        <v>-450</v>
      </c>
      <c r="J78" s="30">
        <v>0</v>
      </c>
      <c r="K78" s="30">
        <v>0</v>
      </c>
      <c r="L78" s="30">
        <v>0</v>
      </c>
      <c r="M78" s="31">
        <f t="shared" si="5"/>
        <v>450</v>
      </c>
      <c r="N78" s="32">
        <f t="shared" si="6"/>
        <v>1</v>
      </c>
      <c r="O78" s="6" t="str">
        <f>IF(ABS(M78)&lt;Overview!$B$6,"OK",IF(I78=0,"REVIEW (zero base)",IF(ABS(M78/ABS(I78))&gt;=Overview!$B$5,"REVIEW","OK")))</f>
        <v>OK</v>
      </c>
      <c r="P78" s="31">
        <f t="shared" si="7"/>
        <v>0</v>
      </c>
      <c r="Q78" s="32" t="str">
        <f t="shared" si="8"/>
        <v>n/a</v>
      </c>
      <c r="R78" s="6" t="str">
        <f>IF(ABS(P78)&lt;Overview!$B$6,"OK",IF(J78=0,"REVIEW (zero base)",IF(ABS(P78/ABS(J78))&gt;=Overview!$B$5,"REVIEW","OK")))</f>
        <v>OK</v>
      </c>
      <c r="S78" s="33">
        <f t="shared" si="9"/>
        <v>0</v>
      </c>
    </row>
    <row r="79" spans="1:19" x14ac:dyDescent="0.2">
      <c r="A79" s="17">
        <v>77</v>
      </c>
      <c r="B79" s="17" t="s">
        <v>171</v>
      </c>
      <c r="C79" s="17" t="s">
        <v>172</v>
      </c>
      <c r="D79" s="17" t="s">
        <v>70</v>
      </c>
      <c r="E79" s="17" t="s">
        <v>120</v>
      </c>
      <c r="F79" s="17" t="s">
        <v>189</v>
      </c>
      <c r="G79" s="17" t="s">
        <v>254</v>
      </c>
      <c r="H79" s="30">
        <v>-4700</v>
      </c>
      <c r="I79" s="30">
        <v>-6050</v>
      </c>
      <c r="J79" s="30">
        <v>-4900</v>
      </c>
      <c r="K79" s="30">
        <v>-4920</v>
      </c>
      <c r="L79" s="30">
        <v>-5000</v>
      </c>
      <c r="M79" s="31">
        <f t="shared" si="5"/>
        <v>1150</v>
      </c>
      <c r="N79" s="32">
        <f t="shared" si="6"/>
        <v>0.19008264462809918</v>
      </c>
      <c r="O79" s="6" t="str">
        <f>IF(ABS(M79)&lt;Overview!$B$6,"OK",IF(I79=0,"REVIEW (zero base)",IF(ABS(M79/ABS(I79))&gt;=Overview!$B$5,"REVIEW","OK")))</f>
        <v>OK</v>
      </c>
      <c r="P79" s="31">
        <f t="shared" si="7"/>
        <v>-20</v>
      </c>
      <c r="Q79" s="32">
        <f t="shared" si="8"/>
        <v>-4.0816326530612249E-3</v>
      </c>
      <c r="R79" s="6" t="str">
        <f>IF(ABS(P79)&lt;Overview!$B$6,"OK",IF(J79=0,"REVIEW (zero base)",IF(ABS(P79/ABS(J79))&gt;=Overview!$B$5,"REVIEW","OK")))</f>
        <v>OK</v>
      </c>
      <c r="S79" s="33">
        <f t="shared" si="9"/>
        <v>0</v>
      </c>
    </row>
    <row r="80" spans="1:19" x14ac:dyDescent="0.2">
      <c r="A80" s="17">
        <v>78</v>
      </c>
      <c r="B80" s="17" t="s">
        <v>171</v>
      </c>
      <c r="C80" s="17" t="s">
        <v>172</v>
      </c>
      <c r="D80" s="17" t="s">
        <v>70</v>
      </c>
      <c r="E80" s="17" t="s">
        <v>120</v>
      </c>
      <c r="F80" s="17" t="s">
        <v>189</v>
      </c>
      <c r="G80" s="17" t="s">
        <v>255</v>
      </c>
      <c r="H80" s="30">
        <v>-450</v>
      </c>
      <c r="I80" s="30">
        <v>-275</v>
      </c>
      <c r="J80" s="30">
        <v>-375</v>
      </c>
      <c r="K80" s="30">
        <v>-420</v>
      </c>
      <c r="L80" s="30">
        <v>-375</v>
      </c>
      <c r="M80" s="31">
        <f t="shared" si="5"/>
        <v>-100</v>
      </c>
      <c r="N80" s="32">
        <f t="shared" si="6"/>
        <v>-0.36363636363636365</v>
      </c>
      <c r="O80" s="6" t="str">
        <f>IF(ABS(M80)&lt;Overview!$B$6,"OK",IF(I80=0,"REVIEW (zero base)",IF(ABS(M80/ABS(I80))&gt;=Overview!$B$5,"REVIEW","OK")))</f>
        <v>OK</v>
      </c>
      <c r="P80" s="31">
        <f t="shared" si="7"/>
        <v>-45</v>
      </c>
      <c r="Q80" s="32">
        <f t="shared" si="8"/>
        <v>-0.12</v>
      </c>
      <c r="R80" s="6" t="str">
        <f>IF(ABS(P80)&lt;Overview!$B$6,"OK",IF(J80=0,"REVIEW (zero base)",IF(ABS(P80/ABS(J80))&gt;=Overview!$B$5,"REVIEW","OK")))</f>
        <v>OK</v>
      </c>
      <c r="S80" s="33">
        <f t="shared" si="9"/>
        <v>0</v>
      </c>
    </row>
    <row r="81" spans="1:19" x14ac:dyDescent="0.2">
      <c r="A81" s="17">
        <v>79</v>
      </c>
      <c r="B81" s="17" t="s">
        <v>171</v>
      </c>
      <c r="C81" s="17" t="s">
        <v>172</v>
      </c>
      <c r="D81" s="17" t="s">
        <v>70</v>
      </c>
      <c r="E81" s="17" t="s">
        <v>120</v>
      </c>
      <c r="F81" s="17" t="s">
        <v>189</v>
      </c>
      <c r="G81" s="17" t="s">
        <v>256</v>
      </c>
      <c r="H81" s="30">
        <v>-10899</v>
      </c>
      <c r="I81" s="30">
        <v>-2152</v>
      </c>
      <c r="J81" s="30">
        <v>-11000</v>
      </c>
      <c r="K81" s="30">
        <v>-6000</v>
      </c>
      <c r="L81" s="30">
        <v>-22000</v>
      </c>
      <c r="M81" s="31">
        <f t="shared" si="5"/>
        <v>-8848</v>
      </c>
      <c r="N81" s="32">
        <f t="shared" si="6"/>
        <v>-4.1115241635687729</v>
      </c>
      <c r="O81" s="6" t="str">
        <f>IF(ABS(M81)&lt;Overview!$B$6,"OK",IF(I81=0,"REVIEW (zero base)",IF(ABS(M81/ABS(I81))&gt;=Overview!$B$5,"REVIEW","OK")))</f>
        <v>OK</v>
      </c>
      <c r="P81" s="31">
        <f t="shared" si="7"/>
        <v>5000</v>
      </c>
      <c r="Q81" s="32">
        <f t="shared" si="8"/>
        <v>0.45454545454545453</v>
      </c>
      <c r="R81" s="6" t="str">
        <f>IF(ABS(P81)&lt;Overview!$B$6,"OK",IF(J81=0,"REVIEW (zero base)",IF(ABS(P81/ABS(J81))&gt;=Overview!$B$5,"REVIEW","OK")))</f>
        <v>OK</v>
      </c>
      <c r="S81" s="33">
        <f t="shared" si="9"/>
        <v>0</v>
      </c>
    </row>
    <row r="82" spans="1:19" x14ac:dyDescent="0.2">
      <c r="A82" s="17">
        <v>80</v>
      </c>
      <c r="B82" s="17" t="s">
        <v>171</v>
      </c>
      <c r="C82" s="17" t="s">
        <v>172</v>
      </c>
      <c r="D82" s="17" t="s">
        <v>70</v>
      </c>
      <c r="E82" s="17" t="s">
        <v>120</v>
      </c>
      <c r="F82" s="17" t="s">
        <v>189</v>
      </c>
      <c r="G82" s="17" t="s">
        <v>257</v>
      </c>
      <c r="H82" s="30">
        <v>-23040</v>
      </c>
      <c r="I82" s="30">
        <v>-18872</v>
      </c>
      <c r="J82" s="30">
        <v>-10000</v>
      </c>
      <c r="K82" s="30">
        <v>-27600</v>
      </c>
      <c r="L82" s="30">
        <v>0</v>
      </c>
      <c r="M82" s="31">
        <f t="shared" si="5"/>
        <v>8872</v>
      </c>
      <c r="N82" s="32">
        <f t="shared" si="6"/>
        <v>0.47011445527766005</v>
      </c>
      <c r="O82" s="6" t="str">
        <f>IF(ABS(M82)&lt;Overview!$B$6,"OK",IF(I82=0,"REVIEW (zero base)",IF(ABS(M82/ABS(I82))&gt;=Overview!$B$5,"REVIEW","OK")))</f>
        <v>OK</v>
      </c>
      <c r="P82" s="31">
        <f t="shared" si="7"/>
        <v>-17600</v>
      </c>
      <c r="Q82" s="32">
        <f t="shared" si="8"/>
        <v>-1.76</v>
      </c>
      <c r="R82" s="6" t="str">
        <f>IF(ABS(P82)&lt;Overview!$B$6,"OK",IF(J82=0,"REVIEW (zero base)",IF(ABS(P82/ABS(J82))&gt;=Overview!$B$5,"REVIEW","OK")))</f>
        <v>OK</v>
      </c>
      <c r="S82" s="33">
        <f t="shared" si="9"/>
        <v>0</v>
      </c>
    </row>
    <row r="83" spans="1:19" x14ac:dyDescent="0.2">
      <c r="A83" s="17">
        <v>81</v>
      </c>
      <c r="B83" s="17" t="s">
        <v>171</v>
      </c>
      <c r="C83" s="17" t="s">
        <v>172</v>
      </c>
      <c r="D83" s="17" t="s">
        <v>70</v>
      </c>
      <c r="E83" s="17" t="s">
        <v>120</v>
      </c>
      <c r="F83" s="17" t="s">
        <v>189</v>
      </c>
      <c r="G83" s="17" t="s">
        <v>258</v>
      </c>
      <c r="H83" s="30">
        <v>-8400</v>
      </c>
      <c r="I83" s="30">
        <v>-7042</v>
      </c>
      <c r="J83" s="30">
        <v>-9600</v>
      </c>
      <c r="K83" s="30">
        <v>-8400</v>
      </c>
      <c r="L83" s="30">
        <v>0</v>
      </c>
      <c r="M83" s="31">
        <f t="shared" si="5"/>
        <v>-2558</v>
      </c>
      <c r="N83" s="32">
        <f t="shared" si="6"/>
        <v>-0.36324907696677078</v>
      </c>
      <c r="O83" s="6" t="str">
        <f>IF(ABS(M83)&lt;Overview!$B$6,"OK",IF(I83=0,"REVIEW (zero base)",IF(ABS(M83/ABS(I83))&gt;=Overview!$B$5,"REVIEW","OK")))</f>
        <v>OK</v>
      </c>
      <c r="P83" s="31">
        <f t="shared" si="7"/>
        <v>1200</v>
      </c>
      <c r="Q83" s="32">
        <f t="shared" si="8"/>
        <v>0.125</v>
      </c>
      <c r="R83" s="6" t="str">
        <f>IF(ABS(P83)&lt;Overview!$B$6,"OK",IF(J83=0,"REVIEW (zero base)",IF(ABS(P83/ABS(J83))&gt;=Overview!$B$5,"REVIEW","OK")))</f>
        <v>OK</v>
      </c>
      <c r="S83" s="33">
        <f t="shared" si="9"/>
        <v>0</v>
      </c>
    </row>
    <row r="84" spans="1:19" x14ac:dyDescent="0.2">
      <c r="A84" s="17">
        <v>82</v>
      </c>
      <c r="B84" s="17" t="s">
        <v>171</v>
      </c>
      <c r="C84" s="17" t="s">
        <v>172</v>
      </c>
      <c r="D84" s="17" t="s">
        <v>70</v>
      </c>
      <c r="E84" s="17" t="s">
        <v>120</v>
      </c>
      <c r="F84" s="17" t="s">
        <v>189</v>
      </c>
      <c r="G84" s="17" t="s">
        <v>259</v>
      </c>
      <c r="H84" s="30">
        <v>-74542</v>
      </c>
      <c r="I84" s="30">
        <v>-75410</v>
      </c>
      <c r="J84" s="30">
        <v>-76000</v>
      </c>
      <c r="K84" s="30">
        <v>-78000</v>
      </c>
      <c r="L84" s="30">
        <v>-76000</v>
      </c>
      <c r="M84" s="31">
        <f t="shared" si="5"/>
        <v>-590</v>
      </c>
      <c r="N84" s="32">
        <f t="shared" si="6"/>
        <v>-7.8238960350086196E-3</v>
      </c>
      <c r="O84" s="6" t="str">
        <f>IF(ABS(M84)&lt;Overview!$B$6,"OK",IF(I84=0,"REVIEW (zero base)",IF(ABS(M84/ABS(I84))&gt;=Overview!$B$5,"REVIEW","OK")))</f>
        <v>OK</v>
      </c>
      <c r="P84" s="31">
        <f t="shared" si="7"/>
        <v>-2000</v>
      </c>
      <c r="Q84" s="32">
        <f t="shared" si="8"/>
        <v>-2.6315789473684209E-2</v>
      </c>
      <c r="R84" s="6" t="str">
        <f>IF(ABS(P84)&lt;Overview!$B$6,"OK",IF(J84=0,"REVIEW (zero base)",IF(ABS(P84/ABS(J84))&gt;=Overview!$B$5,"REVIEW","OK")))</f>
        <v>OK</v>
      </c>
      <c r="S84" s="33">
        <f t="shared" si="9"/>
        <v>0</v>
      </c>
    </row>
    <row r="85" spans="1:19" x14ac:dyDescent="0.2">
      <c r="A85" s="17">
        <v>83</v>
      </c>
      <c r="B85" s="17" t="s">
        <v>171</v>
      </c>
      <c r="C85" s="17" t="s">
        <v>172</v>
      </c>
      <c r="D85" s="17" t="s">
        <v>70</v>
      </c>
      <c r="E85" s="17" t="s">
        <v>120</v>
      </c>
      <c r="F85" s="17" t="s">
        <v>192</v>
      </c>
      <c r="G85" s="17" t="s">
        <v>260</v>
      </c>
      <c r="H85" s="30">
        <v>-67350</v>
      </c>
      <c r="I85" s="30">
        <v>-38655</v>
      </c>
      <c r="J85" s="30">
        <v>-36000</v>
      </c>
      <c r="K85" s="30">
        <v>-30000</v>
      </c>
      <c r="L85" s="30">
        <v>-45000</v>
      </c>
      <c r="M85" s="31">
        <f t="shared" si="5"/>
        <v>2655</v>
      </c>
      <c r="N85" s="32">
        <f t="shared" si="6"/>
        <v>6.8684516880093138E-2</v>
      </c>
      <c r="O85" s="6" t="str">
        <f>IF(ABS(M85)&lt;Overview!$B$6,"OK",IF(I85=0,"REVIEW (zero base)",IF(ABS(M85/ABS(I85))&gt;=Overview!$B$5,"REVIEW","OK")))</f>
        <v>OK</v>
      </c>
      <c r="P85" s="31">
        <f t="shared" si="7"/>
        <v>6000</v>
      </c>
      <c r="Q85" s="32">
        <f t="shared" si="8"/>
        <v>0.16666666666666666</v>
      </c>
      <c r="R85" s="6" t="str">
        <f>IF(ABS(P85)&lt;Overview!$B$6,"OK",IF(J85=0,"REVIEW (zero base)",IF(ABS(P85/ABS(J85))&gt;=Overview!$B$5,"REVIEW","OK")))</f>
        <v>OK</v>
      </c>
      <c r="S85" s="33">
        <f t="shared" si="9"/>
        <v>0</v>
      </c>
    </row>
    <row r="86" spans="1:19" x14ac:dyDescent="0.2">
      <c r="A86" s="17">
        <v>84</v>
      </c>
      <c r="B86" s="17" t="s">
        <v>171</v>
      </c>
      <c r="C86" s="17" t="s">
        <v>172</v>
      </c>
      <c r="D86" s="17" t="s">
        <v>70</v>
      </c>
      <c r="E86" s="17" t="s">
        <v>120</v>
      </c>
      <c r="F86" s="17" t="s">
        <v>204</v>
      </c>
      <c r="G86" s="17" t="s">
        <v>205</v>
      </c>
      <c r="H86" s="30">
        <v>-585</v>
      </c>
      <c r="I86" s="30">
        <v>0</v>
      </c>
      <c r="J86" s="30">
        <v>0</v>
      </c>
      <c r="K86" s="30">
        <v>0</v>
      </c>
      <c r="L86" s="30">
        <v>0</v>
      </c>
      <c r="M86" s="31">
        <f t="shared" si="5"/>
        <v>0</v>
      </c>
      <c r="N86" s="32" t="str">
        <f t="shared" si="6"/>
        <v>n/a</v>
      </c>
      <c r="O86" s="6" t="str">
        <f>IF(ABS(M86)&lt;Overview!$B$6,"OK",IF(I86=0,"REVIEW (zero base)",IF(ABS(M86/ABS(I86))&gt;=Overview!$B$5,"REVIEW","OK")))</f>
        <v>OK</v>
      </c>
      <c r="P86" s="31">
        <f t="shared" si="7"/>
        <v>0</v>
      </c>
      <c r="Q86" s="32" t="str">
        <f t="shared" si="8"/>
        <v>n/a</v>
      </c>
      <c r="R86" s="6" t="str">
        <f>IF(ABS(P86)&lt;Overview!$B$6,"OK",IF(J86=0,"REVIEW (zero base)",IF(ABS(P86/ABS(J86))&gt;=Overview!$B$5,"REVIEW","OK")))</f>
        <v>OK</v>
      </c>
      <c r="S86" s="33">
        <f t="shared" si="9"/>
        <v>0</v>
      </c>
    </row>
    <row r="87" spans="1:19" x14ac:dyDescent="0.2">
      <c r="A87" s="17">
        <v>85</v>
      </c>
      <c r="B87" s="17" t="s">
        <v>171</v>
      </c>
      <c r="C87" s="17" t="s">
        <v>172</v>
      </c>
      <c r="D87" s="17" t="s">
        <v>70</v>
      </c>
      <c r="E87" s="17" t="s">
        <v>120</v>
      </c>
      <c r="F87" s="17" t="s">
        <v>204</v>
      </c>
      <c r="G87" s="17" t="s">
        <v>261</v>
      </c>
      <c r="H87" s="30">
        <v>0</v>
      </c>
      <c r="I87" s="30">
        <v>-35</v>
      </c>
      <c r="J87" s="30">
        <v>0</v>
      </c>
      <c r="K87" s="30">
        <v>0</v>
      </c>
      <c r="L87" s="30">
        <v>0</v>
      </c>
      <c r="M87" s="31">
        <f t="shared" si="5"/>
        <v>35</v>
      </c>
      <c r="N87" s="32">
        <f t="shared" si="6"/>
        <v>1</v>
      </c>
      <c r="O87" s="6" t="str">
        <f>IF(ABS(M87)&lt;Overview!$B$6,"OK",IF(I87=0,"REVIEW (zero base)",IF(ABS(M87/ABS(I87))&gt;=Overview!$B$5,"REVIEW","OK")))</f>
        <v>OK</v>
      </c>
      <c r="P87" s="31">
        <f t="shared" si="7"/>
        <v>0</v>
      </c>
      <c r="Q87" s="32" t="str">
        <f t="shared" si="8"/>
        <v>n/a</v>
      </c>
      <c r="R87" s="6" t="str">
        <f>IF(ABS(P87)&lt;Overview!$B$6,"OK",IF(J87=0,"REVIEW (zero base)",IF(ABS(P87/ABS(J87))&gt;=Overview!$B$5,"REVIEW","OK")))</f>
        <v>OK</v>
      </c>
      <c r="S87" s="33">
        <f t="shared" si="9"/>
        <v>0</v>
      </c>
    </row>
    <row r="88" spans="1:19" x14ac:dyDescent="0.2">
      <c r="A88" s="17">
        <v>86</v>
      </c>
      <c r="B88" s="17" t="s">
        <v>171</v>
      </c>
      <c r="C88" s="17" t="s">
        <v>172</v>
      </c>
      <c r="D88" s="17" t="s">
        <v>70</v>
      </c>
      <c r="E88" s="17" t="s">
        <v>120</v>
      </c>
      <c r="F88" s="17" t="s">
        <v>207</v>
      </c>
      <c r="G88" s="17" t="s">
        <v>262</v>
      </c>
      <c r="H88" s="30">
        <v>-14850</v>
      </c>
      <c r="I88" s="30">
        <v>-880</v>
      </c>
      <c r="J88" s="30">
        <v>0</v>
      </c>
      <c r="K88" s="30">
        <v>-900</v>
      </c>
      <c r="L88" s="30">
        <v>-900</v>
      </c>
      <c r="M88" s="31">
        <f t="shared" si="5"/>
        <v>880</v>
      </c>
      <c r="N88" s="32">
        <f t="shared" si="6"/>
        <v>1</v>
      </c>
      <c r="O88" s="6" t="str">
        <f>IF(ABS(M88)&lt;Overview!$B$6,"OK",IF(I88=0,"REVIEW (zero base)",IF(ABS(M88/ABS(I88))&gt;=Overview!$B$5,"REVIEW","OK")))</f>
        <v>OK</v>
      </c>
      <c r="P88" s="31">
        <f t="shared" si="7"/>
        <v>-900</v>
      </c>
      <c r="Q88" s="32" t="str">
        <f t="shared" si="8"/>
        <v>n/a</v>
      </c>
      <c r="R88" s="6" t="str">
        <f>IF(ABS(P88)&lt;Overview!$B$6,"OK",IF(J88=0,"REVIEW (zero base)",IF(ABS(P88/ABS(J88))&gt;=Overview!$B$5,"REVIEW","OK")))</f>
        <v>OK</v>
      </c>
      <c r="S88" s="33">
        <f t="shared" si="9"/>
        <v>0</v>
      </c>
    </row>
    <row r="89" spans="1:19" x14ac:dyDescent="0.2">
      <c r="A89" s="17">
        <v>87</v>
      </c>
      <c r="B89" s="17" t="s">
        <v>171</v>
      </c>
      <c r="C89" s="17" t="s">
        <v>172</v>
      </c>
      <c r="D89" s="17" t="s">
        <v>70</v>
      </c>
      <c r="E89" s="17" t="s">
        <v>120</v>
      </c>
      <c r="F89" s="17" t="s">
        <v>207</v>
      </c>
      <c r="G89" s="17" t="s">
        <v>263</v>
      </c>
      <c r="H89" s="30">
        <v>-2025</v>
      </c>
      <c r="I89" s="30">
        <v>-1125</v>
      </c>
      <c r="J89" s="30">
        <v>-2000</v>
      </c>
      <c r="K89" s="30">
        <v>-1200</v>
      </c>
      <c r="L89" s="30">
        <v>-1200</v>
      </c>
      <c r="M89" s="31">
        <f t="shared" si="5"/>
        <v>-875</v>
      </c>
      <c r="N89" s="32">
        <f t="shared" si="6"/>
        <v>-0.77777777777777779</v>
      </c>
      <c r="O89" s="6" t="str">
        <f>IF(ABS(M89)&lt;Overview!$B$6,"OK",IF(I89=0,"REVIEW (zero base)",IF(ABS(M89/ABS(I89))&gt;=Overview!$B$5,"REVIEW","OK")))</f>
        <v>OK</v>
      </c>
      <c r="P89" s="31">
        <f t="shared" si="7"/>
        <v>800</v>
      </c>
      <c r="Q89" s="32">
        <f t="shared" si="8"/>
        <v>0.4</v>
      </c>
      <c r="R89" s="6" t="str">
        <f>IF(ABS(P89)&lt;Overview!$B$6,"OK",IF(J89=0,"REVIEW (zero base)",IF(ABS(P89/ABS(J89))&gt;=Overview!$B$5,"REVIEW","OK")))</f>
        <v>OK</v>
      </c>
      <c r="S89" s="33">
        <f t="shared" si="9"/>
        <v>0</v>
      </c>
    </row>
    <row r="90" spans="1:19" x14ac:dyDescent="0.2">
      <c r="A90" s="17">
        <v>88</v>
      </c>
      <c r="B90" s="17" t="s">
        <v>171</v>
      </c>
      <c r="C90" s="17" t="s">
        <v>172</v>
      </c>
      <c r="D90" s="17" t="s">
        <v>70</v>
      </c>
      <c r="E90" s="17" t="s">
        <v>120</v>
      </c>
      <c r="F90" s="17" t="s">
        <v>207</v>
      </c>
      <c r="G90" s="17" t="s">
        <v>264</v>
      </c>
      <c r="H90" s="30">
        <v>-26675</v>
      </c>
      <c r="I90" s="30">
        <v>-33105</v>
      </c>
      <c r="J90" s="30">
        <v>-24000</v>
      </c>
      <c r="K90" s="30">
        <v>0</v>
      </c>
      <c r="L90" s="30">
        <v>0</v>
      </c>
      <c r="M90" s="31">
        <f t="shared" si="5"/>
        <v>9105</v>
      </c>
      <c r="N90" s="32">
        <f t="shared" si="6"/>
        <v>0.2750339827820571</v>
      </c>
      <c r="O90" s="6" t="str">
        <f>IF(ABS(M90)&lt;Overview!$B$6,"OK",IF(I90=0,"REVIEW (zero base)",IF(ABS(M90/ABS(I90))&gt;=Overview!$B$5,"REVIEW","OK")))</f>
        <v>OK</v>
      </c>
      <c r="P90" s="31">
        <f t="shared" si="7"/>
        <v>24000</v>
      </c>
      <c r="Q90" s="32">
        <f t="shared" si="8"/>
        <v>1</v>
      </c>
      <c r="R90" s="6" t="str">
        <f>IF(ABS(P90)&lt;Overview!$B$6,"OK",IF(J90=0,"REVIEW (zero base)",IF(ABS(P90/ABS(J90))&gt;=Overview!$B$5,"REVIEW","OK")))</f>
        <v>OK</v>
      </c>
      <c r="S90" s="33">
        <f t="shared" si="9"/>
        <v>0</v>
      </c>
    </row>
    <row r="91" spans="1:19" x14ac:dyDescent="0.2">
      <c r="A91" s="17">
        <v>89</v>
      </c>
      <c r="B91" s="17" t="s">
        <v>171</v>
      </c>
      <c r="C91" s="17" t="s">
        <v>172</v>
      </c>
      <c r="D91" s="17" t="s">
        <v>70</v>
      </c>
      <c r="E91" s="17" t="s">
        <v>120</v>
      </c>
      <c r="F91" s="17" t="s">
        <v>207</v>
      </c>
      <c r="G91" s="17" t="s">
        <v>265</v>
      </c>
      <c r="H91" s="30">
        <v>-148</v>
      </c>
      <c r="I91" s="30">
        <v>-141</v>
      </c>
      <c r="J91" s="30">
        <v>-1000</v>
      </c>
      <c r="K91" s="30">
        <v>-600</v>
      </c>
      <c r="L91" s="30">
        <v>-1000</v>
      </c>
      <c r="M91" s="31">
        <f t="shared" si="5"/>
        <v>-859</v>
      </c>
      <c r="N91" s="32">
        <f t="shared" si="6"/>
        <v>-6.0921985815602833</v>
      </c>
      <c r="O91" s="6" t="str">
        <f>IF(ABS(M91)&lt;Overview!$B$6,"OK",IF(I91=0,"REVIEW (zero base)",IF(ABS(M91/ABS(I91))&gt;=Overview!$B$5,"REVIEW","OK")))</f>
        <v>OK</v>
      </c>
      <c r="P91" s="31">
        <f t="shared" si="7"/>
        <v>400</v>
      </c>
      <c r="Q91" s="32">
        <f t="shared" si="8"/>
        <v>0.4</v>
      </c>
      <c r="R91" s="6" t="str">
        <f>IF(ABS(P91)&lt;Overview!$B$6,"OK",IF(J91=0,"REVIEW (zero base)",IF(ABS(P91/ABS(J91))&gt;=Overview!$B$5,"REVIEW","OK")))</f>
        <v>OK</v>
      </c>
      <c r="S91" s="33">
        <f t="shared" si="9"/>
        <v>0</v>
      </c>
    </row>
    <row r="92" spans="1:19" x14ac:dyDescent="0.2">
      <c r="A92" s="17">
        <v>90</v>
      </c>
      <c r="B92" s="17" t="s">
        <v>171</v>
      </c>
      <c r="C92" s="17" t="s">
        <v>172</v>
      </c>
      <c r="D92" s="17" t="s">
        <v>70</v>
      </c>
      <c r="E92" s="17" t="s">
        <v>120</v>
      </c>
      <c r="F92" s="17" t="s">
        <v>207</v>
      </c>
      <c r="G92" s="17" t="s">
        <v>266</v>
      </c>
      <c r="H92" s="30">
        <v>-1407</v>
      </c>
      <c r="I92" s="30">
        <v>-67</v>
      </c>
      <c r="J92" s="30">
        <v>-750</v>
      </c>
      <c r="K92" s="30">
        <v>-360</v>
      </c>
      <c r="L92" s="30">
        <v>-1500</v>
      </c>
      <c r="M92" s="31">
        <f t="shared" si="5"/>
        <v>-683</v>
      </c>
      <c r="N92" s="32">
        <f t="shared" si="6"/>
        <v>-10.194029850746269</v>
      </c>
      <c r="O92" s="6" t="str">
        <f>IF(ABS(M92)&lt;Overview!$B$6,"OK",IF(I92=0,"REVIEW (zero base)",IF(ABS(M92/ABS(I92))&gt;=Overview!$B$5,"REVIEW","OK")))</f>
        <v>OK</v>
      </c>
      <c r="P92" s="31">
        <f t="shared" si="7"/>
        <v>390</v>
      </c>
      <c r="Q92" s="32">
        <f t="shared" si="8"/>
        <v>0.52</v>
      </c>
      <c r="R92" s="6" t="str">
        <f>IF(ABS(P92)&lt;Overview!$B$6,"OK",IF(J92=0,"REVIEW (zero base)",IF(ABS(P92/ABS(J92))&gt;=Overview!$B$5,"REVIEW","OK")))</f>
        <v>OK</v>
      </c>
      <c r="S92" s="33">
        <f t="shared" si="9"/>
        <v>0</v>
      </c>
    </row>
    <row r="93" spans="1:19" x14ac:dyDescent="0.2">
      <c r="A93" s="17">
        <v>91</v>
      </c>
      <c r="B93" s="17" t="s">
        <v>171</v>
      </c>
      <c r="C93" s="17" t="s">
        <v>172</v>
      </c>
      <c r="D93" s="17" t="s">
        <v>70</v>
      </c>
      <c r="E93" s="17" t="s">
        <v>120</v>
      </c>
      <c r="F93" s="17" t="s">
        <v>207</v>
      </c>
      <c r="G93" s="17" t="s">
        <v>267</v>
      </c>
      <c r="H93" s="30">
        <v>0</v>
      </c>
      <c r="I93" s="30">
        <v>-4400</v>
      </c>
      <c r="J93" s="30">
        <v>-14000</v>
      </c>
      <c r="K93" s="30">
        <v>-6900</v>
      </c>
      <c r="L93" s="30">
        <v>-6900</v>
      </c>
      <c r="M93" s="31">
        <f t="shared" si="5"/>
        <v>-9600</v>
      </c>
      <c r="N93" s="32">
        <f t="shared" si="6"/>
        <v>-2.1818181818181817</v>
      </c>
      <c r="O93" s="6" t="str">
        <f>IF(ABS(M93)&lt;Overview!$B$6,"OK",IF(I93=0,"REVIEW (zero base)",IF(ABS(M93/ABS(I93))&gt;=Overview!$B$5,"REVIEW","OK")))</f>
        <v>OK</v>
      </c>
      <c r="P93" s="31">
        <f t="shared" si="7"/>
        <v>7100</v>
      </c>
      <c r="Q93" s="32">
        <f t="shared" si="8"/>
        <v>0.50714285714285712</v>
      </c>
      <c r="R93" s="6" t="str">
        <f>IF(ABS(P93)&lt;Overview!$B$6,"OK",IF(J93=0,"REVIEW (zero base)",IF(ABS(P93/ABS(J93))&gt;=Overview!$B$5,"REVIEW","OK")))</f>
        <v>OK</v>
      </c>
      <c r="S93" s="33">
        <f t="shared" si="9"/>
        <v>0</v>
      </c>
    </row>
    <row r="94" spans="1:19" x14ac:dyDescent="0.2">
      <c r="A94" s="17">
        <v>92</v>
      </c>
      <c r="B94" s="17" t="s">
        <v>171</v>
      </c>
      <c r="C94" s="17" t="s">
        <v>172</v>
      </c>
      <c r="D94" s="17" t="s">
        <v>70</v>
      </c>
      <c r="E94" s="17" t="s">
        <v>120</v>
      </c>
      <c r="F94" s="17" t="s">
        <v>207</v>
      </c>
      <c r="G94" s="17" t="s">
        <v>268</v>
      </c>
      <c r="H94" s="30">
        <v>-18400</v>
      </c>
      <c r="I94" s="30">
        <v>-17100</v>
      </c>
      <c r="J94" s="30">
        <v>-20000</v>
      </c>
      <c r="K94" s="30">
        <v>-24000</v>
      </c>
      <c r="L94" s="30">
        <v>-20000</v>
      </c>
      <c r="M94" s="31">
        <f t="shared" si="5"/>
        <v>-2900</v>
      </c>
      <c r="N94" s="32">
        <f t="shared" si="6"/>
        <v>-0.16959064327485379</v>
      </c>
      <c r="O94" s="6" t="str">
        <f>IF(ABS(M94)&lt;Overview!$B$6,"OK",IF(I94=0,"REVIEW (zero base)",IF(ABS(M94/ABS(I94))&gt;=Overview!$B$5,"REVIEW","OK")))</f>
        <v>OK</v>
      </c>
      <c r="P94" s="31">
        <f t="shared" si="7"/>
        <v>-4000</v>
      </c>
      <c r="Q94" s="32">
        <f t="shared" si="8"/>
        <v>-0.2</v>
      </c>
      <c r="R94" s="6" t="str">
        <f>IF(ABS(P94)&lt;Overview!$B$6,"OK",IF(J94=0,"REVIEW (zero base)",IF(ABS(P94/ABS(J94))&gt;=Overview!$B$5,"REVIEW","OK")))</f>
        <v>OK</v>
      </c>
      <c r="S94" s="33">
        <f t="shared" si="9"/>
        <v>0</v>
      </c>
    </row>
    <row r="95" spans="1:19" x14ac:dyDescent="0.2">
      <c r="A95" s="17">
        <v>93</v>
      </c>
      <c r="B95" s="17" t="s">
        <v>171</v>
      </c>
      <c r="C95" s="17" t="s">
        <v>172</v>
      </c>
      <c r="D95" s="17" t="s">
        <v>70</v>
      </c>
      <c r="E95" s="17" t="s">
        <v>120</v>
      </c>
      <c r="F95" s="17" t="s">
        <v>207</v>
      </c>
      <c r="G95" s="17" t="s">
        <v>269</v>
      </c>
      <c r="H95" s="30">
        <v>-16300</v>
      </c>
      <c r="I95" s="30">
        <v>-23800</v>
      </c>
      <c r="J95" s="30">
        <v>-17400</v>
      </c>
      <c r="K95" s="30">
        <v>-19800</v>
      </c>
      <c r="L95" s="30">
        <v>-19800</v>
      </c>
      <c r="M95" s="31">
        <f t="shared" si="5"/>
        <v>6400</v>
      </c>
      <c r="N95" s="32">
        <f t="shared" si="6"/>
        <v>0.26890756302521007</v>
      </c>
      <c r="O95" s="6" t="str">
        <f>IF(ABS(M95)&lt;Overview!$B$6,"OK",IF(I95=0,"REVIEW (zero base)",IF(ABS(M95/ABS(I95))&gt;=Overview!$B$5,"REVIEW","OK")))</f>
        <v>OK</v>
      </c>
      <c r="P95" s="31">
        <f t="shared" si="7"/>
        <v>-2400</v>
      </c>
      <c r="Q95" s="32">
        <f t="shared" si="8"/>
        <v>-0.13793103448275862</v>
      </c>
      <c r="R95" s="6" t="str">
        <f>IF(ABS(P95)&lt;Overview!$B$6,"OK",IF(J95=0,"REVIEW (zero base)",IF(ABS(P95/ABS(J95))&gt;=Overview!$B$5,"REVIEW","OK")))</f>
        <v>OK</v>
      </c>
      <c r="S95" s="33">
        <f t="shared" si="9"/>
        <v>0</v>
      </c>
    </row>
    <row r="96" spans="1:19" x14ac:dyDescent="0.2">
      <c r="A96" s="17">
        <v>94</v>
      </c>
      <c r="B96" s="17" t="s">
        <v>171</v>
      </c>
      <c r="C96" s="17" t="s">
        <v>172</v>
      </c>
      <c r="D96" s="17" t="s">
        <v>70</v>
      </c>
      <c r="E96" s="17" t="s">
        <v>120</v>
      </c>
      <c r="F96" s="17" t="s">
        <v>207</v>
      </c>
      <c r="G96" s="17" t="s">
        <v>270</v>
      </c>
      <c r="H96" s="30">
        <v>-3450</v>
      </c>
      <c r="I96" s="30">
        <v>-3700</v>
      </c>
      <c r="J96" s="30">
        <v>-2800</v>
      </c>
      <c r="K96" s="30">
        <v>-3300</v>
      </c>
      <c r="L96" s="30">
        <v>-6600</v>
      </c>
      <c r="M96" s="31">
        <f t="shared" si="5"/>
        <v>900</v>
      </c>
      <c r="N96" s="32">
        <f t="shared" si="6"/>
        <v>0.24324324324324326</v>
      </c>
      <c r="O96" s="6" t="str">
        <f>IF(ABS(M96)&lt;Overview!$B$6,"OK",IF(I96=0,"REVIEW (zero base)",IF(ABS(M96/ABS(I96))&gt;=Overview!$B$5,"REVIEW","OK")))</f>
        <v>OK</v>
      </c>
      <c r="P96" s="31">
        <f t="shared" si="7"/>
        <v>-500</v>
      </c>
      <c r="Q96" s="32">
        <f t="shared" si="8"/>
        <v>-0.17857142857142858</v>
      </c>
      <c r="R96" s="6" t="str">
        <f>IF(ABS(P96)&lt;Overview!$B$6,"OK",IF(J96=0,"REVIEW (zero base)",IF(ABS(P96/ABS(J96))&gt;=Overview!$B$5,"REVIEW","OK")))</f>
        <v>OK</v>
      </c>
      <c r="S96" s="33">
        <f t="shared" si="9"/>
        <v>0</v>
      </c>
    </row>
    <row r="97" spans="1:19" x14ac:dyDescent="0.2">
      <c r="A97" s="17">
        <v>95</v>
      </c>
      <c r="B97" s="17" t="s">
        <v>171</v>
      </c>
      <c r="C97" s="17" t="s">
        <v>172</v>
      </c>
      <c r="D97" s="17" t="s">
        <v>63</v>
      </c>
      <c r="E97" s="17" t="s">
        <v>104</v>
      </c>
      <c r="F97" s="17" t="s">
        <v>189</v>
      </c>
      <c r="G97" s="17" t="s">
        <v>271</v>
      </c>
      <c r="H97" s="30">
        <v>-1110</v>
      </c>
      <c r="I97" s="30">
        <v>-2415</v>
      </c>
      <c r="J97" s="30">
        <v>-3000</v>
      </c>
      <c r="K97" s="30">
        <v>-3000</v>
      </c>
      <c r="L97" s="30">
        <v>-3000</v>
      </c>
      <c r="M97" s="31">
        <f t="shared" si="5"/>
        <v>-585</v>
      </c>
      <c r="N97" s="32">
        <f t="shared" si="6"/>
        <v>-0.24223602484472051</v>
      </c>
      <c r="O97" s="6" t="str">
        <f>IF(ABS(M97)&lt;Overview!$B$6,"OK",IF(I97=0,"REVIEW (zero base)",IF(ABS(M97/ABS(I97))&gt;=Overview!$B$5,"REVIEW","OK")))</f>
        <v>OK</v>
      </c>
      <c r="P97" s="31">
        <f t="shared" si="7"/>
        <v>0</v>
      </c>
      <c r="Q97" s="32">
        <f t="shared" si="8"/>
        <v>0</v>
      </c>
      <c r="R97" s="6" t="str">
        <f>IF(ABS(P97)&lt;Overview!$B$6,"OK",IF(J97=0,"REVIEW (zero base)",IF(ABS(P97/ABS(J97))&gt;=Overview!$B$5,"REVIEW","OK")))</f>
        <v>OK</v>
      </c>
      <c r="S97" s="33">
        <f t="shared" si="9"/>
        <v>0</v>
      </c>
    </row>
    <row r="98" spans="1:19" x14ac:dyDescent="0.2">
      <c r="A98" s="17">
        <v>96</v>
      </c>
      <c r="B98" s="17" t="s">
        <v>171</v>
      </c>
      <c r="C98" s="17" t="s">
        <v>172</v>
      </c>
      <c r="D98" s="17" t="s">
        <v>63</v>
      </c>
      <c r="E98" s="17" t="s">
        <v>104</v>
      </c>
      <c r="F98" s="17" t="s">
        <v>189</v>
      </c>
      <c r="G98" s="17" t="s">
        <v>272</v>
      </c>
      <c r="H98" s="30">
        <v>-8275</v>
      </c>
      <c r="I98" s="30">
        <v>-5625</v>
      </c>
      <c r="J98" s="30">
        <v>-10000</v>
      </c>
      <c r="K98" s="30">
        <v>-13000</v>
      </c>
      <c r="L98" s="30">
        <v>-13000</v>
      </c>
      <c r="M98" s="31">
        <f t="shared" si="5"/>
        <v>-4375</v>
      </c>
      <c r="N98" s="32">
        <f t="shared" si="6"/>
        <v>-0.77777777777777779</v>
      </c>
      <c r="O98" s="6" t="str">
        <f>IF(ABS(M98)&lt;Overview!$B$6,"OK",IF(I98=0,"REVIEW (zero base)",IF(ABS(M98/ABS(I98))&gt;=Overview!$B$5,"REVIEW","OK")))</f>
        <v>OK</v>
      </c>
      <c r="P98" s="31">
        <f t="shared" si="7"/>
        <v>-3000</v>
      </c>
      <c r="Q98" s="32">
        <f t="shared" si="8"/>
        <v>-0.3</v>
      </c>
      <c r="R98" s="6" t="str">
        <f>IF(ABS(P98)&lt;Overview!$B$6,"OK",IF(J98=0,"REVIEW (zero base)",IF(ABS(P98/ABS(J98))&gt;=Overview!$B$5,"REVIEW","OK")))</f>
        <v>OK</v>
      </c>
      <c r="S98" s="33">
        <f t="shared" si="9"/>
        <v>0</v>
      </c>
    </row>
    <row r="99" spans="1:19" x14ac:dyDescent="0.2">
      <c r="A99" s="17">
        <v>97</v>
      </c>
      <c r="B99" s="17" t="s">
        <v>171</v>
      </c>
      <c r="C99" s="17" t="s">
        <v>172</v>
      </c>
      <c r="D99" s="17" t="s">
        <v>63</v>
      </c>
      <c r="E99" s="17" t="s">
        <v>104</v>
      </c>
      <c r="F99" s="17" t="s">
        <v>204</v>
      </c>
      <c r="G99" s="17" t="s">
        <v>205</v>
      </c>
      <c r="H99" s="30">
        <v>-2175</v>
      </c>
      <c r="I99" s="30">
        <v>-200</v>
      </c>
      <c r="J99" s="30">
        <v>0</v>
      </c>
      <c r="K99" s="30">
        <v>0</v>
      </c>
      <c r="L99" s="30">
        <v>0</v>
      </c>
      <c r="M99" s="31">
        <f t="shared" si="5"/>
        <v>200</v>
      </c>
      <c r="N99" s="32">
        <f t="shared" si="6"/>
        <v>1</v>
      </c>
      <c r="O99" s="6" t="str">
        <f>IF(ABS(M99)&lt;Overview!$B$6,"OK",IF(I99=0,"REVIEW (zero base)",IF(ABS(M99/ABS(I99))&gt;=Overview!$B$5,"REVIEW","OK")))</f>
        <v>OK</v>
      </c>
      <c r="P99" s="31">
        <f t="shared" si="7"/>
        <v>0</v>
      </c>
      <c r="Q99" s="32" t="str">
        <f t="shared" si="8"/>
        <v>n/a</v>
      </c>
      <c r="R99" s="6" t="str">
        <f>IF(ABS(P99)&lt;Overview!$B$6,"OK",IF(J99=0,"REVIEW (zero base)",IF(ABS(P99/ABS(J99))&gt;=Overview!$B$5,"REVIEW","OK")))</f>
        <v>OK</v>
      </c>
      <c r="S99" s="33">
        <f t="shared" si="9"/>
        <v>0</v>
      </c>
    </row>
    <row r="100" spans="1:19" x14ac:dyDescent="0.2">
      <c r="A100" s="17">
        <v>98</v>
      </c>
      <c r="B100" s="17" t="s">
        <v>171</v>
      </c>
      <c r="C100" s="17" t="s">
        <v>172</v>
      </c>
      <c r="D100" s="17" t="s">
        <v>63</v>
      </c>
      <c r="E100" s="17" t="s">
        <v>104</v>
      </c>
      <c r="F100" s="17" t="s">
        <v>207</v>
      </c>
      <c r="G100" s="17" t="s">
        <v>273</v>
      </c>
      <c r="H100" s="30">
        <v>-118740</v>
      </c>
      <c r="I100" s="30">
        <v>-118740</v>
      </c>
      <c r="J100" s="30">
        <v>-108000</v>
      </c>
      <c r="K100" s="30">
        <v>-123000</v>
      </c>
      <c r="L100" s="30">
        <v>-115000</v>
      </c>
      <c r="M100" s="31">
        <f t="shared" si="5"/>
        <v>10740</v>
      </c>
      <c r="N100" s="32">
        <f t="shared" si="6"/>
        <v>9.0449722081859529E-2</v>
      </c>
      <c r="O100" s="6" t="str">
        <f>IF(ABS(M100)&lt;Overview!$B$6,"OK",IF(I100=0,"REVIEW (zero base)",IF(ABS(M100/ABS(I100))&gt;=Overview!$B$5,"REVIEW","OK")))</f>
        <v>OK</v>
      </c>
      <c r="P100" s="31">
        <f t="shared" si="7"/>
        <v>-15000</v>
      </c>
      <c r="Q100" s="32">
        <f t="shared" si="8"/>
        <v>-0.1388888888888889</v>
      </c>
      <c r="R100" s="6" t="str">
        <f>IF(ABS(P100)&lt;Overview!$B$6,"OK",IF(J100=0,"REVIEW (zero base)",IF(ABS(P100/ABS(J100))&gt;=Overview!$B$5,"REVIEW","OK")))</f>
        <v>OK</v>
      </c>
      <c r="S100" s="33">
        <f t="shared" si="9"/>
        <v>0</v>
      </c>
    </row>
    <row r="101" spans="1:19" x14ac:dyDescent="0.2">
      <c r="A101" s="17">
        <v>99</v>
      </c>
      <c r="B101" s="17" t="s">
        <v>171</v>
      </c>
      <c r="C101" s="17" t="s">
        <v>172</v>
      </c>
      <c r="D101" s="17" t="s">
        <v>68</v>
      </c>
      <c r="E101" s="17" t="s">
        <v>110</v>
      </c>
      <c r="F101" s="17" t="s">
        <v>204</v>
      </c>
      <c r="G101" s="17" t="s">
        <v>205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1">
        <f t="shared" si="5"/>
        <v>0</v>
      </c>
      <c r="N101" s="32" t="str">
        <f t="shared" si="6"/>
        <v>n/a</v>
      </c>
      <c r="O101" s="6" t="str">
        <f>IF(ABS(M101)&lt;Overview!$B$6,"OK",IF(I101=0,"REVIEW (zero base)",IF(ABS(M101/ABS(I101))&gt;=Overview!$B$5,"REVIEW","OK")))</f>
        <v>OK</v>
      </c>
      <c r="P101" s="31">
        <f t="shared" si="7"/>
        <v>0</v>
      </c>
      <c r="Q101" s="32" t="str">
        <f t="shared" si="8"/>
        <v>n/a</v>
      </c>
      <c r="R101" s="6" t="str">
        <f>IF(ABS(P101)&lt;Overview!$B$6,"OK",IF(J101=0,"REVIEW (zero base)",IF(ABS(P101/ABS(J101))&gt;=Overview!$B$5,"REVIEW","OK")))</f>
        <v>OK</v>
      </c>
      <c r="S101" s="33">
        <f t="shared" si="9"/>
        <v>0</v>
      </c>
    </row>
    <row r="102" spans="1:19" x14ac:dyDescent="0.2">
      <c r="A102" s="17">
        <v>100</v>
      </c>
      <c r="B102" s="17" t="s">
        <v>171</v>
      </c>
      <c r="C102" s="17" t="s">
        <v>172</v>
      </c>
      <c r="D102" s="17" t="s">
        <v>68</v>
      </c>
      <c r="E102" s="17" t="s">
        <v>130</v>
      </c>
      <c r="F102" s="17" t="s">
        <v>189</v>
      </c>
      <c r="G102" s="17" t="s">
        <v>229</v>
      </c>
      <c r="H102" s="30">
        <v>-2846</v>
      </c>
      <c r="I102" s="30">
        <v>-2481</v>
      </c>
      <c r="J102" s="30">
        <v>-3168</v>
      </c>
      <c r="K102" s="30">
        <v>-2628</v>
      </c>
      <c r="L102" s="30">
        <v>0</v>
      </c>
      <c r="M102" s="31">
        <f t="shared" si="5"/>
        <v>-687</v>
      </c>
      <c r="N102" s="32">
        <f t="shared" si="6"/>
        <v>-0.27690447400241835</v>
      </c>
      <c r="O102" s="6" t="str">
        <f>IF(ABS(M102)&lt;Overview!$B$6,"OK",IF(I102=0,"REVIEW (zero base)",IF(ABS(M102/ABS(I102))&gt;=Overview!$B$5,"REVIEW","OK")))</f>
        <v>OK</v>
      </c>
      <c r="P102" s="31">
        <f t="shared" si="7"/>
        <v>540</v>
      </c>
      <c r="Q102" s="32">
        <f t="shared" si="8"/>
        <v>0.17045454545454544</v>
      </c>
      <c r="R102" s="6" t="str">
        <f>IF(ABS(P102)&lt;Overview!$B$6,"OK",IF(J102=0,"REVIEW (zero base)",IF(ABS(P102/ABS(J102))&gt;=Overview!$B$5,"REVIEW","OK")))</f>
        <v>OK</v>
      </c>
      <c r="S102" s="33">
        <f t="shared" si="9"/>
        <v>0</v>
      </c>
    </row>
    <row r="103" spans="1:19" x14ac:dyDescent="0.2">
      <c r="A103" s="17">
        <v>101</v>
      </c>
      <c r="B103" s="17" t="s">
        <v>171</v>
      </c>
      <c r="C103" s="17" t="s">
        <v>172</v>
      </c>
      <c r="D103" s="17" t="s">
        <v>68</v>
      </c>
      <c r="E103" s="17" t="s">
        <v>130</v>
      </c>
      <c r="F103" s="17" t="s">
        <v>189</v>
      </c>
      <c r="G103" s="17" t="s">
        <v>274</v>
      </c>
      <c r="H103" s="30">
        <v>-1880</v>
      </c>
      <c r="I103" s="30">
        <v>-3926</v>
      </c>
      <c r="J103" s="30">
        <v>-2064</v>
      </c>
      <c r="K103" s="30">
        <v>-1716</v>
      </c>
      <c r="L103" s="30">
        <v>-2832</v>
      </c>
      <c r="M103" s="31">
        <f t="shared" si="5"/>
        <v>1862</v>
      </c>
      <c r="N103" s="32">
        <f t="shared" si="6"/>
        <v>0.47427407030056035</v>
      </c>
      <c r="O103" s="6" t="str">
        <f>IF(ABS(M103)&lt;Overview!$B$6,"OK",IF(I103=0,"REVIEW (zero base)",IF(ABS(M103/ABS(I103))&gt;=Overview!$B$5,"REVIEW","OK")))</f>
        <v>OK</v>
      </c>
      <c r="P103" s="31">
        <f t="shared" si="7"/>
        <v>348</v>
      </c>
      <c r="Q103" s="32">
        <f t="shared" si="8"/>
        <v>0.16860465116279069</v>
      </c>
      <c r="R103" s="6" t="str">
        <f>IF(ABS(P103)&lt;Overview!$B$6,"OK",IF(J103=0,"REVIEW (zero base)",IF(ABS(P103/ABS(J103))&gt;=Overview!$B$5,"REVIEW","OK")))</f>
        <v>OK</v>
      </c>
      <c r="S103" s="33">
        <f t="shared" si="9"/>
        <v>0</v>
      </c>
    </row>
    <row r="104" spans="1:19" x14ac:dyDescent="0.2">
      <c r="A104" s="17">
        <v>102</v>
      </c>
      <c r="B104" s="17" t="s">
        <v>171</v>
      </c>
      <c r="C104" s="17" t="s">
        <v>172</v>
      </c>
      <c r="D104" s="17" t="s">
        <v>68</v>
      </c>
      <c r="E104" s="17" t="s">
        <v>130</v>
      </c>
      <c r="F104" s="17" t="s">
        <v>189</v>
      </c>
      <c r="G104" s="17" t="s">
        <v>275</v>
      </c>
      <c r="H104" s="30">
        <v>-24510</v>
      </c>
      <c r="I104" s="30">
        <v>-17703</v>
      </c>
      <c r="J104" s="30">
        <v>-24552</v>
      </c>
      <c r="K104" s="30">
        <v>-20376</v>
      </c>
      <c r="L104" s="30">
        <v>-24288</v>
      </c>
      <c r="M104" s="31">
        <f t="shared" si="5"/>
        <v>-6849</v>
      </c>
      <c r="N104" s="32">
        <f t="shared" si="6"/>
        <v>-0.38688357905439758</v>
      </c>
      <c r="O104" s="6" t="str">
        <f>IF(ABS(M104)&lt;Overview!$B$6,"OK",IF(I104=0,"REVIEW (zero base)",IF(ABS(M104/ABS(I104))&gt;=Overview!$B$5,"REVIEW","OK")))</f>
        <v>OK</v>
      </c>
      <c r="P104" s="31">
        <f t="shared" si="7"/>
        <v>4176</v>
      </c>
      <c r="Q104" s="32">
        <f t="shared" si="8"/>
        <v>0.17008797653958943</v>
      </c>
      <c r="R104" s="6" t="str">
        <f>IF(ABS(P104)&lt;Overview!$B$6,"OK",IF(J104=0,"REVIEW (zero base)",IF(ABS(P104/ABS(J104))&gt;=Overview!$B$5,"REVIEW","OK")))</f>
        <v>OK</v>
      </c>
      <c r="S104" s="33">
        <f t="shared" si="9"/>
        <v>0</v>
      </c>
    </row>
    <row r="105" spans="1:19" x14ac:dyDescent="0.2">
      <c r="A105" s="17">
        <v>103</v>
      </c>
      <c r="B105" s="17" t="s">
        <v>171</v>
      </c>
      <c r="C105" s="17" t="s">
        <v>172</v>
      </c>
      <c r="D105" s="17" t="s">
        <v>68</v>
      </c>
      <c r="E105" s="17" t="s">
        <v>130</v>
      </c>
      <c r="F105" s="17" t="s">
        <v>189</v>
      </c>
      <c r="G105" s="17" t="s">
        <v>276</v>
      </c>
      <c r="H105" s="30">
        <v>-3857</v>
      </c>
      <c r="I105" s="30">
        <v>-3613</v>
      </c>
      <c r="J105" s="30">
        <v>-3648</v>
      </c>
      <c r="K105" s="30">
        <v>-3024</v>
      </c>
      <c r="L105" s="30">
        <v>-3432</v>
      </c>
      <c r="M105" s="31">
        <f t="shared" si="5"/>
        <v>-35</v>
      </c>
      <c r="N105" s="32">
        <f t="shared" si="6"/>
        <v>-9.6872405203432058E-3</v>
      </c>
      <c r="O105" s="6" t="str">
        <f>IF(ABS(M105)&lt;Overview!$B$6,"OK",IF(I105=0,"REVIEW (zero base)",IF(ABS(M105/ABS(I105))&gt;=Overview!$B$5,"REVIEW","OK")))</f>
        <v>OK</v>
      </c>
      <c r="P105" s="31">
        <f t="shared" si="7"/>
        <v>624</v>
      </c>
      <c r="Q105" s="32">
        <f t="shared" si="8"/>
        <v>0.17105263157894737</v>
      </c>
      <c r="R105" s="6" t="str">
        <f>IF(ABS(P105)&lt;Overview!$B$6,"OK",IF(J105=0,"REVIEW (zero base)",IF(ABS(P105/ABS(J105))&gt;=Overview!$B$5,"REVIEW","OK")))</f>
        <v>OK</v>
      </c>
      <c r="S105" s="33">
        <f t="shared" si="9"/>
        <v>0</v>
      </c>
    </row>
    <row r="106" spans="1:19" x14ac:dyDescent="0.2">
      <c r="A106" s="17">
        <v>104</v>
      </c>
      <c r="B106" s="17" t="s">
        <v>171</v>
      </c>
      <c r="C106" s="17" t="s">
        <v>172</v>
      </c>
      <c r="D106" s="17" t="s">
        <v>68</v>
      </c>
      <c r="E106" s="17" t="s">
        <v>130</v>
      </c>
      <c r="F106" s="17" t="s">
        <v>189</v>
      </c>
      <c r="G106" s="17" t="s">
        <v>277</v>
      </c>
      <c r="H106" s="30">
        <v>-2730</v>
      </c>
      <c r="I106" s="30">
        <v>-1650</v>
      </c>
      <c r="J106" s="30">
        <v>-2616</v>
      </c>
      <c r="K106" s="30">
        <v>-2172</v>
      </c>
      <c r="L106" s="30">
        <v>-2484</v>
      </c>
      <c r="M106" s="31">
        <f t="shared" si="5"/>
        <v>-966</v>
      </c>
      <c r="N106" s="32">
        <f t="shared" si="6"/>
        <v>-0.58545454545454545</v>
      </c>
      <c r="O106" s="6" t="str">
        <f>IF(ABS(M106)&lt;Overview!$B$6,"OK",IF(I106=0,"REVIEW (zero base)",IF(ABS(M106/ABS(I106))&gt;=Overview!$B$5,"REVIEW","OK")))</f>
        <v>OK</v>
      </c>
      <c r="P106" s="31">
        <f t="shared" si="7"/>
        <v>444</v>
      </c>
      <c r="Q106" s="32">
        <f t="shared" si="8"/>
        <v>0.16972477064220184</v>
      </c>
      <c r="R106" s="6" t="str">
        <f>IF(ABS(P106)&lt;Overview!$B$6,"OK",IF(J106=0,"REVIEW (zero base)",IF(ABS(P106/ABS(J106))&gt;=Overview!$B$5,"REVIEW","OK")))</f>
        <v>OK</v>
      </c>
      <c r="S106" s="33">
        <f t="shared" si="9"/>
        <v>0</v>
      </c>
    </row>
    <row r="107" spans="1:19" x14ac:dyDescent="0.2">
      <c r="A107" s="17">
        <v>105</v>
      </c>
      <c r="B107" s="17" t="s">
        <v>171</v>
      </c>
      <c r="C107" s="17" t="s">
        <v>172</v>
      </c>
      <c r="D107" s="17" t="s">
        <v>68</v>
      </c>
      <c r="E107" s="17" t="s">
        <v>130</v>
      </c>
      <c r="F107" s="17" t="s">
        <v>189</v>
      </c>
      <c r="G107" s="17" t="s">
        <v>278</v>
      </c>
      <c r="H107" s="30">
        <v>-3750</v>
      </c>
      <c r="I107" s="30">
        <v>-2520</v>
      </c>
      <c r="J107" s="30">
        <v>-3708</v>
      </c>
      <c r="K107" s="30">
        <v>-3072</v>
      </c>
      <c r="L107" s="30">
        <v>-3500</v>
      </c>
      <c r="M107" s="31">
        <f t="shared" si="5"/>
        <v>-1188</v>
      </c>
      <c r="N107" s="32">
        <f t="shared" si="6"/>
        <v>-0.47142857142857142</v>
      </c>
      <c r="O107" s="6" t="str">
        <f>IF(ABS(M107)&lt;Overview!$B$6,"OK",IF(I107=0,"REVIEW (zero base)",IF(ABS(M107/ABS(I107))&gt;=Overview!$B$5,"REVIEW","OK")))</f>
        <v>OK</v>
      </c>
      <c r="P107" s="31">
        <f t="shared" si="7"/>
        <v>636</v>
      </c>
      <c r="Q107" s="32">
        <f t="shared" si="8"/>
        <v>0.17152103559870549</v>
      </c>
      <c r="R107" s="6" t="str">
        <f>IF(ABS(P107)&lt;Overview!$B$6,"OK",IF(J107=0,"REVIEW (zero base)",IF(ABS(P107/ABS(J107))&gt;=Overview!$B$5,"REVIEW","OK")))</f>
        <v>OK</v>
      </c>
      <c r="S107" s="33">
        <f t="shared" si="9"/>
        <v>0</v>
      </c>
    </row>
    <row r="108" spans="1:19" x14ac:dyDescent="0.2">
      <c r="A108" s="17">
        <v>106</v>
      </c>
      <c r="B108" s="17" t="s">
        <v>171</v>
      </c>
      <c r="C108" s="17" t="s">
        <v>172</v>
      </c>
      <c r="D108" s="17" t="s">
        <v>68</v>
      </c>
      <c r="E108" s="17" t="s">
        <v>130</v>
      </c>
      <c r="F108" s="17" t="s">
        <v>189</v>
      </c>
      <c r="G108" s="17" t="s">
        <v>279</v>
      </c>
      <c r="H108" s="30">
        <v>-2946</v>
      </c>
      <c r="I108" s="30">
        <v>-2000</v>
      </c>
      <c r="J108" s="30">
        <v>-2940</v>
      </c>
      <c r="K108" s="30">
        <v>-2436</v>
      </c>
      <c r="L108" s="30">
        <v>-2880</v>
      </c>
      <c r="M108" s="31">
        <f t="shared" si="5"/>
        <v>-940</v>
      </c>
      <c r="N108" s="32">
        <f t="shared" si="6"/>
        <v>-0.47</v>
      </c>
      <c r="O108" s="6" t="str">
        <f>IF(ABS(M108)&lt;Overview!$B$6,"OK",IF(I108=0,"REVIEW (zero base)",IF(ABS(M108/ABS(I108))&gt;=Overview!$B$5,"REVIEW","OK")))</f>
        <v>OK</v>
      </c>
      <c r="P108" s="31">
        <f t="shared" si="7"/>
        <v>504</v>
      </c>
      <c r="Q108" s="32">
        <f t="shared" si="8"/>
        <v>0.17142857142857143</v>
      </c>
      <c r="R108" s="6" t="str">
        <f>IF(ABS(P108)&lt;Overview!$B$6,"OK",IF(J108=0,"REVIEW (zero base)",IF(ABS(P108/ABS(J108))&gt;=Overview!$B$5,"REVIEW","OK")))</f>
        <v>OK</v>
      </c>
      <c r="S108" s="33">
        <f t="shared" si="9"/>
        <v>0</v>
      </c>
    </row>
    <row r="109" spans="1:19" x14ac:dyDescent="0.2">
      <c r="A109" s="17">
        <v>107</v>
      </c>
      <c r="B109" s="17" t="s">
        <v>171</v>
      </c>
      <c r="C109" s="17" t="s">
        <v>172</v>
      </c>
      <c r="D109" s="17" t="s">
        <v>68</v>
      </c>
      <c r="E109" s="17" t="s">
        <v>130</v>
      </c>
      <c r="F109" s="17" t="s">
        <v>189</v>
      </c>
      <c r="G109" s="17" t="s">
        <v>280</v>
      </c>
      <c r="H109" s="30">
        <v>-3350</v>
      </c>
      <c r="I109" s="30">
        <v>-2430</v>
      </c>
      <c r="J109" s="30">
        <v>-4476</v>
      </c>
      <c r="K109" s="30">
        <v>-3720</v>
      </c>
      <c r="L109" s="30">
        <v>-5500</v>
      </c>
      <c r="M109" s="31">
        <f t="shared" si="5"/>
        <v>-2046</v>
      </c>
      <c r="N109" s="32">
        <f t="shared" si="6"/>
        <v>-0.84197530864197534</v>
      </c>
      <c r="O109" s="6" t="str">
        <f>IF(ABS(M109)&lt;Overview!$B$6,"OK",IF(I109=0,"REVIEW (zero base)",IF(ABS(M109/ABS(I109))&gt;=Overview!$B$5,"REVIEW","OK")))</f>
        <v>OK</v>
      </c>
      <c r="P109" s="31">
        <f t="shared" si="7"/>
        <v>756</v>
      </c>
      <c r="Q109" s="32">
        <f t="shared" si="8"/>
        <v>0.16890080428954424</v>
      </c>
      <c r="R109" s="6" t="str">
        <f>IF(ABS(P109)&lt;Overview!$B$6,"OK",IF(J109=0,"REVIEW (zero base)",IF(ABS(P109/ABS(J109))&gt;=Overview!$B$5,"REVIEW","OK")))</f>
        <v>OK</v>
      </c>
      <c r="S109" s="33">
        <f t="shared" si="9"/>
        <v>0</v>
      </c>
    </row>
    <row r="110" spans="1:19" x14ac:dyDescent="0.2">
      <c r="A110" s="17">
        <v>108</v>
      </c>
      <c r="B110" s="17" t="s">
        <v>171</v>
      </c>
      <c r="C110" s="17" t="s">
        <v>172</v>
      </c>
      <c r="D110" s="17" t="s">
        <v>68</v>
      </c>
      <c r="E110" s="17" t="s">
        <v>130</v>
      </c>
      <c r="F110" s="17" t="s">
        <v>189</v>
      </c>
      <c r="G110" s="17" t="s">
        <v>281</v>
      </c>
      <c r="H110" s="30">
        <v>-91003</v>
      </c>
      <c r="I110" s="30">
        <v>-64613</v>
      </c>
      <c r="J110" s="30">
        <v>-113142</v>
      </c>
      <c r="K110" s="30">
        <v>-93900</v>
      </c>
      <c r="L110" s="30">
        <v>-114408</v>
      </c>
      <c r="M110" s="31">
        <f t="shared" si="5"/>
        <v>-48529</v>
      </c>
      <c r="N110" s="32">
        <f t="shared" si="6"/>
        <v>-0.7510717657437358</v>
      </c>
      <c r="O110" s="6" t="str">
        <f>IF(ABS(M110)&lt;Overview!$B$6,"OK",IF(I110=0,"REVIEW (zero base)",IF(ABS(M110/ABS(I110))&gt;=Overview!$B$5,"REVIEW","OK")))</f>
        <v>OK</v>
      </c>
      <c r="P110" s="31">
        <f t="shared" si="7"/>
        <v>19242</v>
      </c>
      <c r="Q110" s="32">
        <f t="shared" si="8"/>
        <v>0.17006947022325927</v>
      </c>
      <c r="R110" s="6" t="str">
        <f>IF(ABS(P110)&lt;Overview!$B$6,"OK",IF(J110=0,"REVIEW (zero base)",IF(ABS(P110/ABS(J110))&gt;=Overview!$B$5,"REVIEW","OK")))</f>
        <v>OK</v>
      </c>
      <c r="S110" s="33">
        <f t="shared" si="9"/>
        <v>0</v>
      </c>
    </row>
    <row r="111" spans="1:19" x14ac:dyDescent="0.2">
      <c r="A111" s="17">
        <v>109</v>
      </c>
      <c r="B111" s="17" t="s">
        <v>171</v>
      </c>
      <c r="C111" s="17" t="s">
        <v>172</v>
      </c>
      <c r="D111" s="17" t="s">
        <v>68</v>
      </c>
      <c r="E111" s="17" t="s">
        <v>130</v>
      </c>
      <c r="F111" s="17" t="s">
        <v>189</v>
      </c>
      <c r="G111" s="17" t="s">
        <v>282</v>
      </c>
      <c r="H111" s="30">
        <v>-3831</v>
      </c>
      <c r="I111" s="30">
        <v>-2850</v>
      </c>
      <c r="J111" s="30">
        <v>-4032</v>
      </c>
      <c r="K111" s="30">
        <v>-3348</v>
      </c>
      <c r="L111" s="30">
        <v>-4000</v>
      </c>
      <c r="M111" s="31">
        <f t="shared" si="5"/>
        <v>-1182</v>
      </c>
      <c r="N111" s="32">
        <f t="shared" si="6"/>
        <v>-0.41473684210526318</v>
      </c>
      <c r="O111" s="6" t="str">
        <f>IF(ABS(M111)&lt;Overview!$B$6,"OK",IF(I111=0,"REVIEW (zero base)",IF(ABS(M111/ABS(I111))&gt;=Overview!$B$5,"REVIEW","OK")))</f>
        <v>OK</v>
      </c>
      <c r="P111" s="31">
        <f t="shared" si="7"/>
        <v>684</v>
      </c>
      <c r="Q111" s="32">
        <f t="shared" si="8"/>
        <v>0.16964285714285715</v>
      </c>
      <c r="R111" s="6" t="str">
        <f>IF(ABS(P111)&lt;Overview!$B$6,"OK",IF(J111=0,"REVIEW (zero base)",IF(ABS(P111/ABS(J111))&gt;=Overview!$B$5,"REVIEW","OK")))</f>
        <v>OK</v>
      </c>
      <c r="S111" s="33">
        <f t="shared" si="9"/>
        <v>0</v>
      </c>
    </row>
    <row r="112" spans="1:19" x14ac:dyDescent="0.2">
      <c r="A112" s="17">
        <v>110</v>
      </c>
      <c r="B112" s="17" t="s">
        <v>171</v>
      </c>
      <c r="C112" s="17" t="s">
        <v>172</v>
      </c>
      <c r="D112" s="17" t="s">
        <v>68</v>
      </c>
      <c r="E112" s="17" t="s">
        <v>134</v>
      </c>
      <c r="F112" s="17" t="s">
        <v>189</v>
      </c>
      <c r="G112" s="17" t="s">
        <v>283</v>
      </c>
      <c r="H112" s="30">
        <v>-26243</v>
      </c>
      <c r="I112" s="30">
        <v>-18305</v>
      </c>
      <c r="J112" s="30">
        <v>-20000</v>
      </c>
      <c r="K112" s="30">
        <v>-20000</v>
      </c>
      <c r="L112" s="30">
        <v>-20000</v>
      </c>
      <c r="M112" s="31">
        <f t="shared" si="5"/>
        <v>-1695</v>
      </c>
      <c r="N112" s="32">
        <f t="shared" si="6"/>
        <v>-9.2597650915050539E-2</v>
      </c>
      <c r="O112" s="6" t="str">
        <f>IF(ABS(M112)&lt;Overview!$B$6,"OK",IF(I112=0,"REVIEW (zero base)",IF(ABS(M112/ABS(I112))&gt;=Overview!$B$5,"REVIEW","OK")))</f>
        <v>OK</v>
      </c>
      <c r="P112" s="31">
        <f t="shared" si="7"/>
        <v>0</v>
      </c>
      <c r="Q112" s="32">
        <f t="shared" si="8"/>
        <v>0</v>
      </c>
      <c r="R112" s="6" t="str">
        <f>IF(ABS(P112)&lt;Overview!$B$6,"OK",IF(J112=0,"REVIEW (zero base)",IF(ABS(P112/ABS(J112))&gt;=Overview!$B$5,"REVIEW","OK")))</f>
        <v>OK</v>
      </c>
      <c r="S112" s="33">
        <f t="shared" si="9"/>
        <v>0</v>
      </c>
    </row>
    <row r="113" spans="1:19" x14ac:dyDescent="0.2">
      <c r="A113" s="17">
        <v>111</v>
      </c>
      <c r="B113" s="17" t="s">
        <v>171</v>
      </c>
      <c r="C113" s="17" t="s">
        <v>172</v>
      </c>
      <c r="D113" s="17" t="s">
        <v>68</v>
      </c>
      <c r="E113" s="17" t="s">
        <v>134</v>
      </c>
      <c r="F113" s="17" t="s">
        <v>192</v>
      </c>
      <c r="G113" s="17" t="s">
        <v>284</v>
      </c>
      <c r="H113" s="30">
        <v>0</v>
      </c>
      <c r="I113" s="30">
        <v>-200</v>
      </c>
      <c r="J113" s="30">
        <v>0</v>
      </c>
      <c r="K113" s="30">
        <v>0</v>
      </c>
      <c r="L113" s="30">
        <v>0</v>
      </c>
      <c r="M113" s="31">
        <f t="shared" si="5"/>
        <v>200</v>
      </c>
      <c r="N113" s="32">
        <f t="shared" si="6"/>
        <v>1</v>
      </c>
      <c r="O113" s="6" t="str">
        <f>IF(ABS(M113)&lt;Overview!$B$6,"OK",IF(I113=0,"REVIEW (zero base)",IF(ABS(M113/ABS(I113))&gt;=Overview!$B$5,"REVIEW","OK")))</f>
        <v>OK</v>
      </c>
      <c r="P113" s="31">
        <f t="shared" si="7"/>
        <v>0</v>
      </c>
      <c r="Q113" s="32" t="str">
        <f t="shared" si="8"/>
        <v>n/a</v>
      </c>
      <c r="R113" s="6" t="str">
        <f>IF(ABS(P113)&lt;Overview!$B$6,"OK",IF(J113=0,"REVIEW (zero base)",IF(ABS(P113/ABS(J113))&gt;=Overview!$B$5,"REVIEW","OK")))</f>
        <v>OK</v>
      </c>
      <c r="S113" s="33">
        <f t="shared" si="9"/>
        <v>0</v>
      </c>
    </row>
    <row r="114" spans="1:19" x14ac:dyDescent="0.2">
      <c r="A114" s="17">
        <v>112</v>
      </c>
      <c r="B114" s="17" t="s">
        <v>171</v>
      </c>
      <c r="C114" s="17" t="s">
        <v>172</v>
      </c>
      <c r="D114" s="17" t="s">
        <v>68</v>
      </c>
      <c r="E114" s="17" t="s">
        <v>134</v>
      </c>
      <c r="F114" s="17" t="s">
        <v>204</v>
      </c>
      <c r="G114" s="17" t="s">
        <v>205</v>
      </c>
      <c r="H114" s="30">
        <v>0</v>
      </c>
      <c r="I114" s="30">
        <v>-886</v>
      </c>
      <c r="J114" s="30">
        <v>0</v>
      </c>
      <c r="K114" s="30">
        <v>0</v>
      </c>
      <c r="L114" s="30">
        <v>0</v>
      </c>
      <c r="M114" s="31">
        <f t="shared" si="5"/>
        <v>886</v>
      </c>
      <c r="N114" s="32">
        <f t="shared" si="6"/>
        <v>1</v>
      </c>
      <c r="O114" s="6" t="str">
        <f>IF(ABS(M114)&lt;Overview!$B$6,"OK",IF(I114=0,"REVIEW (zero base)",IF(ABS(M114/ABS(I114))&gt;=Overview!$B$5,"REVIEW","OK")))</f>
        <v>OK</v>
      </c>
      <c r="P114" s="31">
        <f t="shared" si="7"/>
        <v>0</v>
      </c>
      <c r="Q114" s="32" t="str">
        <f t="shared" si="8"/>
        <v>n/a</v>
      </c>
      <c r="R114" s="6" t="str">
        <f>IF(ABS(P114)&lt;Overview!$B$6,"OK",IF(J114=0,"REVIEW (zero base)",IF(ABS(P114/ABS(J114))&gt;=Overview!$B$5,"REVIEW","OK")))</f>
        <v>OK</v>
      </c>
      <c r="S114" s="33">
        <f t="shared" si="9"/>
        <v>0</v>
      </c>
    </row>
    <row r="115" spans="1:19" x14ac:dyDescent="0.2">
      <c r="A115" s="17">
        <v>113</v>
      </c>
      <c r="B115" s="17" t="s">
        <v>171</v>
      </c>
      <c r="C115" s="17" t="s">
        <v>172</v>
      </c>
      <c r="D115" s="17" t="s">
        <v>58</v>
      </c>
      <c r="E115" s="17" t="s">
        <v>84</v>
      </c>
      <c r="F115" s="17" t="s">
        <v>189</v>
      </c>
      <c r="G115" s="17" t="s">
        <v>285</v>
      </c>
      <c r="H115" s="30">
        <v>0</v>
      </c>
      <c r="I115" s="30">
        <v>-1320</v>
      </c>
      <c r="J115" s="30">
        <v>0</v>
      </c>
      <c r="K115" s="30">
        <v>0</v>
      </c>
      <c r="L115" s="30">
        <v>0</v>
      </c>
      <c r="M115" s="31">
        <f t="shared" si="5"/>
        <v>1320</v>
      </c>
      <c r="N115" s="32">
        <f t="shared" si="6"/>
        <v>1</v>
      </c>
      <c r="O115" s="6" t="str">
        <f>IF(ABS(M115)&lt;Overview!$B$6,"OK",IF(I115=0,"REVIEW (zero base)",IF(ABS(M115/ABS(I115))&gt;=Overview!$B$5,"REVIEW","OK")))</f>
        <v>OK</v>
      </c>
      <c r="P115" s="31">
        <f t="shared" si="7"/>
        <v>0</v>
      </c>
      <c r="Q115" s="32" t="str">
        <f t="shared" si="8"/>
        <v>n/a</v>
      </c>
      <c r="R115" s="6" t="str">
        <f>IF(ABS(P115)&lt;Overview!$B$6,"OK",IF(J115=0,"REVIEW (zero base)",IF(ABS(P115/ABS(J115))&gt;=Overview!$B$5,"REVIEW","OK")))</f>
        <v>OK</v>
      </c>
      <c r="S115" s="33">
        <f t="shared" si="9"/>
        <v>0</v>
      </c>
    </row>
    <row r="116" spans="1:19" x14ac:dyDescent="0.2">
      <c r="A116" s="17">
        <v>114</v>
      </c>
      <c r="B116" s="17" t="s">
        <v>171</v>
      </c>
      <c r="C116" s="17" t="s">
        <v>172</v>
      </c>
      <c r="D116" s="17" t="s">
        <v>58</v>
      </c>
      <c r="E116" s="17" t="s">
        <v>84</v>
      </c>
      <c r="F116" s="17" t="s">
        <v>189</v>
      </c>
      <c r="G116" s="17" t="s">
        <v>286</v>
      </c>
      <c r="H116" s="30">
        <v>-183168</v>
      </c>
      <c r="I116" s="30">
        <v>-301980</v>
      </c>
      <c r="J116" s="30">
        <v>0</v>
      </c>
      <c r="K116" s="30">
        <v>-301155</v>
      </c>
      <c r="L116" s="30">
        <v>-301155</v>
      </c>
      <c r="M116" s="31">
        <f t="shared" si="5"/>
        <v>301980</v>
      </c>
      <c r="N116" s="32">
        <f t="shared" si="6"/>
        <v>1</v>
      </c>
      <c r="O116" s="6" t="str">
        <f>IF(ABS(M116)&lt;Overview!$B$6,"OK",IF(I116=0,"REVIEW (zero base)",IF(ABS(M116/ABS(I116))&gt;=Overview!$B$5,"REVIEW","OK")))</f>
        <v>REVIEW</v>
      </c>
      <c r="P116" s="31">
        <f t="shared" si="7"/>
        <v>-301155</v>
      </c>
      <c r="Q116" s="32" t="str">
        <f t="shared" si="8"/>
        <v>n/a</v>
      </c>
      <c r="R116" s="6" t="str">
        <f>IF(ABS(P116)&lt;Overview!$B$6,"OK",IF(J116=0,"REVIEW (zero base)",IF(ABS(P116/ABS(J116))&gt;=Overview!$B$5,"REVIEW","OK")))</f>
        <v>REVIEW (zero base)</v>
      </c>
      <c r="S116" s="33">
        <f t="shared" si="9"/>
        <v>0</v>
      </c>
    </row>
    <row r="117" spans="1:19" x14ac:dyDescent="0.2">
      <c r="A117" s="17">
        <v>115</v>
      </c>
      <c r="B117" s="17" t="s">
        <v>171</v>
      </c>
      <c r="C117" s="17" t="s">
        <v>172</v>
      </c>
      <c r="D117" s="17" t="s">
        <v>58</v>
      </c>
      <c r="E117" s="17" t="s">
        <v>84</v>
      </c>
      <c r="F117" s="17" t="s">
        <v>287</v>
      </c>
      <c r="G117" s="17" t="s">
        <v>288</v>
      </c>
      <c r="H117" s="30">
        <v>-80000</v>
      </c>
      <c r="I117" s="30">
        <v>-80000</v>
      </c>
      <c r="J117" s="30">
        <v>-126000</v>
      </c>
      <c r="K117" s="30">
        <v>-80000</v>
      </c>
      <c r="L117" s="30">
        <v>-126000</v>
      </c>
      <c r="M117" s="31">
        <f t="shared" si="5"/>
        <v>-46000</v>
      </c>
      <c r="N117" s="32">
        <f t="shared" si="6"/>
        <v>-0.57499999999999996</v>
      </c>
      <c r="O117" s="6" t="str">
        <f>IF(ABS(M117)&lt;Overview!$B$6,"OK",IF(I117=0,"REVIEW (zero base)",IF(ABS(M117/ABS(I117))&gt;=Overview!$B$5,"REVIEW","OK")))</f>
        <v>OK</v>
      </c>
      <c r="P117" s="31">
        <f t="shared" si="7"/>
        <v>46000</v>
      </c>
      <c r="Q117" s="32">
        <f t="shared" si="8"/>
        <v>0.36507936507936506</v>
      </c>
      <c r="R117" s="6" t="str">
        <f>IF(ABS(P117)&lt;Overview!$B$6,"OK",IF(J117=0,"REVIEW (zero base)",IF(ABS(P117/ABS(J117))&gt;=Overview!$B$5,"REVIEW","OK")))</f>
        <v>OK</v>
      </c>
      <c r="S117" s="33">
        <f t="shared" si="9"/>
        <v>0</v>
      </c>
    </row>
    <row r="118" spans="1:19" x14ac:dyDescent="0.2">
      <c r="A118" s="17">
        <v>116</v>
      </c>
      <c r="B118" s="17" t="s">
        <v>171</v>
      </c>
      <c r="C118" s="17" t="s">
        <v>172</v>
      </c>
      <c r="D118" s="17" t="s">
        <v>58</v>
      </c>
      <c r="E118" s="17" t="s">
        <v>84</v>
      </c>
      <c r="F118" s="17" t="s">
        <v>289</v>
      </c>
      <c r="G118" s="17" t="s">
        <v>290</v>
      </c>
      <c r="H118" s="30">
        <v>0</v>
      </c>
      <c r="I118" s="30">
        <v>-354193</v>
      </c>
      <c r="J118" s="30">
        <v>0</v>
      </c>
      <c r="K118" s="30">
        <v>0</v>
      </c>
      <c r="L118" s="30">
        <v>0</v>
      </c>
      <c r="M118" s="31">
        <f t="shared" si="5"/>
        <v>354193</v>
      </c>
      <c r="N118" s="32">
        <f t="shared" si="6"/>
        <v>1</v>
      </c>
      <c r="O118" s="6" t="str">
        <f>IF(ABS(M118)&lt;Overview!$B$6,"OK",IF(I118=0,"REVIEW (zero base)",IF(ABS(M118/ABS(I118))&gt;=Overview!$B$5,"REVIEW","OK")))</f>
        <v>REVIEW</v>
      </c>
      <c r="P118" s="31">
        <f t="shared" si="7"/>
        <v>0</v>
      </c>
      <c r="Q118" s="32" t="str">
        <f t="shared" si="8"/>
        <v>n/a</v>
      </c>
      <c r="R118" s="6" t="str">
        <f>IF(ABS(P118)&lt;Overview!$B$6,"OK",IF(J118=0,"REVIEW (zero base)",IF(ABS(P118/ABS(J118))&gt;=Overview!$B$5,"REVIEW","OK")))</f>
        <v>OK</v>
      </c>
      <c r="S118" s="33">
        <f t="shared" si="9"/>
        <v>0</v>
      </c>
    </row>
    <row r="119" spans="1:19" x14ac:dyDescent="0.2">
      <c r="A119" s="17">
        <v>117</v>
      </c>
      <c r="B119" s="17" t="s">
        <v>171</v>
      </c>
      <c r="C119" s="17" t="s">
        <v>172</v>
      </c>
      <c r="D119" s="17" t="s">
        <v>58</v>
      </c>
      <c r="E119" s="17" t="s">
        <v>84</v>
      </c>
      <c r="F119" s="17" t="s">
        <v>204</v>
      </c>
      <c r="G119" s="17" t="s">
        <v>205</v>
      </c>
      <c r="H119" s="30">
        <v>-4412</v>
      </c>
      <c r="I119" s="30">
        <v>-25397</v>
      </c>
      <c r="J119" s="30">
        <v>-3000</v>
      </c>
      <c r="K119" s="30">
        <v>-3000</v>
      </c>
      <c r="L119" s="30">
        <v>0</v>
      </c>
      <c r="M119" s="31">
        <f t="shared" si="5"/>
        <v>22397</v>
      </c>
      <c r="N119" s="32">
        <f t="shared" si="6"/>
        <v>0.88187581210379173</v>
      </c>
      <c r="O119" s="6" t="str">
        <f>IF(ABS(M119)&lt;Overview!$B$6,"OK",IF(I119=0,"REVIEW (zero base)",IF(ABS(M119/ABS(I119))&gt;=Overview!$B$5,"REVIEW","OK")))</f>
        <v>OK</v>
      </c>
      <c r="P119" s="31">
        <f t="shared" si="7"/>
        <v>0</v>
      </c>
      <c r="Q119" s="32">
        <f t="shared" si="8"/>
        <v>0</v>
      </c>
      <c r="R119" s="6" t="str">
        <f>IF(ABS(P119)&lt;Overview!$B$6,"OK",IF(J119=0,"REVIEW (zero base)",IF(ABS(P119/ABS(J119))&gt;=Overview!$B$5,"REVIEW","OK")))</f>
        <v>OK</v>
      </c>
      <c r="S119" s="33">
        <f t="shared" si="9"/>
        <v>0</v>
      </c>
    </row>
    <row r="120" spans="1:19" x14ac:dyDescent="0.2">
      <c r="A120" s="17">
        <v>118</v>
      </c>
      <c r="B120" s="17" t="s">
        <v>171</v>
      </c>
      <c r="C120" s="17" t="s">
        <v>172</v>
      </c>
      <c r="D120" s="17" t="s">
        <v>62</v>
      </c>
      <c r="E120" s="17" t="s">
        <v>101</v>
      </c>
      <c r="F120" s="17" t="s">
        <v>189</v>
      </c>
      <c r="G120" s="17" t="s">
        <v>228</v>
      </c>
      <c r="H120" s="30">
        <v>-672</v>
      </c>
      <c r="I120" s="30">
        <v>-3332</v>
      </c>
      <c r="J120" s="30">
        <v>0</v>
      </c>
      <c r="K120" s="30">
        <v>0</v>
      </c>
      <c r="L120" s="30">
        <v>0</v>
      </c>
      <c r="M120" s="31">
        <f t="shared" si="5"/>
        <v>3332</v>
      </c>
      <c r="N120" s="32">
        <f t="shared" si="6"/>
        <v>1</v>
      </c>
      <c r="O120" s="6" t="str">
        <f>IF(ABS(M120)&lt;Overview!$B$6,"OK",IF(I120=0,"REVIEW (zero base)",IF(ABS(M120/ABS(I120))&gt;=Overview!$B$5,"REVIEW","OK")))</f>
        <v>OK</v>
      </c>
      <c r="P120" s="31">
        <f t="shared" si="7"/>
        <v>0</v>
      </c>
      <c r="Q120" s="32" t="str">
        <f t="shared" si="8"/>
        <v>n/a</v>
      </c>
      <c r="R120" s="6" t="str">
        <f>IF(ABS(P120)&lt;Overview!$B$6,"OK",IF(J120=0,"REVIEW (zero base)",IF(ABS(P120/ABS(J120))&gt;=Overview!$B$5,"REVIEW","OK")))</f>
        <v>OK</v>
      </c>
      <c r="S120" s="33">
        <f t="shared" si="9"/>
        <v>0</v>
      </c>
    </row>
    <row r="121" spans="1:19" x14ac:dyDescent="0.2">
      <c r="A121" s="17">
        <v>119</v>
      </c>
      <c r="B121" s="17" t="s">
        <v>171</v>
      </c>
      <c r="C121" s="17" t="s">
        <v>172</v>
      </c>
      <c r="D121" s="17" t="s">
        <v>62</v>
      </c>
      <c r="E121" s="17" t="s">
        <v>101</v>
      </c>
      <c r="F121" s="17" t="s">
        <v>189</v>
      </c>
      <c r="G121" s="17" t="s">
        <v>291</v>
      </c>
      <c r="H121" s="30">
        <v>-3400</v>
      </c>
      <c r="I121" s="30">
        <v>-1800</v>
      </c>
      <c r="J121" s="30">
        <v>-3162</v>
      </c>
      <c r="K121" s="30">
        <v>0</v>
      </c>
      <c r="L121" s="30">
        <v>0</v>
      </c>
      <c r="M121" s="31">
        <f t="shared" si="5"/>
        <v>-1362</v>
      </c>
      <c r="N121" s="32">
        <f t="shared" si="6"/>
        <v>-0.75666666666666671</v>
      </c>
      <c r="O121" s="6" t="str">
        <f>IF(ABS(M121)&lt;Overview!$B$6,"OK",IF(I121=0,"REVIEW (zero base)",IF(ABS(M121/ABS(I121))&gt;=Overview!$B$5,"REVIEW","OK")))</f>
        <v>OK</v>
      </c>
      <c r="P121" s="31">
        <f t="shared" si="7"/>
        <v>3162</v>
      </c>
      <c r="Q121" s="32">
        <f t="shared" si="8"/>
        <v>1</v>
      </c>
      <c r="R121" s="6" t="str">
        <f>IF(ABS(P121)&lt;Overview!$B$6,"OK",IF(J121=0,"REVIEW (zero base)",IF(ABS(P121/ABS(J121))&gt;=Overview!$B$5,"REVIEW","OK")))</f>
        <v>OK</v>
      </c>
      <c r="S121" s="33">
        <f t="shared" si="9"/>
        <v>0</v>
      </c>
    </row>
    <row r="122" spans="1:19" x14ac:dyDescent="0.2">
      <c r="A122" s="17">
        <v>120</v>
      </c>
      <c r="B122" s="17" t="s">
        <v>171</v>
      </c>
      <c r="C122" s="17" t="s">
        <v>172</v>
      </c>
      <c r="D122" s="17" t="s">
        <v>62</v>
      </c>
      <c r="E122" s="17" t="s">
        <v>101</v>
      </c>
      <c r="F122" s="17" t="s">
        <v>189</v>
      </c>
      <c r="G122" s="17" t="s">
        <v>292</v>
      </c>
      <c r="H122" s="30">
        <v>-4360898</v>
      </c>
      <c r="I122" s="30">
        <v>-4078195</v>
      </c>
      <c r="J122" s="30">
        <v>-4727432</v>
      </c>
      <c r="K122" s="30">
        <v>-6159912</v>
      </c>
      <c r="L122" s="30">
        <v>-6159912</v>
      </c>
      <c r="M122" s="31">
        <f t="shared" si="5"/>
        <v>-649237</v>
      </c>
      <c r="N122" s="32">
        <f t="shared" si="6"/>
        <v>-0.15919714481529207</v>
      </c>
      <c r="O122" s="6" t="str">
        <f>IF(ABS(M122)&lt;Overview!$B$6,"OK",IF(I122=0,"REVIEW (zero base)",IF(ABS(M122/ABS(I122))&gt;=Overview!$B$5,"REVIEW","OK")))</f>
        <v>REVIEW</v>
      </c>
      <c r="P122" s="31">
        <f t="shared" si="7"/>
        <v>-1432480</v>
      </c>
      <c r="Q122" s="32">
        <f t="shared" si="8"/>
        <v>-0.30301440613000885</v>
      </c>
      <c r="R122" s="6" t="str">
        <f>IF(ABS(P122)&lt;Overview!$B$6,"OK",IF(J122=0,"REVIEW (zero base)",IF(ABS(P122/ABS(J122))&gt;=Overview!$B$5,"REVIEW","OK")))</f>
        <v>REVIEW</v>
      </c>
      <c r="S122" s="33">
        <f t="shared" si="9"/>
        <v>0</v>
      </c>
    </row>
    <row r="123" spans="1:19" x14ac:dyDescent="0.2">
      <c r="A123" s="17">
        <v>121</v>
      </c>
      <c r="B123" s="17" t="s">
        <v>171</v>
      </c>
      <c r="C123" s="17" t="s">
        <v>172</v>
      </c>
      <c r="D123" s="17" t="s">
        <v>62</v>
      </c>
      <c r="E123" s="17" t="s">
        <v>101</v>
      </c>
      <c r="F123" s="17" t="s">
        <v>189</v>
      </c>
      <c r="G123" s="17" t="s">
        <v>293</v>
      </c>
      <c r="H123" s="30">
        <v>-289073</v>
      </c>
      <c r="I123" s="30">
        <v>-259102</v>
      </c>
      <c r="J123" s="30">
        <v>-266137</v>
      </c>
      <c r="K123" s="30">
        <v>-375000</v>
      </c>
      <c r="L123" s="30">
        <v>-375000</v>
      </c>
      <c r="M123" s="31">
        <f t="shared" si="5"/>
        <v>-7035</v>
      </c>
      <c r="N123" s="32">
        <f t="shared" si="6"/>
        <v>-2.7151469305524464E-2</v>
      </c>
      <c r="O123" s="6" t="str">
        <f>IF(ABS(M123)&lt;Overview!$B$6,"OK",IF(I123=0,"REVIEW (zero base)",IF(ABS(M123/ABS(I123))&gt;=Overview!$B$5,"REVIEW","OK")))</f>
        <v>OK</v>
      </c>
      <c r="P123" s="31">
        <f t="shared" si="7"/>
        <v>-108863</v>
      </c>
      <c r="Q123" s="32">
        <f t="shared" si="8"/>
        <v>-0.40904872302611062</v>
      </c>
      <c r="R123" s="6" t="str">
        <f>IF(ABS(P123)&lt;Overview!$B$6,"OK",IF(J123=0,"REVIEW (zero base)",IF(ABS(P123/ABS(J123))&gt;=Overview!$B$5,"REVIEW","OK")))</f>
        <v>OK</v>
      </c>
      <c r="S123" s="33">
        <f t="shared" si="9"/>
        <v>0</v>
      </c>
    </row>
    <row r="124" spans="1:19" x14ac:dyDescent="0.2">
      <c r="A124" s="17">
        <v>122</v>
      </c>
      <c r="B124" s="17" t="s">
        <v>171</v>
      </c>
      <c r="C124" s="17" t="s">
        <v>172</v>
      </c>
      <c r="D124" s="17" t="s">
        <v>62</v>
      </c>
      <c r="E124" s="17" t="s">
        <v>101</v>
      </c>
      <c r="F124" s="17" t="s">
        <v>189</v>
      </c>
      <c r="G124" s="17" t="s">
        <v>294</v>
      </c>
      <c r="H124" s="30">
        <v>-1052465</v>
      </c>
      <c r="I124" s="30">
        <v>-966962</v>
      </c>
      <c r="J124" s="30">
        <v>-1060513</v>
      </c>
      <c r="K124" s="30">
        <v>-1450564</v>
      </c>
      <c r="L124" s="30">
        <v>-1450564</v>
      </c>
      <c r="M124" s="31">
        <f t="shared" si="5"/>
        <v>-93551</v>
      </c>
      <c r="N124" s="32">
        <f t="shared" si="6"/>
        <v>-9.6747338571732913E-2</v>
      </c>
      <c r="O124" s="6" t="str">
        <f>IF(ABS(M124)&lt;Overview!$B$6,"OK",IF(I124=0,"REVIEW (zero base)",IF(ABS(M124/ABS(I124))&gt;=Overview!$B$5,"REVIEW","OK")))</f>
        <v>OK</v>
      </c>
      <c r="P124" s="31">
        <f t="shared" si="7"/>
        <v>-390051</v>
      </c>
      <c r="Q124" s="32">
        <f t="shared" si="8"/>
        <v>-0.36779464278137092</v>
      </c>
      <c r="R124" s="6" t="str">
        <f>IF(ABS(P124)&lt;Overview!$B$6,"OK",IF(J124=0,"REVIEW (zero base)",IF(ABS(P124/ABS(J124))&gt;=Overview!$B$5,"REVIEW","OK")))</f>
        <v>REVIEW</v>
      </c>
      <c r="S124" s="33">
        <f t="shared" si="9"/>
        <v>0</v>
      </c>
    </row>
    <row r="125" spans="1:19" x14ac:dyDescent="0.2">
      <c r="A125" s="17">
        <v>123</v>
      </c>
      <c r="B125" s="17" t="s">
        <v>171</v>
      </c>
      <c r="C125" s="17" t="s">
        <v>172</v>
      </c>
      <c r="D125" s="17" t="s">
        <v>62</v>
      </c>
      <c r="E125" s="17" t="s">
        <v>101</v>
      </c>
      <c r="F125" s="17" t="s">
        <v>189</v>
      </c>
      <c r="G125" s="17" t="s">
        <v>295</v>
      </c>
      <c r="H125" s="30">
        <v>-856720</v>
      </c>
      <c r="I125" s="30">
        <v>-671229</v>
      </c>
      <c r="J125" s="30">
        <v>-839172</v>
      </c>
      <c r="K125" s="30">
        <v>-976600</v>
      </c>
      <c r="L125" s="30">
        <v>-976600</v>
      </c>
      <c r="M125" s="31">
        <f t="shared" si="5"/>
        <v>-167943</v>
      </c>
      <c r="N125" s="32">
        <f t="shared" si="6"/>
        <v>-0.2502022409639631</v>
      </c>
      <c r="O125" s="6" t="str">
        <f>IF(ABS(M125)&lt;Overview!$B$6,"OK",IF(I125=0,"REVIEW (zero base)",IF(ABS(M125/ABS(I125))&gt;=Overview!$B$5,"REVIEW","OK")))</f>
        <v>OK</v>
      </c>
      <c r="P125" s="31">
        <f t="shared" si="7"/>
        <v>-137428</v>
      </c>
      <c r="Q125" s="32">
        <f t="shared" si="8"/>
        <v>-0.16376618857635861</v>
      </c>
      <c r="R125" s="6" t="str">
        <f>IF(ABS(P125)&lt;Overview!$B$6,"OK",IF(J125=0,"REVIEW (zero base)",IF(ABS(P125/ABS(J125))&gt;=Overview!$B$5,"REVIEW","OK")))</f>
        <v>OK</v>
      </c>
      <c r="S125" s="33">
        <f t="shared" si="9"/>
        <v>0</v>
      </c>
    </row>
    <row r="126" spans="1:19" x14ac:dyDescent="0.2">
      <c r="A126" s="17">
        <v>124</v>
      </c>
      <c r="B126" s="17" t="s">
        <v>171</v>
      </c>
      <c r="C126" s="17" t="s">
        <v>172</v>
      </c>
      <c r="D126" s="17" t="s">
        <v>62</v>
      </c>
      <c r="E126" s="17" t="s">
        <v>101</v>
      </c>
      <c r="F126" s="17" t="s">
        <v>189</v>
      </c>
      <c r="G126" s="17" t="s">
        <v>296</v>
      </c>
      <c r="H126" s="30">
        <v>-10269</v>
      </c>
      <c r="I126" s="30">
        <v>-36008</v>
      </c>
      <c r="J126" s="30">
        <v>0</v>
      </c>
      <c r="K126" s="30">
        <v>0</v>
      </c>
      <c r="L126" s="30">
        <v>0</v>
      </c>
      <c r="M126" s="31">
        <f t="shared" si="5"/>
        <v>36008</v>
      </c>
      <c r="N126" s="32">
        <f t="shared" si="6"/>
        <v>1</v>
      </c>
      <c r="O126" s="6" t="str">
        <f>IF(ABS(M126)&lt;Overview!$B$6,"OK",IF(I126=0,"REVIEW (zero base)",IF(ABS(M126/ABS(I126))&gt;=Overview!$B$5,"REVIEW","OK")))</f>
        <v>OK</v>
      </c>
      <c r="P126" s="31">
        <f t="shared" si="7"/>
        <v>0</v>
      </c>
      <c r="Q126" s="32" t="str">
        <f t="shared" si="8"/>
        <v>n/a</v>
      </c>
      <c r="R126" s="6" t="str">
        <f>IF(ABS(P126)&lt;Overview!$B$6,"OK",IF(J126=0,"REVIEW (zero base)",IF(ABS(P126/ABS(J126))&gt;=Overview!$B$5,"REVIEW","OK")))</f>
        <v>OK</v>
      </c>
      <c r="S126" s="33">
        <f t="shared" si="9"/>
        <v>0</v>
      </c>
    </row>
    <row r="127" spans="1:19" x14ac:dyDescent="0.2">
      <c r="A127" s="17">
        <v>125</v>
      </c>
      <c r="B127" s="17" t="s">
        <v>171</v>
      </c>
      <c r="C127" s="17" t="s">
        <v>172</v>
      </c>
      <c r="D127" s="17" t="s">
        <v>62</v>
      </c>
      <c r="E127" s="17" t="s">
        <v>101</v>
      </c>
      <c r="F127" s="17" t="s">
        <v>189</v>
      </c>
      <c r="G127" s="17" t="s">
        <v>297</v>
      </c>
      <c r="H127" s="30">
        <v>0</v>
      </c>
      <c r="I127" s="30">
        <v>-6465</v>
      </c>
      <c r="J127" s="30">
        <v>0</v>
      </c>
      <c r="K127" s="30">
        <v>0</v>
      </c>
      <c r="L127" s="30">
        <v>0</v>
      </c>
      <c r="M127" s="31">
        <f t="shared" si="5"/>
        <v>6465</v>
      </c>
      <c r="N127" s="32">
        <f t="shared" si="6"/>
        <v>1</v>
      </c>
      <c r="O127" s="6" t="str">
        <f>IF(ABS(M127)&lt;Overview!$B$6,"OK",IF(I127=0,"REVIEW (zero base)",IF(ABS(M127/ABS(I127))&gt;=Overview!$B$5,"REVIEW","OK")))</f>
        <v>OK</v>
      </c>
      <c r="P127" s="31">
        <f t="shared" si="7"/>
        <v>0</v>
      </c>
      <c r="Q127" s="32" t="str">
        <f t="shared" si="8"/>
        <v>n/a</v>
      </c>
      <c r="R127" s="6" t="str">
        <f>IF(ABS(P127)&lt;Overview!$B$6,"OK",IF(J127=0,"REVIEW (zero base)",IF(ABS(P127/ABS(J127))&gt;=Overview!$B$5,"REVIEW","OK")))</f>
        <v>OK</v>
      </c>
      <c r="S127" s="33">
        <f t="shared" si="9"/>
        <v>0</v>
      </c>
    </row>
    <row r="128" spans="1:19" x14ac:dyDescent="0.2">
      <c r="A128" s="17">
        <v>126</v>
      </c>
      <c r="B128" s="17" t="s">
        <v>171</v>
      </c>
      <c r="C128" s="17" t="s">
        <v>172</v>
      </c>
      <c r="D128" s="17" t="s">
        <v>62</v>
      </c>
      <c r="E128" s="17" t="s">
        <v>101</v>
      </c>
      <c r="F128" s="17" t="s">
        <v>189</v>
      </c>
      <c r="G128" s="17" t="s">
        <v>298</v>
      </c>
      <c r="H128" s="30">
        <v>-1564</v>
      </c>
      <c r="I128" s="30">
        <v>0</v>
      </c>
      <c r="J128" s="30">
        <v>0</v>
      </c>
      <c r="K128" s="30">
        <v>-100000</v>
      </c>
      <c r="L128" s="30">
        <v>-100000</v>
      </c>
      <c r="M128" s="31">
        <f t="shared" si="5"/>
        <v>0</v>
      </c>
      <c r="N128" s="32" t="str">
        <f t="shared" si="6"/>
        <v>n/a</v>
      </c>
      <c r="O128" s="6" t="str">
        <f>IF(ABS(M128)&lt;Overview!$B$6,"OK",IF(I128=0,"REVIEW (zero base)",IF(ABS(M128/ABS(I128))&gt;=Overview!$B$5,"REVIEW","OK")))</f>
        <v>OK</v>
      </c>
      <c r="P128" s="31">
        <f t="shared" si="7"/>
        <v>-100000</v>
      </c>
      <c r="Q128" s="32" t="str">
        <f t="shared" si="8"/>
        <v>n/a</v>
      </c>
      <c r="R128" s="6" t="str">
        <f>IF(ABS(P128)&lt;Overview!$B$6,"OK",IF(J128=0,"REVIEW (zero base)",IF(ABS(P128/ABS(J128))&gt;=Overview!$B$5,"REVIEW","OK")))</f>
        <v>OK</v>
      </c>
      <c r="S128" s="33">
        <f t="shared" si="9"/>
        <v>0</v>
      </c>
    </row>
    <row r="129" spans="1:19" x14ac:dyDescent="0.2">
      <c r="A129" s="17">
        <v>127</v>
      </c>
      <c r="B129" s="17" t="s">
        <v>171</v>
      </c>
      <c r="C129" s="17" t="s">
        <v>172</v>
      </c>
      <c r="D129" s="17" t="s">
        <v>62</v>
      </c>
      <c r="E129" s="17" t="s">
        <v>101</v>
      </c>
      <c r="F129" s="17" t="s">
        <v>189</v>
      </c>
      <c r="G129" s="17" t="s">
        <v>299</v>
      </c>
      <c r="H129" s="30">
        <v>-22300</v>
      </c>
      <c r="I129" s="30">
        <v>-15700</v>
      </c>
      <c r="J129" s="30">
        <v>-116148</v>
      </c>
      <c r="K129" s="30">
        <v>-22000</v>
      </c>
      <c r="L129" s="30">
        <v>-30000</v>
      </c>
      <c r="M129" s="31">
        <f t="shared" si="5"/>
        <v>-100448</v>
      </c>
      <c r="N129" s="32">
        <f t="shared" si="6"/>
        <v>-6.3979617834394906</v>
      </c>
      <c r="O129" s="6" t="str">
        <f>IF(ABS(M129)&lt;Overview!$B$6,"OK",IF(I129=0,"REVIEW (zero base)",IF(ABS(M129/ABS(I129))&gt;=Overview!$B$5,"REVIEW","OK")))</f>
        <v>OK</v>
      </c>
      <c r="P129" s="31">
        <f t="shared" si="7"/>
        <v>94148</v>
      </c>
      <c r="Q129" s="32">
        <f t="shared" si="8"/>
        <v>0.81058649309501674</v>
      </c>
      <c r="R129" s="6" t="str">
        <f>IF(ABS(P129)&lt;Overview!$B$6,"OK",IF(J129=0,"REVIEW (zero base)",IF(ABS(P129/ABS(J129))&gt;=Overview!$B$5,"REVIEW","OK")))</f>
        <v>OK</v>
      </c>
      <c r="S129" s="33">
        <f t="shared" si="9"/>
        <v>0</v>
      </c>
    </row>
    <row r="130" spans="1:19" x14ac:dyDescent="0.2">
      <c r="A130" s="17">
        <v>128</v>
      </c>
      <c r="B130" s="17" t="s">
        <v>171</v>
      </c>
      <c r="C130" s="17" t="s">
        <v>172</v>
      </c>
      <c r="D130" s="17" t="s">
        <v>62</v>
      </c>
      <c r="E130" s="17" t="s">
        <v>101</v>
      </c>
      <c r="F130" s="17" t="s">
        <v>189</v>
      </c>
      <c r="G130" s="17" t="s">
        <v>300</v>
      </c>
      <c r="H130" s="30">
        <v>-114858</v>
      </c>
      <c r="I130" s="30">
        <v>-143175</v>
      </c>
      <c r="J130" s="30">
        <v>-25862</v>
      </c>
      <c r="K130" s="30">
        <v>-50000</v>
      </c>
      <c r="L130" s="30">
        <v>-100000</v>
      </c>
      <c r="M130" s="31">
        <f t="shared" ref="M130:M193" si="10">J130-I130</f>
        <v>117313</v>
      </c>
      <c r="N130" s="32">
        <f t="shared" ref="N130:N193" si="11">IF(I130=0,"n/a",M130/ABS(I130))</f>
        <v>0.81936790640824164</v>
      </c>
      <c r="O130" s="6" t="str">
        <f>IF(ABS(M130)&lt;Overview!$B$6,"OK",IF(I130=0,"REVIEW (zero base)",IF(ABS(M130/ABS(I130))&gt;=Overview!$B$5,"REVIEW","OK")))</f>
        <v>OK</v>
      </c>
      <c r="P130" s="31">
        <f t="shared" ref="P130:P193" si="12">K130-J130</f>
        <v>-24138</v>
      </c>
      <c r="Q130" s="32">
        <f t="shared" ref="Q130:Q193" si="13">IF(J130=0,"n/a",P130/ABS(J130))</f>
        <v>-0.93333848890263704</v>
      </c>
      <c r="R130" s="6" t="str">
        <f>IF(ABS(P130)&lt;Overview!$B$6,"OK",IF(J130=0,"REVIEW (zero base)",IF(ABS(P130/ABS(J130))&gt;=Overview!$B$5,"REVIEW","OK")))</f>
        <v>OK</v>
      </c>
      <c r="S130" s="33">
        <f t="shared" ref="S130:S193" si="14">IF(C130="EXPENSES",ABS(M130)+ROW()/1000000,0)</f>
        <v>0</v>
      </c>
    </row>
    <row r="131" spans="1:19" x14ac:dyDescent="0.2">
      <c r="A131" s="17">
        <v>129</v>
      </c>
      <c r="B131" s="17" t="s">
        <v>171</v>
      </c>
      <c r="C131" s="17" t="s">
        <v>172</v>
      </c>
      <c r="D131" s="17" t="s">
        <v>62</v>
      </c>
      <c r="E131" s="17" t="s">
        <v>101</v>
      </c>
      <c r="F131" s="17" t="s">
        <v>204</v>
      </c>
      <c r="G131" s="17" t="s">
        <v>205</v>
      </c>
      <c r="H131" s="30">
        <v>-37611</v>
      </c>
      <c r="I131" s="30">
        <v>-22168</v>
      </c>
      <c r="J131" s="30">
        <v>-176163</v>
      </c>
      <c r="K131" s="30">
        <v>0</v>
      </c>
      <c r="L131" s="30">
        <v>0</v>
      </c>
      <c r="M131" s="31">
        <f t="shared" si="10"/>
        <v>-153995</v>
      </c>
      <c r="N131" s="32">
        <f t="shared" si="11"/>
        <v>-6.9467250090220141</v>
      </c>
      <c r="O131" s="6" t="str">
        <f>IF(ABS(M131)&lt;Overview!$B$6,"OK",IF(I131=0,"REVIEW (zero base)",IF(ABS(M131/ABS(I131))&gt;=Overview!$B$5,"REVIEW","OK")))</f>
        <v>OK</v>
      </c>
      <c r="P131" s="31">
        <f t="shared" si="12"/>
        <v>176163</v>
      </c>
      <c r="Q131" s="32">
        <f t="shared" si="13"/>
        <v>1</v>
      </c>
      <c r="R131" s="6" t="str">
        <f>IF(ABS(P131)&lt;Overview!$B$6,"OK",IF(J131=0,"REVIEW (zero base)",IF(ABS(P131/ABS(J131))&gt;=Overview!$B$5,"REVIEW","OK")))</f>
        <v>OK</v>
      </c>
      <c r="S131" s="33">
        <f t="shared" si="14"/>
        <v>0</v>
      </c>
    </row>
    <row r="132" spans="1:19" x14ac:dyDescent="0.2">
      <c r="A132" s="17">
        <v>130</v>
      </c>
      <c r="B132" s="17" t="s">
        <v>171</v>
      </c>
      <c r="C132" s="17" t="s">
        <v>172</v>
      </c>
      <c r="D132" s="17" t="s">
        <v>62</v>
      </c>
      <c r="E132" s="17" t="s">
        <v>141</v>
      </c>
      <c r="F132" s="17" t="s">
        <v>189</v>
      </c>
      <c r="G132" s="17" t="s">
        <v>301</v>
      </c>
      <c r="H132" s="30">
        <v>-30667</v>
      </c>
      <c r="I132" s="30">
        <v>-30252</v>
      </c>
      <c r="J132" s="30">
        <v>-37200</v>
      </c>
      <c r="K132" s="30">
        <v>-36000</v>
      </c>
      <c r="L132" s="30">
        <v>-41952</v>
      </c>
      <c r="M132" s="31">
        <f t="shared" si="10"/>
        <v>-6948</v>
      </c>
      <c r="N132" s="32">
        <f t="shared" si="11"/>
        <v>-0.22967076556921856</v>
      </c>
      <c r="O132" s="6" t="str">
        <f>IF(ABS(M132)&lt;Overview!$B$6,"OK",IF(I132=0,"REVIEW (zero base)",IF(ABS(M132/ABS(I132))&gt;=Overview!$B$5,"REVIEW","OK")))</f>
        <v>OK</v>
      </c>
      <c r="P132" s="31">
        <f t="shared" si="12"/>
        <v>1200</v>
      </c>
      <c r="Q132" s="32">
        <f t="shared" si="13"/>
        <v>3.2258064516129031E-2</v>
      </c>
      <c r="R132" s="6" t="str">
        <f>IF(ABS(P132)&lt;Overview!$B$6,"OK",IF(J132=0,"REVIEW (zero base)",IF(ABS(P132/ABS(J132))&gt;=Overview!$B$5,"REVIEW","OK")))</f>
        <v>OK</v>
      </c>
      <c r="S132" s="33">
        <f t="shared" si="14"/>
        <v>0</v>
      </c>
    </row>
    <row r="133" spans="1:19" x14ac:dyDescent="0.2">
      <c r="A133" s="17">
        <v>131</v>
      </c>
      <c r="B133" s="17" t="s">
        <v>171</v>
      </c>
      <c r="C133" s="17" t="s">
        <v>172</v>
      </c>
      <c r="D133" s="17" t="s">
        <v>62</v>
      </c>
      <c r="E133" s="17" t="s">
        <v>143</v>
      </c>
      <c r="F133" s="17" t="s">
        <v>189</v>
      </c>
      <c r="G133" s="17" t="s">
        <v>302</v>
      </c>
      <c r="H133" s="30">
        <v>-7480</v>
      </c>
      <c r="I133" s="30">
        <v>-3520</v>
      </c>
      <c r="J133" s="30">
        <v>-7680</v>
      </c>
      <c r="K133" s="30">
        <v>-7040</v>
      </c>
      <c r="L133" s="30">
        <v>-7040</v>
      </c>
      <c r="M133" s="31">
        <f t="shared" si="10"/>
        <v>-4160</v>
      </c>
      <c r="N133" s="32">
        <f t="shared" si="11"/>
        <v>-1.1818181818181819</v>
      </c>
      <c r="O133" s="6" t="str">
        <f>IF(ABS(M133)&lt;Overview!$B$6,"OK",IF(I133=0,"REVIEW (zero base)",IF(ABS(M133/ABS(I133))&gt;=Overview!$B$5,"REVIEW","OK")))</f>
        <v>OK</v>
      </c>
      <c r="P133" s="31">
        <f t="shared" si="12"/>
        <v>640</v>
      </c>
      <c r="Q133" s="32">
        <f t="shared" si="13"/>
        <v>8.3333333333333329E-2</v>
      </c>
      <c r="R133" s="6" t="str">
        <f>IF(ABS(P133)&lt;Overview!$B$6,"OK",IF(J133=0,"REVIEW (zero base)",IF(ABS(P133/ABS(J133))&gt;=Overview!$B$5,"REVIEW","OK")))</f>
        <v>OK</v>
      </c>
      <c r="S133" s="33">
        <f t="shared" si="14"/>
        <v>0</v>
      </c>
    </row>
    <row r="134" spans="1:19" x14ac:dyDescent="0.2">
      <c r="A134" s="17">
        <v>132</v>
      </c>
      <c r="B134" s="17" t="s">
        <v>171</v>
      </c>
      <c r="C134" s="17" t="s">
        <v>172</v>
      </c>
      <c r="D134" s="17" t="s">
        <v>57</v>
      </c>
      <c r="E134" s="17" t="s">
        <v>87</v>
      </c>
      <c r="F134" s="17" t="s">
        <v>187</v>
      </c>
      <c r="G134" s="17" t="s">
        <v>188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1">
        <f t="shared" si="10"/>
        <v>0</v>
      </c>
      <c r="N134" s="32" t="str">
        <f t="shared" si="11"/>
        <v>n/a</v>
      </c>
      <c r="O134" s="6" t="str">
        <f>IF(ABS(M134)&lt;Overview!$B$6,"OK",IF(I134=0,"REVIEW (zero base)",IF(ABS(M134/ABS(I134))&gt;=Overview!$B$5,"REVIEW","OK")))</f>
        <v>OK</v>
      </c>
      <c r="P134" s="31">
        <f t="shared" si="12"/>
        <v>0</v>
      </c>
      <c r="Q134" s="32" t="str">
        <f t="shared" si="13"/>
        <v>n/a</v>
      </c>
      <c r="R134" s="6" t="str">
        <f>IF(ABS(P134)&lt;Overview!$B$6,"OK",IF(J134=0,"REVIEW (zero base)",IF(ABS(P134/ABS(J134))&gt;=Overview!$B$5,"REVIEW","OK")))</f>
        <v>OK</v>
      </c>
      <c r="S134" s="33">
        <f t="shared" si="14"/>
        <v>0</v>
      </c>
    </row>
    <row r="135" spans="1:19" x14ac:dyDescent="0.2">
      <c r="A135" s="17">
        <v>133</v>
      </c>
      <c r="B135" s="17" t="s">
        <v>171</v>
      </c>
      <c r="C135" s="17" t="s">
        <v>172</v>
      </c>
      <c r="D135" s="17" t="s">
        <v>57</v>
      </c>
      <c r="E135" s="17" t="s">
        <v>113</v>
      </c>
      <c r="F135" s="17" t="s">
        <v>207</v>
      </c>
      <c r="G135" s="17" t="s">
        <v>273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1">
        <f t="shared" si="10"/>
        <v>0</v>
      </c>
      <c r="N135" s="32" t="str">
        <f t="shared" si="11"/>
        <v>n/a</v>
      </c>
      <c r="O135" s="6" t="str">
        <f>IF(ABS(M135)&lt;Overview!$B$6,"OK",IF(I135=0,"REVIEW (zero base)",IF(ABS(M135/ABS(I135))&gt;=Overview!$B$5,"REVIEW","OK")))</f>
        <v>OK</v>
      </c>
      <c r="P135" s="31">
        <f t="shared" si="12"/>
        <v>0</v>
      </c>
      <c r="Q135" s="32" t="str">
        <f t="shared" si="13"/>
        <v>n/a</v>
      </c>
      <c r="R135" s="6" t="str">
        <f>IF(ABS(P135)&lt;Overview!$B$6,"OK",IF(J135=0,"REVIEW (zero base)",IF(ABS(P135/ABS(J135))&gt;=Overview!$B$5,"REVIEW","OK")))</f>
        <v>OK</v>
      </c>
      <c r="S135" s="33">
        <f t="shared" si="14"/>
        <v>0</v>
      </c>
    </row>
    <row r="136" spans="1:19" x14ac:dyDescent="0.2">
      <c r="A136" s="17">
        <v>134</v>
      </c>
      <c r="B136" s="17" t="s">
        <v>171</v>
      </c>
      <c r="C136" s="17" t="s">
        <v>172</v>
      </c>
      <c r="D136" s="17" t="s">
        <v>57</v>
      </c>
      <c r="E136" s="17" t="s">
        <v>126</v>
      </c>
      <c r="F136" s="17" t="s">
        <v>189</v>
      </c>
      <c r="G136" s="17" t="s">
        <v>303</v>
      </c>
      <c r="H136" s="30">
        <v>-414188</v>
      </c>
      <c r="I136" s="30">
        <v>-490981</v>
      </c>
      <c r="J136" s="30">
        <v>-340000</v>
      </c>
      <c r="K136" s="30">
        <v>-340000</v>
      </c>
      <c r="L136" s="30">
        <v>-340000</v>
      </c>
      <c r="M136" s="31">
        <f t="shared" si="10"/>
        <v>150981</v>
      </c>
      <c r="N136" s="32">
        <f t="shared" si="11"/>
        <v>0.30750884453777233</v>
      </c>
      <c r="O136" s="6" t="str">
        <f>IF(ABS(M136)&lt;Overview!$B$6,"OK",IF(I136=0,"REVIEW (zero base)",IF(ABS(M136/ABS(I136))&gt;=Overview!$B$5,"REVIEW","OK")))</f>
        <v>OK</v>
      </c>
      <c r="P136" s="31">
        <f t="shared" si="12"/>
        <v>0</v>
      </c>
      <c r="Q136" s="32">
        <f t="shared" si="13"/>
        <v>0</v>
      </c>
      <c r="R136" s="6" t="str">
        <f>IF(ABS(P136)&lt;Overview!$B$6,"OK",IF(J136=0,"REVIEW (zero base)",IF(ABS(P136/ABS(J136))&gt;=Overview!$B$5,"REVIEW","OK")))</f>
        <v>OK</v>
      </c>
      <c r="S136" s="33">
        <f t="shared" si="14"/>
        <v>0</v>
      </c>
    </row>
    <row r="137" spans="1:19" x14ac:dyDescent="0.2">
      <c r="A137" s="17">
        <v>135</v>
      </c>
      <c r="B137" s="17" t="s">
        <v>171</v>
      </c>
      <c r="C137" s="17" t="s">
        <v>172</v>
      </c>
      <c r="D137" s="17" t="s">
        <v>56</v>
      </c>
      <c r="E137" s="17" t="s">
        <v>112</v>
      </c>
      <c r="F137" s="17" t="s">
        <v>189</v>
      </c>
      <c r="G137" s="17" t="s">
        <v>304</v>
      </c>
      <c r="H137" s="30">
        <v>12</v>
      </c>
      <c r="I137" s="30">
        <v>0</v>
      </c>
      <c r="J137" s="30">
        <v>0</v>
      </c>
      <c r="K137" s="30">
        <v>0</v>
      </c>
      <c r="L137" s="30">
        <v>0</v>
      </c>
      <c r="M137" s="31">
        <f t="shared" si="10"/>
        <v>0</v>
      </c>
      <c r="N137" s="32" t="str">
        <f t="shared" si="11"/>
        <v>n/a</v>
      </c>
      <c r="O137" s="6" t="str">
        <f>IF(ABS(M137)&lt;Overview!$B$6,"OK",IF(I137=0,"REVIEW (zero base)",IF(ABS(M137/ABS(I137))&gt;=Overview!$B$5,"REVIEW","OK")))</f>
        <v>OK</v>
      </c>
      <c r="P137" s="31">
        <f t="shared" si="12"/>
        <v>0</v>
      </c>
      <c r="Q137" s="32" t="str">
        <f t="shared" si="13"/>
        <v>n/a</v>
      </c>
      <c r="R137" s="6" t="str">
        <f>IF(ABS(P137)&lt;Overview!$B$6,"OK",IF(J137=0,"REVIEW (zero base)",IF(ABS(P137/ABS(J137))&gt;=Overview!$B$5,"REVIEW","OK")))</f>
        <v>OK</v>
      </c>
      <c r="S137" s="33">
        <f t="shared" si="14"/>
        <v>0</v>
      </c>
    </row>
    <row r="138" spans="1:19" x14ac:dyDescent="0.2">
      <c r="A138" s="17">
        <v>136</v>
      </c>
      <c r="B138" s="17" t="s">
        <v>171</v>
      </c>
      <c r="C138" s="17" t="s">
        <v>172</v>
      </c>
      <c r="D138" s="17" t="s">
        <v>56</v>
      </c>
      <c r="E138" s="17" t="s">
        <v>112</v>
      </c>
      <c r="F138" s="17" t="s">
        <v>189</v>
      </c>
      <c r="G138" s="17" t="s">
        <v>305</v>
      </c>
      <c r="H138" s="30">
        <v>-4880</v>
      </c>
      <c r="I138" s="30">
        <v>0</v>
      </c>
      <c r="J138" s="30">
        <v>0</v>
      </c>
      <c r="K138" s="30">
        <v>0</v>
      </c>
      <c r="L138" s="30">
        <v>0</v>
      </c>
      <c r="M138" s="31">
        <f t="shared" si="10"/>
        <v>0</v>
      </c>
      <c r="N138" s="32" t="str">
        <f t="shared" si="11"/>
        <v>n/a</v>
      </c>
      <c r="O138" s="6" t="str">
        <f>IF(ABS(M138)&lt;Overview!$B$6,"OK",IF(I138=0,"REVIEW (zero base)",IF(ABS(M138/ABS(I138))&gt;=Overview!$B$5,"REVIEW","OK")))</f>
        <v>OK</v>
      </c>
      <c r="P138" s="31">
        <f t="shared" si="12"/>
        <v>0</v>
      </c>
      <c r="Q138" s="32" t="str">
        <f t="shared" si="13"/>
        <v>n/a</v>
      </c>
      <c r="R138" s="6" t="str">
        <f>IF(ABS(P138)&lt;Overview!$B$6,"OK",IF(J138=0,"REVIEW (zero base)",IF(ABS(P138/ABS(J138))&gt;=Overview!$B$5,"REVIEW","OK")))</f>
        <v>OK</v>
      </c>
      <c r="S138" s="33">
        <f t="shared" si="14"/>
        <v>0</v>
      </c>
    </row>
    <row r="139" spans="1:19" x14ac:dyDescent="0.2">
      <c r="A139" s="17">
        <v>137</v>
      </c>
      <c r="B139" s="17" t="s">
        <v>171</v>
      </c>
      <c r="C139" s="17" t="s">
        <v>172</v>
      </c>
      <c r="D139" s="17" t="s">
        <v>56</v>
      </c>
      <c r="E139" s="17" t="s">
        <v>112</v>
      </c>
      <c r="F139" s="17" t="s">
        <v>204</v>
      </c>
      <c r="G139" s="17" t="s">
        <v>205</v>
      </c>
      <c r="H139" s="30">
        <v>-292378</v>
      </c>
      <c r="I139" s="30">
        <v>-275690</v>
      </c>
      <c r="J139" s="30">
        <v>-300000</v>
      </c>
      <c r="K139" s="30">
        <v>-325000</v>
      </c>
      <c r="L139" s="30">
        <v>0</v>
      </c>
      <c r="M139" s="31">
        <f t="shared" si="10"/>
        <v>-24310</v>
      </c>
      <c r="N139" s="32">
        <f t="shared" si="11"/>
        <v>-8.817875149624578E-2</v>
      </c>
      <c r="O139" s="6" t="str">
        <f>IF(ABS(M139)&lt;Overview!$B$6,"OK",IF(I139=0,"REVIEW (zero base)",IF(ABS(M139/ABS(I139))&gt;=Overview!$B$5,"REVIEW","OK")))</f>
        <v>OK</v>
      </c>
      <c r="P139" s="31">
        <f t="shared" si="12"/>
        <v>-25000</v>
      </c>
      <c r="Q139" s="32">
        <f t="shared" si="13"/>
        <v>-8.3333333333333329E-2</v>
      </c>
      <c r="R139" s="6" t="str">
        <f>IF(ABS(P139)&lt;Overview!$B$6,"OK",IF(J139=0,"REVIEW (zero base)",IF(ABS(P139/ABS(J139))&gt;=Overview!$B$5,"REVIEW","OK")))</f>
        <v>OK</v>
      </c>
      <c r="S139" s="33">
        <f t="shared" si="14"/>
        <v>0</v>
      </c>
    </row>
    <row r="140" spans="1:19" x14ac:dyDescent="0.2">
      <c r="A140" s="17">
        <v>138</v>
      </c>
      <c r="B140" s="17" t="s">
        <v>171</v>
      </c>
      <c r="C140" s="17" t="s">
        <v>172</v>
      </c>
      <c r="D140" s="17" t="s">
        <v>56</v>
      </c>
      <c r="E140" s="17" t="s">
        <v>112</v>
      </c>
      <c r="F140" s="17" t="s">
        <v>207</v>
      </c>
      <c r="G140" s="17" t="s">
        <v>306</v>
      </c>
      <c r="H140" s="30">
        <v>-86180</v>
      </c>
      <c r="I140" s="30">
        <v>-86200</v>
      </c>
      <c r="J140" s="30">
        <v>-100000</v>
      </c>
      <c r="K140" s="30">
        <v>-100000</v>
      </c>
      <c r="L140" s="30">
        <v>-120000</v>
      </c>
      <c r="M140" s="31">
        <f t="shared" si="10"/>
        <v>-13800</v>
      </c>
      <c r="N140" s="32">
        <f t="shared" si="11"/>
        <v>-0.16009280742459397</v>
      </c>
      <c r="O140" s="6" t="str">
        <f>IF(ABS(M140)&lt;Overview!$B$6,"OK",IF(I140=0,"REVIEW (zero base)",IF(ABS(M140/ABS(I140))&gt;=Overview!$B$5,"REVIEW","OK")))</f>
        <v>OK</v>
      </c>
      <c r="P140" s="31">
        <f t="shared" si="12"/>
        <v>0</v>
      </c>
      <c r="Q140" s="32">
        <f t="shared" si="13"/>
        <v>0</v>
      </c>
      <c r="R140" s="6" t="str">
        <f>IF(ABS(P140)&lt;Overview!$B$6,"OK",IF(J140=0,"REVIEW (zero base)",IF(ABS(P140/ABS(J140))&gt;=Overview!$B$5,"REVIEW","OK")))</f>
        <v>OK</v>
      </c>
      <c r="S140" s="33">
        <f t="shared" si="14"/>
        <v>0</v>
      </c>
    </row>
    <row r="141" spans="1:19" x14ac:dyDescent="0.2">
      <c r="A141" s="17">
        <v>139</v>
      </c>
      <c r="B141" s="17" t="s">
        <v>171</v>
      </c>
      <c r="C141" s="17" t="s">
        <v>172</v>
      </c>
      <c r="D141" s="17" t="s">
        <v>56</v>
      </c>
      <c r="E141" s="17" t="s">
        <v>115</v>
      </c>
      <c r="F141" s="17" t="s">
        <v>204</v>
      </c>
      <c r="G141" s="17" t="s">
        <v>205</v>
      </c>
      <c r="H141" s="30">
        <v>0</v>
      </c>
      <c r="I141" s="30">
        <v>-450</v>
      </c>
      <c r="J141" s="30">
        <v>0</v>
      </c>
      <c r="K141" s="30">
        <v>0</v>
      </c>
      <c r="L141" s="30">
        <v>0</v>
      </c>
      <c r="M141" s="31">
        <f t="shared" si="10"/>
        <v>450</v>
      </c>
      <c r="N141" s="32">
        <f t="shared" si="11"/>
        <v>1</v>
      </c>
      <c r="O141" s="6" t="str">
        <f>IF(ABS(M141)&lt;Overview!$B$6,"OK",IF(I141=0,"REVIEW (zero base)",IF(ABS(M141/ABS(I141))&gt;=Overview!$B$5,"REVIEW","OK")))</f>
        <v>OK</v>
      </c>
      <c r="P141" s="31">
        <f t="shared" si="12"/>
        <v>0</v>
      </c>
      <c r="Q141" s="32" t="str">
        <f t="shared" si="13"/>
        <v>n/a</v>
      </c>
      <c r="R141" s="6" t="str">
        <f>IF(ABS(P141)&lt;Overview!$B$6,"OK",IF(J141=0,"REVIEW (zero base)",IF(ABS(P141/ABS(J141))&gt;=Overview!$B$5,"REVIEW","OK")))</f>
        <v>OK</v>
      </c>
      <c r="S141" s="33">
        <f t="shared" si="14"/>
        <v>0</v>
      </c>
    </row>
    <row r="142" spans="1:19" x14ac:dyDescent="0.2">
      <c r="A142" s="17">
        <v>140</v>
      </c>
      <c r="B142" s="17" t="s">
        <v>171</v>
      </c>
      <c r="C142" s="17" t="s">
        <v>172</v>
      </c>
      <c r="D142" s="17" t="s">
        <v>56</v>
      </c>
      <c r="E142" s="17" t="s">
        <v>82</v>
      </c>
      <c r="F142" s="17" t="s">
        <v>189</v>
      </c>
      <c r="G142" s="17" t="s">
        <v>307</v>
      </c>
      <c r="H142" s="30">
        <v>-35655</v>
      </c>
      <c r="I142" s="30">
        <v>-26595</v>
      </c>
      <c r="J142" s="30">
        <v>-40000</v>
      </c>
      <c r="K142" s="30">
        <v>-55000</v>
      </c>
      <c r="L142" s="30">
        <v>-55000</v>
      </c>
      <c r="M142" s="31">
        <f t="shared" si="10"/>
        <v>-13405</v>
      </c>
      <c r="N142" s="32">
        <f t="shared" si="11"/>
        <v>-0.50404211317916903</v>
      </c>
      <c r="O142" s="6" t="str">
        <f>IF(ABS(M142)&lt;Overview!$B$6,"OK",IF(I142=0,"REVIEW (zero base)",IF(ABS(M142/ABS(I142))&gt;=Overview!$B$5,"REVIEW","OK")))</f>
        <v>OK</v>
      </c>
      <c r="P142" s="31">
        <f t="shared" si="12"/>
        <v>-15000</v>
      </c>
      <c r="Q142" s="32">
        <f t="shared" si="13"/>
        <v>-0.375</v>
      </c>
      <c r="R142" s="6" t="str">
        <f>IF(ABS(P142)&lt;Overview!$B$6,"OK",IF(J142=0,"REVIEW (zero base)",IF(ABS(P142/ABS(J142))&gt;=Overview!$B$5,"REVIEW","OK")))</f>
        <v>OK</v>
      </c>
      <c r="S142" s="33">
        <f t="shared" si="14"/>
        <v>0</v>
      </c>
    </row>
    <row r="143" spans="1:19" x14ac:dyDescent="0.2">
      <c r="A143" s="17">
        <v>141</v>
      </c>
      <c r="B143" s="17" t="s">
        <v>171</v>
      </c>
      <c r="C143" s="17" t="s">
        <v>172</v>
      </c>
      <c r="D143" s="17" t="s">
        <v>56</v>
      </c>
      <c r="E143" s="17" t="s">
        <v>82</v>
      </c>
      <c r="F143" s="17" t="s">
        <v>207</v>
      </c>
      <c r="G143" s="17" t="s">
        <v>308</v>
      </c>
      <c r="H143" s="30">
        <v>-12494</v>
      </c>
      <c r="I143" s="30">
        <v>0</v>
      </c>
      <c r="J143" s="30">
        <v>0</v>
      </c>
      <c r="K143" s="30">
        <v>0</v>
      </c>
      <c r="L143" s="30">
        <v>0</v>
      </c>
      <c r="M143" s="31">
        <f t="shared" si="10"/>
        <v>0</v>
      </c>
      <c r="N143" s="32" t="str">
        <f t="shared" si="11"/>
        <v>n/a</v>
      </c>
      <c r="O143" s="6" t="str">
        <f>IF(ABS(M143)&lt;Overview!$B$6,"OK",IF(I143=0,"REVIEW (zero base)",IF(ABS(M143/ABS(I143))&gt;=Overview!$B$5,"REVIEW","OK")))</f>
        <v>OK</v>
      </c>
      <c r="P143" s="31">
        <f t="shared" si="12"/>
        <v>0</v>
      </c>
      <c r="Q143" s="32" t="str">
        <f t="shared" si="13"/>
        <v>n/a</v>
      </c>
      <c r="R143" s="6" t="str">
        <f>IF(ABS(P143)&lt;Overview!$B$6,"OK",IF(J143=0,"REVIEW (zero base)",IF(ABS(P143/ABS(J143))&gt;=Overview!$B$5,"REVIEW","OK")))</f>
        <v>OK</v>
      </c>
      <c r="S143" s="33">
        <f t="shared" si="14"/>
        <v>0</v>
      </c>
    </row>
    <row r="144" spans="1:19" x14ac:dyDescent="0.2">
      <c r="A144" s="17">
        <v>142</v>
      </c>
      <c r="B144" s="17" t="s">
        <v>171</v>
      </c>
      <c r="C144" s="17" t="s">
        <v>172</v>
      </c>
      <c r="D144" s="17" t="s">
        <v>56</v>
      </c>
      <c r="E144" s="17" t="s">
        <v>89</v>
      </c>
      <c r="F144" s="17" t="s">
        <v>189</v>
      </c>
      <c r="G144" s="17" t="s">
        <v>309</v>
      </c>
      <c r="H144" s="30">
        <v>-33000</v>
      </c>
      <c r="I144" s="30">
        <v>-28830</v>
      </c>
      <c r="J144" s="30">
        <v>-100000</v>
      </c>
      <c r="K144" s="30">
        <v>-100000</v>
      </c>
      <c r="L144" s="30">
        <v>-100000</v>
      </c>
      <c r="M144" s="31">
        <f t="shared" si="10"/>
        <v>-71170</v>
      </c>
      <c r="N144" s="32">
        <f t="shared" si="11"/>
        <v>-2.46860908775581</v>
      </c>
      <c r="O144" s="6" t="str">
        <f>IF(ABS(M144)&lt;Overview!$B$6,"OK",IF(I144=0,"REVIEW (zero base)",IF(ABS(M144/ABS(I144))&gt;=Overview!$B$5,"REVIEW","OK")))</f>
        <v>OK</v>
      </c>
      <c r="P144" s="31">
        <f t="shared" si="12"/>
        <v>0</v>
      </c>
      <c r="Q144" s="32">
        <f t="shared" si="13"/>
        <v>0</v>
      </c>
      <c r="R144" s="6" t="str">
        <f>IF(ABS(P144)&lt;Overview!$B$6,"OK",IF(J144=0,"REVIEW (zero base)",IF(ABS(P144/ABS(J144))&gt;=Overview!$B$5,"REVIEW","OK")))</f>
        <v>OK</v>
      </c>
      <c r="S144" s="33">
        <f t="shared" si="14"/>
        <v>0</v>
      </c>
    </row>
    <row r="145" spans="1:19" x14ac:dyDescent="0.2">
      <c r="A145" s="17">
        <v>143</v>
      </c>
      <c r="B145" s="17" t="s">
        <v>171</v>
      </c>
      <c r="C145" s="17" t="s">
        <v>172</v>
      </c>
      <c r="D145" s="17" t="s">
        <v>56</v>
      </c>
      <c r="E145" s="17" t="s">
        <v>89</v>
      </c>
      <c r="F145" s="17" t="s">
        <v>189</v>
      </c>
      <c r="G145" s="17" t="s">
        <v>310</v>
      </c>
      <c r="H145" s="30">
        <v>-9457</v>
      </c>
      <c r="I145" s="30">
        <v>-9143</v>
      </c>
      <c r="J145" s="30">
        <v>-10000</v>
      </c>
      <c r="K145" s="30">
        <v>-10000</v>
      </c>
      <c r="L145" s="30">
        <v>-10000</v>
      </c>
      <c r="M145" s="31">
        <f t="shared" si="10"/>
        <v>-857</v>
      </c>
      <c r="N145" s="32">
        <f t="shared" si="11"/>
        <v>-9.373291042327464E-2</v>
      </c>
      <c r="O145" s="6" t="str">
        <f>IF(ABS(M145)&lt;Overview!$B$6,"OK",IF(I145=0,"REVIEW (zero base)",IF(ABS(M145/ABS(I145))&gt;=Overview!$B$5,"REVIEW","OK")))</f>
        <v>OK</v>
      </c>
      <c r="P145" s="31">
        <f t="shared" si="12"/>
        <v>0</v>
      </c>
      <c r="Q145" s="32">
        <f t="shared" si="13"/>
        <v>0</v>
      </c>
      <c r="R145" s="6" t="str">
        <f>IF(ABS(P145)&lt;Overview!$B$6,"OK",IF(J145=0,"REVIEW (zero base)",IF(ABS(P145/ABS(J145))&gt;=Overview!$B$5,"REVIEW","OK")))</f>
        <v>OK</v>
      </c>
      <c r="S145" s="33">
        <f t="shared" si="14"/>
        <v>0</v>
      </c>
    </row>
    <row r="146" spans="1:19" x14ac:dyDescent="0.2">
      <c r="A146" s="17">
        <v>144</v>
      </c>
      <c r="B146" s="17" t="s">
        <v>171</v>
      </c>
      <c r="C146" s="17" t="s">
        <v>172</v>
      </c>
      <c r="D146" s="17" t="s">
        <v>56</v>
      </c>
      <c r="E146" s="17" t="s">
        <v>89</v>
      </c>
      <c r="F146" s="17" t="s">
        <v>189</v>
      </c>
      <c r="G146" s="17" t="s">
        <v>311</v>
      </c>
      <c r="H146" s="30">
        <v>-8650</v>
      </c>
      <c r="I146" s="30">
        <v>-8800</v>
      </c>
      <c r="J146" s="30">
        <v>-10000</v>
      </c>
      <c r="K146" s="30">
        <v>-10000</v>
      </c>
      <c r="L146" s="30">
        <v>-10000</v>
      </c>
      <c r="M146" s="31">
        <f t="shared" si="10"/>
        <v>-1200</v>
      </c>
      <c r="N146" s="32">
        <f t="shared" si="11"/>
        <v>-0.13636363636363635</v>
      </c>
      <c r="O146" s="6" t="str">
        <f>IF(ABS(M146)&lt;Overview!$B$6,"OK",IF(I146=0,"REVIEW (zero base)",IF(ABS(M146/ABS(I146))&gt;=Overview!$B$5,"REVIEW","OK")))</f>
        <v>OK</v>
      </c>
      <c r="P146" s="31">
        <f t="shared" si="12"/>
        <v>0</v>
      </c>
      <c r="Q146" s="32">
        <f t="shared" si="13"/>
        <v>0</v>
      </c>
      <c r="R146" s="6" t="str">
        <f>IF(ABS(P146)&lt;Overview!$B$6,"OK",IF(J146=0,"REVIEW (zero base)",IF(ABS(P146/ABS(J146))&gt;=Overview!$B$5,"REVIEW","OK")))</f>
        <v>OK</v>
      </c>
      <c r="S146" s="33">
        <f t="shared" si="14"/>
        <v>0</v>
      </c>
    </row>
    <row r="147" spans="1:19" x14ac:dyDescent="0.2">
      <c r="A147" s="17">
        <v>145</v>
      </c>
      <c r="B147" s="17" t="s">
        <v>171</v>
      </c>
      <c r="C147" s="17" t="s">
        <v>172</v>
      </c>
      <c r="D147" s="17" t="s">
        <v>56</v>
      </c>
      <c r="E147" s="17" t="s">
        <v>89</v>
      </c>
      <c r="F147" s="17" t="s">
        <v>189</v>
      </c>
      <c r="G147" s="17" t="s">
        <v>312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1">
        <f t="shared" si="10"/>
        <v>0</v>
      </c>
      <c r="N147" s="32" t="str">
        <f t="shared" si="11"/>
        <v>n/a</v>
      </c>
      <c r="O147" s="6" t="str">
        <f>IF(ABS(M147)&lt;Overview!$B$6,"OK",IF(I147=0,"REVIEW (zero base)",IF(ABS(M147/ABS(I147))&gt;=Overview!$B$5,"REVIEW","OK")))</f>
        <v>OK</v>
      </c>
      <c r="P147" s="31">
        <f t="shared" si="12"/>
        <v>0</v>
      </c>
      <c r="Q147" s="32" t="str">
        <f t="shared" si="13"/>
        <v>n/a</v>
      </c>
      <c r="R147" s="6" t="str">
        <f>IF(ABS(P147)&lt;Overview!$B$6,"OK",IF(J147=0,"REVIEW (zero base)",IF(ABS(P147/ABS(J147))&gt;=Overview!$B$5,"REVIEW","OK")))</f>
        <v>OK</v>
      </c>
      <c r="S147" s="33">
        <f t="shared" si="14"/>
        <v>0</v>
      </c>
    </row>
    <row r="148" spans="1:19" x14ac:dyDescent="0.2">
      <c r="A148" s="17">
        <v>146</v>
      </c>
      <c r="B148" s="17" t="s">
        <v>171</v>
      </c>
      <c r="C148" s="17" t="s">
        <v>172</v>
      </c>
      <c r="D148" s="17" t="s">
        <v>56</v>
      </c>
      <c r="E148" s="17" t="s">
        <v>89</v>
      </c>
      <c r="F148" s="17" t="s">
        <v>189</v>
      </c>
      <c r="G148" s="17" t="s">
        <v>313</v>
      </c>
      <c r="H148" s="30">
        <v>-146144</v>
      </c>
      <c r="I148" s="30">
        <v>-121335</v>
      </c>
      <c r="J148" s="30">
        <v>-160000</v>
      </c>
      <c r="K148" s="30">
        <v>-130000</v>
      </c>
      <c r="L148" s="30">
        <v>-160000</v>
      </c>
      <c r="M148" s="31">
        <f t="shared" si="10"/>
        <v>-38665</v>
      </c>
      <c r="N148" s="32">
        <f t="shared" si="11"/>
        <v>-0.31866320517575308</v>
      </c>
      <c r="O148" s="6" t="str">
        <f>IF(ABS(M148)&lt;Overview!$B$6,"OK",IF(I148=0,"REVIEW (zero base)",IF(ABS(M148/ABS(I148))&gt;=Overview!$B$5,"REVIEW","OK")))</f>
        <v>OK</v>
      </c>
      <c r="P148" s="31">
        <f t="shared" si="12"/>
        <v>30000</v>
      </c>
      <c r="Q148" s="32">
        <f t="shared" si="13"/>
        <v>0.1875</v>
      </c>
      <c r="R148" s="6" t="str">
        <f>IF(ABS(P148)&lt;Overview!$B$6,"OK",IF(J148=0,"REVIEW (zero base)",IF(ABS(P148/ABS(J148))&gt;=Overview!$B$5,"REVIEW","OK")))</f>
        <v>OK</v>
      </c>
      <c r="S148" s="33">
        <f t="shared" si="14"/>
        <v>0</v>
      </c>
    </row>
    <row r="149" spans="1:19" x14ac:dyDescent="0.2">
      <c r="A149" s="17">
        <v>147</v>
      </c>
      <c r="B149" s="17" t="s">
        <v>171</v>
      </c>
      <c r="C149" s="17" t="s">
        <v>172</v>
      </c>
      <c r="D149" s="17" t="s">
        <v>56</v>
      </c>
      <c r="E149" s="17" t="s">
        <v>118</v>
      </c>
      <c r="F149" s="17" t="s">
        <v>187</v>
      </c>
      <c r="G149" s="17" t="s">
        <v>188</v>
      </c>
      <c r="H149" s="30">
        <v>-325750</v>
      </c>
      <c r="I149" s="30">
        <v>0</v>
      </c>
      <c r="J149" s="30">
        <v>0</v>
      </c>
      <c r="K149" s="30">
        <v>0</v>
      </c>
      <c r="L149" s="30">
        <v>0</v>
      </c>
      <c r="M149" s="31">
        <f t="shared" si="10"/>
        <v>0</v>
      </c>
      <c r="N149" s="32" t="str">
        <f t="shared" si="11"/>
        <v>n/a</v>
      </c>
      <c r="O149" s="6" t="str">
        <f>IF(ABS(M149)&lt;Overview!$B$6,"OK",IF(I149=0,"REVIEW (zero base)",IF(ABS(M149/ABS(I149))&gt;=Overview!$B$5,"REVIEW","OK")))</f>
        <v>OK</v>
      </c>
      <c r="P149" s="31">
        <f t="shared" si="12"/>
        <v>0</v>
      </c>
      <c r="Q149" s="32" t="str">
        <f t="shared" si="13"/>
        <v>n/a</v>
      </c>
      <c r="R149" s="6" t="str">
        <f>IF(ABS(P149)&lt;Overview!$B$6,"OK",IF(J149=0,"REVIEW (zero base)",IF(ABS(P149/ABS(J149))&gt;=Overview!$B$5,"REVIEW","OK")))</f>
        <v>OK</v>
      </c>
      <c r="S149" s="33">
        <f t="shared" si="14"/>
        <v>0</v>
      </c>
    </row>
    <row r="150" spans="1:19" x14ac:dyDescent="0.2">
      <c r="A150" s="17">
        <v>148</v>
      </c>
      <c r="B150" s="17" t="s">
        <v>171</v>
      </c>
      <c r="C150" s="17" t="s">
        <v>172</v>
      </c>
      <c r="D150" s="17" t="s">
        <v>56</v>
      </c>
      <c r="E150" s="17" t="s">
        <v>118</v>
      </c>
      <c r="F150" s="17" t="s">
        <v>189</v>
      </c>
      <c r="G150" s="17" t="s">
        <v>314</v>
      </c>
      <c r="H150" s="30">
        <v>-9675</v>
      </c>
      <c r="I150" s="30">
        <v>-8275</v>
      </c>
      <c r="J150" s="30">
        <v>-10000</v>
      </c>
      <c r="K150" s="30">
        <v>-11000</v>
      </c>
      <c r="L150" s="30">
        <v>-11000</v>
      </c>
      <c r="M150" s="31">
        <f t="shared" si="10"/>
        <v>-1725</v>
      </c>
      <c r="N150" s="32">
        <f t="shared" si="11"/>
        <v>-0.20845921450151059</v>
      </c>
      <c r="O150" s="6" t="str">
        <f>IF(ABS(M150)&lt;Overview!$B$6,"OK",IF(I150=0,"REVIEW (zero base)",IF(ABS(M150/ABS(I150))&gt;=Overview!$B$5,"REVIEW","OK")))</f>
        <v>OK</v>
      </c>
      <c r="P150" s="31">
        <f t="shared" si="12"/>
        <v>-1000</v>
      </c>
      <c r="Q150" s="32">
        <f t="shared" si="13"/>
        <v>-0.1</v>
      </c>
      <c r="R150" s="6" t="str">
        <f>IF(ABS(P150)&lt;Overview!$B$6,"OK",IF(J150=0,"REVIEW (zero base)",IF(ABS(P150/ABS(J150))&gt;=Overview!$B$5,"REVIEW","OK")))</f>
        <v>OK</v>
      </c>
      <c r="S150" s="33">
        <f t="shared" si="14"/>
        <v>0</v>
      </c>
    </row>
    <row r="151" spans="1:19" x14ac:dyDescent="0.2">
      <c r="A151" s="17">
        <v>149</v>
      </c>
      <c r="B151" s="17" t="s">
        <v>171</v>
      </c>
      <c r="C151" s="17" t="s">
        <v>172</v>
      </c>
      <c r="D151" s="17" t="s">
        <v>56</v>
      </c>
      <c r="E151" s="17" t="s">
        <v>124</v>
      </c>
      <c r="F151" s="17" t="s">
        <v>189</v>
      </c>
      <c r="G151" s="17" t="s">
        <v>315</v>
      </c>
      <c r="H151" s="30">
        <v>-416082</v>
      </c>
      <c r="I151" s="30">
        <v>-381891</v>
      </c>
      <c r="J151" s="30">
        <v>-600000</v>
      </c>
      <c r="K151" s="30">
        <v>-600000</v>
      </c>
      <c r="L151" s="30">
        <v>-775000</v>
      </c>
      <c r="M151" s="31">
        <f t="shared" si="10"/>
        <v>-218109</v>
      </c>
      <c r="N151" s="32">
        <f t="shared" si="11"/>
        <v>-0.57112893469602588</v>
      </c>
      <c r="O151" s="6" t="str">
        <f>IF(ABS(M151)&lt;Overview!$B$6,"OK",IF(I151=0,"REVIEW (zero base)",IF(ABS(M151/ABS(I151))&gt;=Overview!$B$5,"REVIEW","OK")))</f>
        <v>OK</v>
      </c>
      <c r="P151" s="31">
        <f t="shared" si="12"/>
        <v>0</v>
      </c>
      <c r="Q151" s="32">
        <f t="shared" si="13"/>
        <v>0</v>
      </c>
      <c r="R151" s="6" t="str">
        <f>IF(ABS(P151)&lt;Overview!$B$6,"OK",IF(J151=0,"REVIEW (zero base)",IF(ABS(P151/ABS(J151))&gt;=Overview!$B$5,"REVIEW","OK")))</f>
        <v>OK</v>
      </c>
      <c r="S151" s="33">
        <f t="shared" si="14"/>
        <v>0</v>
      </c>
    </row>
    <row r="152" spans="1:19" x14ac:dyDescent="0.2">
      <c r="A152" s="17">
        <v>150</v>
      </c>
      <c r="B152" s="17" t="s">
        <v>171</v>
      </c>
      <c r="C152" s="17" t="s">
        <v>172</v>
      </c>
      <c r="D152" s="17" t="s">
        <v>56</v>
      </c>
      <c r="E152" s="17" t="s">
        <v>124</v>
      </c>
      <c r="F152" s="17" t="s">
        <v>189</v>
      </c>
      <c r="G152" s="17" t="s">
        <v>304</v>
      </c>
      <c r="H152" s="30">
        <v>-1240550</v>
      </c>
      <c r="I152" s="30">
        <v>-1079590</v>
      </c>
      <c r="J152" s="30">
        <v>-804000</v>
      </c>
      <c r="K152" s="30">
        <v>-900000</v>
      </c>
      <c r="L152" s="30">
        <v>-1200000</v>
      </c>
      <c r="M152" s="31">
        <f t="shared" si="10"/>
        <v>275590</v>
      </c>
      <c r="N152" s="32">
        <f t="shared" si="11"/>
        <v>0.25527283505775339</v>
      </c>
      <c r="O152" s="6" t="str">
        <f>IF(ABS(M152)&lt;Overview!$B$6,"OK",IF(I152=0,"REVIEW (zero base)",IF(ABS(M152/ABS(I152))&gt;=Overview!$B$5,"REVIEW","OK")))</f>
        <v>REVIEW</v>
      </c>
      <c r="P152" s="31">
        <f t="shared" si="12"/>
        <v>-96000</v>
      </c>
      <c r="Q152" s="32">
        <f t="shared" si="13"/>
        <v>-0.11940298507462686</v>
      </c>
      <c r="R152" s="6" t="str">
        <f>IF(ABS(P152)&lt;Overview!$B$6,"OK",IF(J152=0,"REVIEW (zero base)",IF(ABS(P152/ABS(J152))&gt;=Overview!$B$5,"REVIEW","OK")))</f>
        <v>OK</v>
      </c>
      <c r="S152" s="33">
        <f t="shared" si="14"/>
        <v>0</v>
      </c>
    </row>
    <row r="153" spans="1:19" x14ac:dyDescent="0.2">
      <c r="A153" s="17">
        <v>151</v>
      </c>
      <c r="B153" s="17" t="s">
        <v>171</v>
      </c>
      <c r="C153" s="17" t="s">
        <v>172</v>
      </c>
      <c r="D153" s="17" t="s">
        <v>56</v>
      </c>
      <c r="E153" s="17" t="s">
        <v>124</v>
      </c>
      <c r="F153" s="17" t="s">
        <v>189</v>
      </c>
      <c r="G153" s="17" t="s">
        <v>305</v>
      </c>
      <c r="H153" s="30">
        <v>429</v>
      </c>
      <c r="I153" s="30">
        <v>0</v>
      </c>
      <c r="J153" s="30">
        <v>0</v>
      </c>
      <c r="K153" s="30">
        <v>0</v>
      </c>
      <c r="L153" s="30">
        <v>0</v>
      </c>
      <c r="M153" s="31">
        <f t="shared" si="10"/>
        <v>0</v>
      </c>
      <c r="N153" s="32" t="str">
        <f t="shared" si="11"/>
        <v>n/a</v>
      </c>
      <c r="O153" s="6" t="str">
        <f>IF(ABS(M153)&lt;Overview!$B$6,"OK",IF(I153=0,"REVIEW (zero base)",IF(ABS(M153/ABS(I153))&gt;=Overview!$B$5,"REVIEW","OK")))</f>
        <v>OK</v>
      </c>
      <c r="P153" s="31">
        <f t="shared" si="12"/>
        <v>0</v>
      </c>
      <c r="Q153" s="32" t="str">
        <f t="shared" si="13"/>
        <v>n/a</v>
      </c>
      <c r="R153" s="6" t="str">
        <f>IF(ABS(P153)&lt;Overview!$B$6,"OK",IF(J153=0,"REVIEW (zero base)",IF(ABS(P153/ABS(J153))&gt;=Overview!$B$5,"REVIEW","OK")))</f>
        <v>OK</v>
      </c>
      <c r="S153" s="33">
        <f t="shared" si="14"/>
        <v>0</v>
      </c>
    </row>
    <row r="154" spans="1:19" x14ac:dyDescent="0.2">
      <c r="A154" s="17">
        <v>152</v>
      </c>
      <c r="B154" s="17" t="s">
        <v>171</v>
      </c>
      <c r="C154" s="17" t="s">
        <v>172</v>
      </c>
      <c r="D154" s="17" t="s">
        <v>56</v>
      </c>
      <c r="E154" s="17" t="s">
        <v>124</v>
      </c>
      <c r="F154" s="17" t="s">
        <v>189</v>
      </c>
      <c r="G154" s="17" t="s">
        <v>316</v>
      </c>
      <c r="H154" s="30">
        <v>-2293073</v>
      </c>
      <c r="I154" s="30">
        <v>-1923904</v>
      </c>
      <c r="J154" s="30">
        <v>-1596000</v>
      </c>
      <c r="K154" s="30">
        <v>-1600000</v>
      </c>
      <c r="L154" s="30">
        <v>-3100000</v>
      </c>
      <c r="M154" s="31">
        <f t="shared" si="10"/>
        <v>327904</v>
      </c>
      <c r="N154" s="32">
        <f t="shared" si="11"/>
        <v>0.17043677855028108</v>
      </c>
      <c r="O154" s="6" t="str">
        <f>IF(ABS(M154)&lt;Overview!$B$6,"OK",IF(I154=0,"REVIEW (zero base)",IF(ABS(M154/ABS(I154))&gt;=Overview!$B$5,"REVIEW","OK")))</f>
        <v>REVIEW</v>
      </c>
      <c r="P154" s="31">
        <f t="shared" si="12"/>
        <v>-4000</v>
      </c>
      <c r="Q154" s="32">
        <f t="shared" si="13"/>
        <v>-2.5062656641604009E-3</v>
      </c>
      <c r="R154" s="6" t="str">
        <f>IF(ABS(P154)&lt;Overview!$B$6,"OK",IF(J154=0,"REVIEW (zero base)",IF(ABS(P154/ABS(J154))&gt;=Overview!$B$5,"REVIEW","OK")))</f>
        <v>OK</v>
      </c>
      <c r="S154" s="33">
        <f t="shared" si="14"/>
        <v>0</v>
      </c>
    </row>
    <row r="155" spans="1:19" x14ac:dyDescent="0.2">
      <c r="A155" s="17">
        <v>153</v>
      </c>
      <c r="B155" s="17" t="s">
        <v>171</v>
      </c>
      <c r="C155" s="17" t="s">
        <v>172</v>
      </c>
      <c r="D155" s="17" t="s">
        <v>71</v>
      </c>
      <c r="E155" s="17" t="s">
        <v>100</v>
      </c>
      <c r="F155" s="17" t="s">
        <v>204</v>
      </c>
      <c r="G155" s="17" t="s">
        <v>205</v>
      </c>
      <c r="H155" s="30">
        <v>0</v>
      </c>
      <c r="I155" s="30">
        <v>-5400</v>
      </c>
      <c r="J155" s="30">
        <v>0</v>
      </c>
      <c r="K155" s="30">
        <v>0</v>
      </c>
      <c r="L155" s="30">
        <v>0</v>
      </c>
      <c r="M155" s="31">
        <f t="shared" si="10"/>
        <v>5400</v>
      </c>
      <c r="N155" s="32">
        <f t="shared" si="11"/>
        <v>1</v>
      </c>
      <c r="O155" s="6" t="str">
        <f>IF(ABS(M155)&lt;Overview!$B$6,"OK",IF(I155=0,"REVIEW (zero base)",IF(ABS(M155/ABS(I155))&gt;=Overview!$B$5,"REVIEW","OK")))</f>
        <v>OK</v>
      </c>
      <c r="P155" s="31">
        <f t="shared" si="12"/>
        <v>0</v>
      </c>
      <c r="Q155" s="32" t="str">
        <f t="shared" si="13"/>
        <v>n/a</v>
      </c>
      <c r="R155" s="6" t="str">
        <f>IF(ABS(P155)&lt;Overview!$B$6,"OK",IF(J155=0,"REVIEW (zero base)",IF(ABS(P155/ABS(J155))&gt;=Overview!$B$5,"REVIEW","OK")))</f>
        <v>OK</v>
      </c>
      <c r="S155" s="33">
        <f t="shared" si="14"/>
        <v>0</v>
      </c>
    </row>
    <row r="156" spans="1:19" x14ac:dyDescent="0.2">
      <c r="A156" s="17">
        <v>154</v>
      </c>
      <c r="B156" s="17" t="s">
        <v>171</v>
      </c>
      <c r="C156" s="17" t="s">
        <v>172</v>
      </c>
      <c r="D156" s="17" t="s">
        <v>65</v>
      </c>
      <c r="E156" s="17" t="s">
        <v>91</v>
      </c>
      <c r="F156" s="17" t="s">
        <v>204</v>
      </c>
      <c r="G156" s="17" t="s">
        <v>205</v>
      </c>
      <c r="H156" s="30">
        <v>-21102</v>
      </c>
      <c r="I156" s="30">
        <v>-22332</v>
      </c>
      <c r="J156" s="30">
        <v>0</v>
      </c>
      <c r="K156" s="30">
        <v>0</v>
      </c>
      <c r="L156" s="30">
        <v>0</v>
      </c>
      <c r="M156" s="31">
        <f t="shared" si="10"/>
        <v>22332</v>
      </c>
      <c r="N156" s="32">
        <f t="shared" si="11"/>
        <v>1</v>
      </c>
      <c r="O156" s="6" t="str">
        <f>IF(ABS(M156)&lt;Overview!$B$6,"OK",IF(I156=0,"REVIEW (zero base)",IF(ABS(M156/ABS(I156))&gt;=Overview!$B$5,"REVIEW","OK")))</f>
        <v>OK</v>
      </c>
      <c r="P156" s="31">
        <f t="shared" si="12"/>
        <v>0</v>
      </c>
      <c r="Q156" s="32" t="str">
        <f t="shared" si="13"/>
        <v>n/a</v>
      </c>
      <c r="R156" s="6" t="str">
        <f>IF(ABS(P156)&lt;Overview!$B$6,"OK",IF(J156=0,"REVIEW (zero base)",IF(ABS(P156/ABS(J156))&gt;=Overview!$B$5,"REVIEW","OK")))</f>
        <v>OK</v>
      </c>
      <c r="S156" s="33">
        <f t="shared" si="14"/>
        <v>0</v>
      </c>
    </row>
    <row r="157" spans="1:19" x14ac:dyDescent="0.2">
      <c r="A157" s="17">
        <v>155</v>
      </c>
      <c r="B157" s="17" t="s">
        <v>171</v>
      </c>
      <c r="C157" s="17" t="s">
        <v>172</v>
      </c>
      <c r="D157" s="17" t="s">
        <v>55</v>
      </c>
      <c r="E157" s="17" t="s">
        <v>99</v>
      </c>
      <c r="F157" s="17" t="s">
        <v>189</v>
      </c>
      <c r="G157" s="17" t="s">
        <v>317</v>
      </c>
      <c r="H157" s="30">
        <v>-156283</v>
      </c>
      <c r="I157" s="30">
        <v>-151128</v>
      </c>
      <c r="J157" s="30">
        <v>0</v>
      </c>
      <c r="K157" s="30">
        <v>0</v>
      </c>
      <c r="L157" s="30">
        <v>0</v>
      </c>
      <c r="M157" s="31">
        <f t="shared" si="10"/>
        <v>151128</v>
      </c>
      <c r="N157" s="32">
        <f t="shared" si="11"/>
        <v>1</v>
      </c>
      <c r="O157" s="6" t="str">
        <f>IF(ABS(M157)&lt;Overview!$B$6,"OK",IF(I157=0,"REVIEW (zero base)",IF(ABS(M157/ABS(I157))&gt;=Overview!$B$5,"REVIEW","OK")))</f>
        <v>OK</v>
      </c>
      <c r="P157" s="31">
        <f t="shared" si="12"/>
        <v>0</v>
      </c>
      <c r="Q157" s="32" t="str">
        <f t="shared" si="13"/>
        <v>n/a</v>
      </c>
      <c r="R157" s="6" t="str">
        <f>IF(ABS(P157)&lt;Overview!$B$6,"OK",IF(J157=0,"REVIEW (zero base)",IF(ABS(P157/ABS(J157))&gt;=Overview!$B$5,"REVIEW","OK")))</f>
        <v>OK</v>
      </c>
      <c r="S157" s="33">
        <f t="shared" si="14"/>
        <v>0</v>
      </c>
    </row>
    <row r="158" spans="1:19" x14ac:dyDescent="0.2">
      <c r="A158" s="17">
        <v>156</v>
      </c>
      <c r="B158" s="17" t="s">
        <v>171</v>
      </c>
      <c r="C158" s="17" t="s">
        <v>172</v>
      </c>
      <c r="D158" s="17" t="s">
        <v>55</v>
      </c>
      <c r="E158" s="17" t="s">
        <v>78</v>
      </c>
      <c r="F158" s="17" t="s">
        <v>189</v>
      </c>
      <c r="G158" s="17" t="s">
        <v>228</v>
      </c>
      <c r="H158" s="30">
        <v>-50</v>
      </c>
      <c r="I158" s="30">
        <v>-43440</v>
      </c>
      <c r="J158" s="30">
        <v>0</v>
      </c>
      <c r="K158" s="30">
        <v>0</v>
      </c>
      <c r="L158" s="30">
        <v>0</v>
      </c>
      <c r="M158" s="31">
        <f t="shared" si="10"/>
        <v>43440</v>
      </c>
      <c r="N158" s="32">
        <f t="shared" si="11"/>
        <v>1</v>
      </c>
      <c r="O158" s="6" t="str">
        <f>IF(ABS(M158)&lt;Overview!$B$6,"OK",IF(I158=0,"REVIEW (zero base)",IF(ABS(M158/ABS(I158))&gt;=Overview!$B$5,"REVIEW","OK")))</f>
        <v>OK</v>
      </c>
      <c r="P158" s="31">
        <f t="shared" si="12"/>
        <v>0</v>
      </c>
      <c r="Q158" s="32" t="str">
        <f t="shared" si="13"/>
        <v>n/a</v>
      </c>
      <c r="R158" s="6" t="str">
        <f>IF(ABS(P158)&lt;Overview!$B$6,"OK",IF(J158=0,"REVIEW (zero base)",IF(ABS(P158/ABS(J158))&gt;=Overview!$B$5,"REVIEW","OK")))</f>
        <v>OK</v>
      </c>
      <c r="S158" s="33">
        <f t="shared" si="14"/>
        <v>0</v>
      </c>
    </row>
    <row r="159" spans="1:19" x14ac:dyDescent="0.2">
      <c r="A159" s="17">
        <v>157</v>
      </c>
      <c r="B159" s="17" t="s">
        <v>171</v>
      </c>
      <c r="C159" s="17" t="s">
        <v>172</v>
      </c>
      <c r="D159" s="17" t="s">
        <v>55</v>
      </c>
      <c r="E159" s="17" t="s">
        <v>78</v>
      </c>
      <c r="F159" s="17" t="s">
        <v>189</v>
      </c>
      <c r="G159" s="17" t="s">
        <v>318</v>
      </c>
      <c r="H159" s="30">
        <v>-617</v>
      </c>
      <c r="I159" s="30">
        <v>-584</v>
      </c>
      <c r="J159" s="30">
        <v>-600</v>
      </c>
      <c r="K159" s="30">
        <v>-600</v>
      </c>
      <c r="L159" s="30">
        <v>-600</v>
      </c>
      <c r="M159" s="31">
        <f t="shared" si="10"/>
        <v>-16</v>
      </c>
      <c r="N159" s="32">
        <f t="shared" si="11"/>
        <v>-2.7397260273972601E-2</v>
      </c>
      <c r="O159" s="6" t="str">
        <f>IF(ABS(M159)&lt;Overview!$B$6,"OK",IF(I159=0,"REVIEW (zero base)",IF(ABS(M159/ABS(I159))&gt;=Overview!$B$5,"REVIEW","OK")))</f>
        <v>OK</v>
      </c>
      <c r="P159" s="31">
        <f t="shared" si="12"/>
        <v>0</v>
      </c>
      <c r="Q159" s="32">
        <f t="shared" si="13"/>
        <v>0</v>
      </c>
      <c r="R159" s="6" t="str">
        <f>IF(ABS(P159)&lt;Overview!$B$6,"OK",IF(J159=0,"REVIEW (zero base)",IF(ABS(P159/ABS(J159))&gt;=Overview!$B$5,"REVIEW","OK")))</f>
        <v>OK</v>
      </c>
      <c r="S159" s="33">
        <f t="shared" si="14"/>
        <v>0</v>
      </c>
    </row>
    <row r="160" spans="1:19" x14ac:dyDescent="0.2">
      <c r="A160" s="17">
        <v>158</v>
      </c>
      <c r="B160" s="17" t="s">
        <v>171</v>
      </c>
      <c r="C160" s="17" t="s">
        <v>172</v>
      </c>
      <c r="D160" s="17" t="s">
        <v>55</v>
      </c>
      <c r="E160" s="17" t="s">
        <v>78</v>
      </c>
      <c r="F160" s="17" t="s">
        <v>189</v>
      </c>
      <c r="G160" s="17" t="s">
        <v>319</v>
      </c>
      <c r="H160" s="30">
        <v>-9660</v>
      </c>
      <c r="I160" s="30">
        <v>-11813</v>
      </c>
      <c r="J160" s="30">
        <v>-13000</v>
      </c>
      <c r="K160" s="30">
        <v>-10000</v>
      </c>
      <c r="L160" s="30">
        <v>-13000</v>
      </c>
      <c r="M160" s="31">
        <f t="shared" si="10"/>
        <v>-1187</v>
      </c>
      <c r="N160" s="32">
        <f t="shared" si="11"/>
        <v>-0.10048251925844409</v>
      </c>
      <c r="O160" s="6" t="str">
        <f>IF(ABS(M160)&lt;Overview!$B$6,"OK",IF(I160=0,"REVIEW (zero base)",IF(ABS(M160/ABS(I160))&gt;=Overview!$B$5,"REVIEW","OK")))</f>
        <v>OK</v>
      </c>
      <c r="P160" s="31">
        <f t="shared" si="12"/>
        <v>3000</v>
      </c>
      <c r="Q160" s="32">
        <f t="shared" si="13"/>
        <v>0.23076923076923078</v>
      </c>
      <c r="R160" s="6" t="str">
        <f>IF(ABS(P160)&lt;Overview!$B$6,"OK",IF(J160=0,"REVIEW (zero base)",IF(ABS(P160/ABS(J160))&gt;=Overview!$B$5,"REVIEW","OK")))</f>
        <v>OK</v>
      </c>
      <c r="S160" s="33">
        <f t="shared" si="14"/>
        <v>0</v>
      </c>
    </row>
    <row r="161" spans="1:19" x14ac:dyDescent="0.2">
      <c r="A161" s="17">
        <v>159</v>
      </c>
      <c r="B161" s="17" t="s">
        <v>171</v>
      </c>
      <c r="C161" s="17" t="s">
        <v>172</v>
      </c>
      <c r="D161" s="17" t="s">
        <v>55</v>
      </c>
      <c r="E161" s="17" t="s">
        <v>78</v>
      </c>
      <c r="F161" s="17" t="s">
        <v>189</v>
      </c>
      <c r="G161" s="17" t="s">
        <v>320</v>
      </c>
      <c r="H161" s="30">
        <v>-174620</v>
      </c>
      <c r="I161" s="30">
        <v>-280613</v>
      </c>
      <c r="J161" s="30">
        <v>-240000</v>
      </c>
      <c r="K161" s="30">
        <v>-150000</v>
      </c>
      <c r="L161" s="30">
        <v>-229000</v>
      </c>
      <c r="M161" s="31">
        <f t="shared" si="10"/>
        <v>40613</v>
      </c>
      <c r="N161" s="32">
        <f t="shared" si="11"/>
        <v>0.14472957418223675</v>
      </c>
      <c r="O161" s="6" t="str">
        <f>IF(ABS(M161)&lt;Overview!$B$6,"OK",IF(I161=0,"REVIEW (zero base)",IF(ABS(M161/ABS(I161))&gt;=Overview!$B$5,"REVIEW","OK")))</f>
        <v>OK</v>
      </c>
      <c r="P161" s="31">
        <f t="shared" si="12"/>
        <v>90000</v>
      </c>
      <c r="Q161" s="32">
        <f t="shared" si="13"/>
        <v>0.375</v>
      </c>
      <c r="R161" s="6" t="str">
        <f>IF(ABS(P161)&lt;Overview!$B$6,"OK",IF(J161=0,"REVIEW (zero base)",IF(ABS(P161/ABS(J161))&gt;=Overview!$B$5,"REVIEW","OK")))</f>
        <v>OK</v>
      </c>
      <c r="S161" s="33">
        <f t="shared" si="14"/>
        <v>0</v>
      </c>
    </row>
    <row r="162" spans="1:19" x14ac:dyDescent="0.2">
      <c r="A162" s="17">
        <v>160</v>
      </c>
      <c r="B162" s="17" t="s">
        <v>171</v>
      </c>
      <c r="C162" s="17" t="s">
        <v>172</v>
      </c>
      <c r="D162" s="17" t="s">
        <v>55</v>
      </c>
      <c r="E162" s="17" t="s">
        <v>78</v>
      </c>
      <c r="F162" s="17" t="s">
        <v>189</v>
      </c>
      <c r="G162" s="17" t="s">
        <v>321</v>
      </c>
      <c r="H162" s="30">
        <v>-2070</v>
      </c>
      <c r="I162" s="30">
        <v>0</v>
      </c>
      <c r="J162" s="30">
        <v>-3000</v>
      </c>
      <c r="K162" s="30">
        <v>-3000</v>
      </c>
      <c r="L162" s="30">
        <v>-3000</v>
      </c>
      <c r="M162" s="31">
        <f t="shared" si="10"/>
        <v>-3000</v>
      </c>
      <c r="N162" s="32" t="str">
        <f t="shared" si="11"/>
        <v>n/a</v>
      </c>
      <c r="O162" s="6" t="str">
        <f>IF(ABS(M162)&lt;Overview!$B$6,"OK",IF(I162=0,"REVIEW (zero base)",IF(ABS(M162/ABS(I162))&gt;=Overview!$B$5,"REVIEW","OK")))</f>
        <v>OK</v>
      </c>
      <c r="P162" s="31">
        <f t="shared" si="12"/>
        <v>0</v>
      </c>
      <c r="Q162" s="32">
        <f t="shared" si="13"/>
        <v>0</v>
      </c>
      <c r="R162" s="6" t="str">
        <f>IF(ABS(P162)&lt;Overview!$B$6,"OK",IF(J162=0,"REVIEW (zero base)",IF(ABS(P162/ABS(J162))&gt;=Overview!$B$5,"REVIEW","OK")))</f>
        <v>OK</v>
      </c>
      <c r="S162" s="33">
        <f t="shared" si="14"/>
        <v>0</v>
      </c>
    </row>
    <row r="163" spans="1:19" x14ac:dyDescent="0.2">
      <c r="A163" s="17">
        <v>161</v>
      </c>
      <c r="B163" s="17" t="s">
        <v>171</v>
      </c>
      <c r="C163" s="17" t="s">
        <v>172</v>
      </c>
      <c r="D163" s="17" t="s">
        <v>55</v>
      </c>
      <c r="E163" s="17" t="s">
        <v>78</v>
      </c>
      <c r="F163" s="17" t="s">
        <v>189</v>
      </c>
      <c r="G163" s="17" t="s">
        <v>322</v>
      </c>
      <c r="H163" s="30">
        <v>-3505024</v>
      </c>
      <c r="I163" s="30">
        <v>-2822855</v>
      </c>
      <c r="J163" s="30">
        <v>-2000000</v>
      </c>
      <c r="K163" s="30">
        <v>-3448000</v>
      </c>
      <c r="L163" s="30">
        <v>-3500000</v>
      </c>
      <c r="M163" s="31">
        <f t="shared" si="10"/>
        <v>822855</v>
      </c>
      <c r="N163" s="32">
        <f t="shared" si="11"/>
        <v>0.29149743787760973</v>
      </c>
      <c r="O163" s="6" t="str">
        <f>IF(ABS(M163)&lt;Overview!$B$6,"OK",IF(I163=0,"REVIEW (zero base)",IF(ABS(M163/ABS(I163))&gt;=Overview!$B$5,"REVIEW","OK")))</f>
        <v>REVIEW</v>
      </c>
      <c r="P163" s="31">
        <f t="shared" si="12"/>
        <v>-1448000</v>
      </c>
      <c r="Q163" s="32">
        <f t="shared" si="13"/>
        <v>-0.72399999999999998</v>
      </c>
      <c r="R163" s="6" t="str">
        <f>IF(ABS(P163)&lt;Overview!$B$6,"OK",IF(J163=0,"REVIEW (zero base)",IF(ABS(P163/ABS(J163))&gt;=Overview!$B$5,"REVIEW","OK")))</f>
        <v>REVIEW</v>
      </c>
      <c r="S163" s="33">
        <f t="shared" si="14"/>
        <v>0</v>
      </c>
    </row>
    <row r="164" spans="1:19" x14ac:dyDescent="0.2">
      <c r="A164" s="17">
        <v>162</v>
      </c>
      <c r="B164" s="17" t="s">
        <v>171</v>
      </c>
      <c r="C164" s="17" t="s">
        <v>172</v>
      </c>
      <c r="D164" s="17" t="s">
        <v>55</v>
      </c>
      <c r="E164" s="17" t="s">
        <v>78</v>
      </c>
      <c r="F164" s="17" t="s">
        <v>189</v>
      </c>
      <c r="G164" s="17" t="s">
        <v>323</v>
      </c>
      <c r="H164" s="30">
        <v>-4395238</v>
      </c>
      <c r="I164" s="30">
        <v>-4308353</v>
      </c>
      <c r="J164" s="30">
        <v>-4000000</v>
      </c>
      <c r="K164" s="30">
        <v>-4931000</v>
      </c>
      <c r="L164" s="30">
        <v>-4400000</v>
      </c>
      <c r="M164" s="31">
        <f t="shared" si="10"/>
        <v>308353</v>
      </c>
      <c r="N164" s="32">
        <f t="shared" si="11"/>
        <v>7.1570969231165599E-2</v>
      </c>
      <c r="O164" s="6" t="str">
        <f>IF(ABS(M164)&lt;Overview!$B$6,"OK",IF(I164=0,"REVIEW (zero base)",IF(ABS(M164/ABS(I164))&gt;=Overview!$B$5,"REVIEW","OK")))</f>
        <v>OK</v>
      </c>
      <c r="P164" s="31">
        <f t="shared" si="12"/>
        <v>-931000</v>
      </c>
      <c r="Q164" s="32">
        <f t="shared" si="13"/>
        <v>-0.23275000000000001</v>
      </c>
      <c r="R164" s="6" t="str">
        <f>IF(ABS(P164)&lt;Overview!$B$6,"OK",IF(J164=0,"REVIEW (zero base)",IF(ABS(P164/ABS(J164))&gt;=Overview!$B$5,"REVIEW","OK")))</f>
        <v>REVIEW</v>
      </c>
      <c r="S164" s="33">
        <f t="shared" si="14"/>
        <v>0</v>
      </c>
    </row>
    <row r="165" spans="1:19" x14ac:dyDescent="0.2">
      <c r="A165" s="17">
        <v>163</v>
      </c>
      <c r="B165" s="17" t="s">
        <v>171</v>
      </c>
      <c r="C165" s="17" t="s">
        <v>172</v>
      </c>
      <c r="D165" s="17" t="s">
        <v>55</v>
      </c>
      <c r="E165" s="17" t="s">
        <v>78</v>
      </c>
      <c r="F165" s="17" t="s">
        <v>192</v>
      </c>
      <c r="G165" s="17" t="s">
        <v>324</v>
      </c>
      <c r="H165" s="30">
        <v>-218791</v>
      </c>
      <c r="I165" s="30">
        <v>-84509</v>
      </c>
      <c r="J165" s="30">
        <v>-120000</v>
      </c>
      <c r="K165" s="30">
        <v>-185000</v>
      </c>
      <c r="L165" s="30">
        <v>-185000</v>
      </c>
      <c r="M165" s="31">
        <f t="shared" si="10"/>
        <v>-35491</v>
      </c>
      <c r="N165" s="32">
        <f t="shared" si="11"/>
        <v>-0.41996710409542182</v>
      </c>
      <c r="O165" s="6" t="str">
        <f>IF(ABS(M165)&lt;Overview!$B$6,"OK",IF(I165=0,"REVIEW (zero base)",IF(ABS(M165/ABS(I165))&gt;=Overview!$B$5,"REVIEW","OK")))</f>
        <v>OK</v>
      </c>
      <c r="P165" s="31">
        <f t="shared" si="12"/>
        <v>-65000</v>
      </c>
      <c r="Q165" s="32">
        <f t="shared" si="13"/>
        <v>-0.54166666666666663</v>
      </c>
      <c r="R165" s="6" t="str">
        <f>IF(ABS(P165)&lt;Overview!$B$6,"OK",IF(J165=0,"REVIEW (zero base)",IF(ABS(P165/ABS(J165))&gt;=Overview!$B$5,"REVIEW","OK")))</f>
        <v>OK</v>
      </c>
      <c r="S165" s="33">
        <f t="shared" si="14"/>
        <v>0</v>
      </c>
    </row>
    <row r="166" spans="1:19" x14ac:dyDescent="0.2">
      <c r="A166" s="17">
        <v>164</v>
      </c>
      <c r="B166" s="17" t="s">
        <v>171</v>
      </c>
      <c r="C166" s="17" t="s">
        <v>172</v>
      </c>
      <c r="D166" s="17" t="s">
        <v>55</v>
      </c>
      <c r="E166" s="17" t="s">
        <v>78</v>
      </c>
      <c r="F166" s="17" t="s">
        <v>289</v>
      </c>
      <c r="G166" s="17" t="s">
        <v>290</v>
      </c>
      <c r="H166" s="30">
        <v>-21733</v>
      </c>
      <c r="I166" s="30">
        <v>0</v>
      </c>
      <c r="J166" s="30">
        <v>0</v>
      </c>
      <c r="K166" s="30">
        <v>0</v>
      </c>
      <c r="L166" s="30">
        <v>0</v>
      </c>
      <c r="M166" s="31">
        <f t="shared" si="10"/>
        <v>0</v>
      </c>
      <c r="N166" s="32" t="str">
        <f t="shared" si="11"/>
        <v>n/a</v>
      </c>
      <c r="O166" s="6" t="str">
        <f>IF(ABS(M166)&lt;Overview!$B$6,"OK",IF(I166=0,"REVIEW (zero base)",IF(ABS(M166/ABS(I166))&gt;=Overview!$B$5,"REVIEW","OK")))</f>
        <v>OK</v>
      </c>
      <c r="P166" s="31">
        <f t="shared" si="12"/>
        <v>0</v>
      </c>
      <c r="Q166" s="32" t="str">
        <f t="shared" si="13"/>
        <v>n/a</v>
      </c>
      <c r="R166" s="6" t="str">
        <f>IF(ABS(P166)&lt;Overview!$B$6,"OK",IF(J166=0,"REVIEW (zero base)",IF(ABS(P166/ABS(J166))&gt;=Overview!$B$5,"REVIEW","OK")))</f>
        <v>OK</v>
      </c>
      <c r="S166" s="33">
        <f t="shared" si="14"/>
        <v>0</v>
      </c>
    </row>
    <row r="167" spans="1:19" x14ac:dyDescent="0.2">
      <c r="A167" s="17">
        <v>165</v>
      </c>
      <c r="B167" s="17" t="s">
        <v>171</v>
      </c>
      <c r="C167" s="17" t="s">
        <v>172</v>
      </c>
      <c r="D167" s="17" t="s">
        <v>55</v>
      </c>
      <c r="E167" s="17" t="s">
        <v>78</v>
      </c>
      <c r="F167" s="17" t="s">
        <v>204</v>
      </c>
      <c r="G167" s="17" t="s">
        <v>205</v>
      </c>
      <c r="H167" s="30">
        <v>-18354</v>
      </c>
      <c r="I167" s="30">
        <v>-44541</v>
      </c>
      <c r="J167" s="30">
        <v>-2400</v>
      </c>
      <c r="K167" s="30">
        <v>-2000</v>
      </c>
      <c r="L167" s="30">
        <v>0</v>
      </c>
      <c r="M167" s="31">
        <f t="shared" si="10"/>
        <v>42141</v>
      </c>
      <c r="N167" s="32">
        <f t="shared" si="11"/>
        <v>0.94611706068566037</v>
      </c>
      <c r="O167" s="6" t="str">
        <f>IF(ABS(M167)&lt;Overview!$B$6,"OK",IF(I167=0,"REVIEW (zero base)",IF(ABS(M167/ABS(I167))&gt;=Overview!$B$5,"REVIEW","OK")))</f>
        <v>OK</v>
      </c>
      <c r="P167" s="31">
        <f t="shared" si="12"/>
        <v>400</v>
      </c>
      <c r="Q167" s="32">
        <f t="shared" si="13"/>
        <v>0.16666666666666666</v>
      </c>
      <c r="R167" s="6" t="str">
        <f>IF(ABS(P167)&lt;Overview!$B$6,"OK",IF(J167=0,"REVIEW (zero base)",IF(ABS(P167/ABS(J167))&gt;=Overview!$B$5,"REVIEW","OK")))</f>
        <v>OK</v>
      </c>
      <c r="S167" s="33">
        <f t="shared" si="14"/>
        <v>0</v>
      </c>
    </row>
    <row r="168" spans="1:19" x14ac:dyDescent="0.2">
      <c r="A168" s="17">
        <v>166</v>
      </c>
      <c r="B168" s="17" t="s">
        <v>171</v>
      </c>
      <c r="C168" s="17" t="s">
        <v>172</v>
      </c>
      <c r="D168" s="17" t="s">
        <v>55</v>
      </c>
      <c r="E168" s="17" t="s">
        <v>79</v>
      </c>
      <c r="F168" s="17" t="s">
        <v>189</v>
      </c>
      <c r="G168" s="17" t="s">
        <v>228</v>
      </c>
      <c r="H168" s="30">
        <v>0</v>
      </c>
      <c r="I168" s="30">
        <v>-50</v>
      </c>
      <c r="J168" s="30">
        <v>0</v>
      </c>
      <c r="K168" s="30">
        <v>-50000</v>
      </c>
      <c r="L168" s="30">
        <v>-50000</v>
      </c>
      <c r="M168" s="31">
        <f t="shared" si="10"/>
        <v>50</v>
      </c>
      <c r="N168" s="32">
        <f t="shared" si="11"/>
        <v>1</v>
      </c>
      <c r="O168" s="6" t="str">
        <f>IF(ABS(M168)&lt;Overview!$B$6,"OK",IF(I168=0,"REVIEW (zero base)",IF(ABS(M168/ABS(I168))&gt;=Overview!$B$5,"REVIEW","OK")))</f>
        <v>OK</v>
      </c>
      <c r="P168" s="31">
        <f t="shared" si="12"/>
        <v>-50000</v>
      </c>
      <c r="Q168" s="32" t="str">
        <f t="shared" si="13"/>
        <v>n/a</v>
      </c>
      <c r="R168" s="6" t="str">
        <f>IF(ABS(P168)&lt;Overview!$B$6,"OK",IF(J168=0,"REVIEW (zero base)",IF(ABS(P168/ABS(J168))&gt;=Overview!$B$5,"REVIEW","OK")))</f>
        <v>OK</v>
      </c>
      <c r="S168" s="33">
        <f t="shared" si="14"/>
        <v>0</v>
      </c>
    </row>
    <row r="169" spans="1:19" x14ac:dyDescent="0.2">
      <c r="A169" s="17">
        <v>167</v>
      </c>
      <c r="B169" s="17" t="s">
        <v>171</v>
      </c>
      <c r="C169" s="17" t="s">
        <v>172</v>
      </c>
      <c r="D169" s="17" t="s">
        <v>55</v>
      </c>
      <c r="E169" s="17" t="s">
        <v>79</v>
      </c>
      <c r="F169" s="17" t="s">
        <v>189</v>
      </c>
      <c r="G169" s="17" t="s">
        <v>325</v>
      </c>
      <c r="H169" s="30">
        <v>-972799</v>
      </c>
      <c r="I169" s="30">
        <v>-861746</v>
      </c>
      <c r="J169" s="30">
        <v>-1239000</v>
      </c>
      <c r="K169" s="30">
        <v>-750000</v>
      </c>
      <c r="L169" s="30">
        <v>-1050000</v>
      </c>
      <c r="M169" s="31">
        <f t="shared" si="10"/>
        <v>-377254</v>
      </c>
      <c r="N169" s="32">
        <f t="shared" si="11"/>
        <v>-0.43777864939320865</v>
      </c>
      <c r="O169" s="6" t="str">
        <f>IF(ABS(M169)&lt;Overview!$B$6,"OK",IF(I169=0,"REVIEW (zero base)",IF(ABS(M169/ABS(I169))&gt;=Overview!$B$5,"REVIEW","OK")))</f>
        <v>REVIEW</v>
      </c>
      <c r="P169" s="31">
        <f t="shared" si="12"/>
        <v>489000</v>
      </c>
      <c r="Q169" s="32">
        <f t="shared" si="13"/>
        <v>0.39467312348668282</v>
      </c>
      <c r="R169" s="6" t="str">
        <f>IF(ABS(P169)&lt;Overview!$B$6,"OK",IF(J169=0,"REVIEW (zero base)",IF(ABS(P169/ABS(J169))&gt;=Overview!$B$5,"REVIEW","OK")))</f>
        <v>REVIEW</v>
      </c>
      <c r="S169" s="33">
        <f t="shared" si="14"/>
        <v>0</v>
      </c>
    </row>
    <row r="170" spans="1:19" x14ac:dyDescent="0.2">
      <c r="A170" s="17">
        <v>168</v>
      </c>
      <c r="B170" s="17" t="s">
        <v>171</v>
      </c>
      <c r="C170" s="17" t="s">
        <v>172</v>
      </c>
      <c r="D170" s="17" t="s">
        <v>55</v>
      </c>
      <c r="E170" s="17" t="s">
        <v>79</v>
      </c>
      <c r="F170" s="17" t="s">
        <v>189</v>
      </c>
      <c r="G170" s="17" t="s">
        <v>326</v>
      </c>
      <c r="H170" s="30">
        <v>-58255</v>
      </c>
      <c r="I170" s="30">
        <v>-36660</v>
      </c>
      <c r="J170" s="30">
        <v>-50000</v>
      </c>
      <c r="K170" s="30">
        <v>-48000</v>
      </c>
      <c r="L170" s="30">
        <v>-60000</v>
      </c>
      <c r="M170" s="31">
        <f t="shared" si="10"/>
        <v>-13340</v>
      </c>
      <c r="N170" s="32">
        <f t="shared" si="11"/>
        <v>-0.36388434260774688</v>
      </c>
      <c r="O170" s="6" t="str">
        <f>IF(ABS(M170)&lt;Overview!$B$6,"OK",IF(I170=0,"REVIEW (zero base)",IF(ABS(M170/ABS(I170))&gt;=Overview!$B$5,"REVIEW","OK")))</f>
        <v>OK</v>
      </c>
      <c r="P170" s="31">
        <f t="shared" si="12"/>
        <v>2000</v>
      </c>
      <c r="Q170" s="32">
        <f t="shared" si="13"/>
        <v>0.04</v>
      </c>
      <c r="R170" s="6" t="str">
        <f>IF(ABS(P170)&lt;Overview!$B$6,"OK",IF(J170=0,"REVIEW (zero base)",IF(ABS(P170/ABS(J170))&gt;=Overview!$B$5,"REVIEW","OK")))</f>
        <v>OK</v>
      </c>
      <c r="S170" s="33">
        <f t="shared" si="14"/>
        <v>0</v>
      </c>
    </row>
    <row r="171" spans="1:19" x14ac:dyDescent="0.2">
      <c r="A171" s="17">
        <v>169</v>
      </c>
      <c r="B171" s="17" t="s">
        <v>171</v>
      </c>
      <c r="C171" s="17" t="s">
        <v>172</v>
      </c>
      <c r="D171" s="17" t="s">
        <v>55</v>
      </c>
      <c r="E171" s="17" t="s">
        <v>79</v>
      </c>
      <c r="F171" s="17" t="s">
        <v>189</v>
      </c>
      <c r="G171" s="17" t="s">
        <v>327</v>
      </c>
      <c r="H171" s="30">
        <v>-56230</v>
      </c>
      <c r="I171" s="30">
        <v>-23700</v>
      </c>
      <c r="J171" s="30">
        <v>-50000</v>
      </c>
      <c r="K171" s="30">
        <v>-33500</v>
      </c>
      <c r="L171" s="30">
        <v>-80000</v>
      </c>
      <c r="M171" s="31">
        <f t="shared" si="10"/>
        <v>-26300</v>
      </c>
      <c r="N171" s="32">
        <f t="shared" si="11"/>
        <v>-1.109704641350211</v>
      </c>
      <c r="O171" s="6" t="str">
        <f>IF(ABS(M171)&lt;Overview!$B$6,"OK",IF(I171=0,"REVIEW (zero base)",IF(ABS(M171/ABS(I171))&gt;=Overview!$B$5,"REVIEW","OK")))</f>
        <v>OK</v>
      </c>
      <c r="P171" s="31">
        <f t="shared" si="12"/>
        <v>16500</v>
      </c>
      <c r="Q171" s="32">
        <f t="shared" si="13"/>
        <v>0.33</v>
      </c>
      <c r="R171" s="6" t="str">
        <f>IF(ABS(P171)&lt;Overview!$B$6,"OK",IF(J171=0,"REVIEW (zero base)",IF(ABS(P171/ABS(J171))&gt;=Overview!$B$5,"REVIEW","OK")))</f>
        <v>OK</v>
      </c>
      <c r="S171" s="33">
        <f t="shared" si="14"/>
        <v>0</v>
      </c>
    </row>
    <row r="172" spans="1:19" x14ac:dyDescent="0.2">
      <c r="A172" s="17">
        <v>170</v>
      </c>
      <c r="B172" s="17" t="s">
        <v>171</v>
      </c>
      <c r="C172" s="17" t="s">
        <v>172</v>
      </c>
      <c r="D172" s="17" t="s">
        <v>55</v>
      </c>
      <c r="E172" s="17" t="s">
        <v>79</v>
      </c>
      <c r="F172" s="17" t="s">
        <v>204</v>
      </c>
      <c r="G172" s="17" t="s">
        <v>205</v>
      </c>
      <c r="H172" s="30">
        <v>-9828</v>
      </c>
      <c r="I172" s="30">
        <v>-8784</v>
      </c>
      <c r="J172" s="30">
        <v>-9000</v>
      </c>
      <c r="K172" s="30">
        <v>-8000</v>
      </c>
      <c r="L172" s="30">
        <v>0</v>
      </c>
      <c r="M172" s="31">
        <f t="shared" si="10"/>
        <v>-216</v>
      </c>
      <c r="N172" s="32">
        <f t="shared" si="11"/>
        <v>-2.4590163934426229E-2</v>
      </c>
      <c r="O172" s="6" t="str">
        <f>IF(ABS(M172)&lt;Overview!$B$6,"OK",IF(I172=0,"REVIEW (zero base)",IF(ABS(M172/ABS(I172))&gt;=Overview!$B$5,"REVIEW","OK")))</f>
        <v>OK</v>
      </c>
      <c r="P172" s="31">
        <f t="shared" si="12"/>
        <v>1000</v>
      </c>
      <c r="Q172" s="32">
        <f t="shared" si="13"/>
        <v>0.1111111111111111</v>
      </c>
      <c r="R172" s="6" t="str">
        <f>IF(ABS(P172)&lt;Overview!$B$6,"OK",IF(J172=0,"REVIEW (zero base)",IF(ABS(P172/ABS(J172))&gt;=Overview!$B$5,"REVIEW","OK")))</f>
        <v>OK</v>
      </c>
      <c r="S172" s="33">
        <f t="shared" si="14"/>
        <v>0</v>
      </c>
    </row>
    <row r="173" spans="1:19" x14ac:dyDescent="0.2">
      <c r="A173" s="17">
        <v>171</v>
      </c>
      <c r="B173" s="17" t="s">
        <v>171</v>
      </c>
      <c r="C173" s="17" t="s">
        <v>172</v>
      </c>
      <c r="D173" s="17" t="s">
        <v>55</v>
      </c>
      <c r="E173" s="17" t="s">
        <v>83</v>
      </c>
      <c r="F173" s="17" t="s">
        <v>189</v>
      </c>
      <c r="G173" s="17" t="s">
        <v>228</v>
      </c>
      <c r="H173" s="30">
        <v>-805799</v>
      </c>
      <c r="I173" s="30">
        <v>-712062</v>
      </c>
      <c r="J173" s="30">
        <v>-794532</v>
      </c>
      <c r="K173" s="30">
        <v>-725000</v>
      </c>
      <c r="L173" s="30">
        <v>-725000</v>
      </c>
      <c r="M173" s="31">
        <f t="shared" si="10"/>
        <v>-82470</v>
      </c>
      <c r="N173" s="32">
        <f t="shared" si="11"/>
        <v>-0.11581856636079442</v>
      </c>
      <c r="O173" s="6" t="str">
        <f>IF(ABS(M173)&lt;Overview!$B$6,"OK",IF(I173=0,"REVIEW (zero base)",IF(ABS(M173/ABS(I173))&gt;=Overview!$B$5,"REVIEW","OK")))</f>
        <v>OK</v>
      </c>
      <c r="P173" s="31">
        <f t="shared" si="12"/>
        <v>69532</v>
      </c>
      <c r="Q173" s="32">
        <f t="shared" si="13"/>
        <v>8.7513152396630975E-2</v>
      </c>
      <c r="R173" s="6" t="str">
        <f>IF(ABS(P173)&lt;Overview!$B$6,"OK",IF(J173=0,"REVIEW (zero base)",IF(ABS(P173/ABS(J173))&gt;=Overview!$B$5,"REVIEW","OK")))</f>
        <v>OK</v>
      </c>
      <c r="S173" s="33">
        <f t="shared" si="14"/>
        <v>0</v>
      </c>
    </row>
    <row r="174" spans="1:19" x14ac:dyDescent="0.2">
      <c r="A174" s="17">
        <v>172</v>
      </c>
      <c r="B174" s="17" t="s">
        <v>171</v>
      </c>
      <c r="C174" s="17" t="s">
        <v>172</v>
      </c>
      <c r="D174" s="17" t="s">
        <v>55</v>
      </c>
      <c r="E174" s="17" t="s">
        <v>83</v>
      </c>
      <c r="F174" s="17" t="s">
        <v>204</v>
      </c>
      <c r="G174" s="17" t="s">
        <v>328</v>
      </c>
      <c r="H174" s="30">
        <v>-6657</v>
      </c>
      <c r="I174" s="30">
        <v>-5799</v>
      </c>
      <c r="J174" s="30">
        <v>-6000</v>
      </c>
      <c r="K174" s="30">
        <v>-6800</v>
      </c>
      <c r="L174" s="30">
        <v>-7000</v>
      </c>
      <c r="M174" s="31">
        <f t="shared" si="10"/>
        <v>-201</v>
      </c>
      <c r="N174" s="32">
        <f t="shared" si="11"/>
        <v>-3.4661148473874803E-2</v>
      </c>
      <c r="O174" s="6" t="str">
        <f>IF(ABS(M174)&lt;Overview!$B$6,"OK",IF(I174=0,"REVIEW (zero base)",IF(ABS(M174/ABS(I174))&gt;=Overview!$B$5,"REVIEW","OK")))</f>
        <v>OK</v>
      </c>
      <c r="P174" s="31">
        <f t="shared" si="12"/>
        <v>-800</v>
      </c>
      <c r="Q174" s="32">
        <f t="shared" si="13"/>
        <v>-0.13333333333333333</v>
      </c>
      <c r="R174" s="6" t="str">
        <f>IF(ABS(P174)&lt;Overview!$B$6,"OK",IF(J174=0,"REVIEW (zero base)",IF(ABS(P174/ABS(J174))&gt;=Overview!$B$5,"REVIEW","OK")))</f>
        <v>OK</v>
      </c>
      <c r="S174" s="33">
        <f t="shared" si="14"/>
        <v>0</v>
      </c>
    </row>
    <row r="175" spans="1:19" x14ac:dyDescent="0.2">
      <c r="A175" s="17">
        <v>173</v>
      </c>
      <c r="B175" s="17" t="s">
        <v>171</v>
      </c>
      <c r="C175" s="17" t="s">
        <v>172</v>
      </c>
      <c r="D175" s="17" t="s">
        <v>55</v>
      </c>
      <c r="E175" s="17" t="s">
        <v>123</v>
      </c>
      <c r="F175" s="17" t="s">
        <v>187</v>
      </c>
      <c r="G175" s="17" t="s">
        <v>188</v>
      </c>
      <c r="H175" s="30">
        <v>-3675</v>
      </c>
      <c r="I175" s="30">
        <v>-60817</v>
      </c>
      <c r="J175" s="30">
        <v>-4000</v>
      </c>
      <c r="K175" s="30">
        <v>-4000</v>
      </c>
      <c r="L175" s="30">
        <v>0</v>
      </c>
      <c r="M175" s="31">
        <f t="shared" si="10"/>
        <v>56817</v>
      </c>
      <c r="N175" s="32">
        <f t="shared" si="11"/>
        <v>0.93422891625696758</v>
      </c>
      <c r="O175" s="6" t="str">
        <f>IF(ABS(M175)&lt;Overview!$B$6,"OK",IF(I175=0,"REVIEW (zero base)",IF(ABS(M175/ABS(I175))&gt;=Overview!$B$5,"REVIEW","OK")))</f>
        <v>OK</v>
      </c>
      <c r="P175" s="31">
        <f t="shared" si="12"/>
        <v>0</v>
      </c>
      <c r="Q175" s="32">
        <f t="shared" si="13"/>
        <v>0</v>
      </c>
      <c r="R175" s="6" t="str">
        <f>IF(ABS(P175)&lt;Overview!$B$6,"OK",IF(J175=0,"REVIEW (zero base)",IF(ABS(P175/ABS(J175))&gt;=Overview!$B$5,"REVIEW","OK")))</f>
        <v>OK</v>
      </c>
      <c r="S175" s="33">
        <f t="shared" si="14"/>
        <v>0</v>
      </c>
    </row>
    <row r="176" spans="1:19" x14ac:dyDescent="0.2">
      <c r="A176" s="17">
        <v>174</v>
      </c>
      <c r="B176" s="17" t="s">
        <v>171</v>
      </c>
      <c r="C176" s="17" t="s">
        <v>172</v>
      </c>
      <c r="D176" s="17" t="s">
        <v>55</v>
      </c>
      <c r="E176" s="17" t="s">
        <v>123</v>
      </c>
      <c r="F176" s="17" t="s">
        <v>204</v>
      </c>
      <c r="G176" s="17" t="s">
        <v>205</v>
      </c>
      <c r="H176" s="30">
        <v>0</v>
      </c>
      <c r="I176" s="30">
        <v>-200</v>
      </c>
      <c r="J176" s="30">
        <v>-500</v>
      </c>
      <c r="K176" s="30">
        <v>0</v>
      </c>
      <c r="L176" s="30">
        <v>0</v>
      </c>
      <c r="M176" s="31">
        <f t="shared" si="10"/>
        <v>-300</v>
      </c>
      <c r="N176" s="32">
        <f t="shared" si="11"/>
        <v>-1.5</v>
      </c>
      <c r="O176" s="6" t="str">
        <f>IF(ABS(M176)&lt;Overview!$B$6,"OK",IF(I176=0,"REVIEW (zero base)",IF(ABS(M176/ABS(I176))&gt;=Overview!$B$5,"REVIEW","OK")))</f>
        <v>OK</v>
      </c>
      <c r="P176" s="31">
        <f t="shared" si="12"/>
        <v>500</v>
      </c>
      <c r="Q176" s="32">
        <f t="shared" si="13"/>
        <v>1</v>
      </c>
      <c r="R176" s="6" t="str">
        <f>IF(ABS(P176)&lt;Overview!$B$6,"OK",IF(J176=0,"REVIEW (zero base)",IF(ABS(P176/ABS(J176))&gt;=Overview!$B$5,"REVIEW","OK")))</f>
        <v>OK</v>
      </c>
      <c r="S176" s="33">
        <f t="shared" si="14"/>
        <v>0</v>
      </c>
    </row>
    <row r="177" spans="1:19" x14ac:dyDescent="0.2">
      <c r="A177" s="17">
        <v>175</v>
      </c>
      <c r="B177" s="17" t="s">
        <v>171</v>
      </c>
      <c r="C177" s="17" t="s">
        <v>172</v>
      </c>
      <c r="D177" s="17" t="s">
        <v>55</v>
      </c>
      <c r="E177" s="17" t="s">
        <v>123</v>
      </c>
      <c r="F177" s="17" t="s">
        <v>207</v>
      </c>
      <c r="G177" s="17" t="s">
        <v>329</v>
      </c>
      <c r="H177" s="30">
        <v>-179282</v>
      </c>
      <c r="I177" s="30">
        <v>-149190</v>
      </c>
      <c r="J177" s="30">
        <v>-225000</v>
      </c>
      <c r="K177" s="30">
        <v>-225000</v>
      </c>
      <c r="L177" s="30">
        <v>-225000</v>
      </c>
      <c r="M177" s="31">
        <f t="shared" si="10"/>
        <v>-75810</v>
      </c>
      <c r="N177" s="32">
        <f t="shared" si="11"/>
        <v>-0.50814397747838325</v>
      </c>
      <c r="O177" s="6" t="str">
        <f>IF(ABS(M177)&lt;Overview!$B$6,"OK",IF(I177=0,"REVIEW (zero base)",IF(ABS(M177/ABS(I177))&gt;=Overview!$B$5,"REVIEW","OK")))</f>
        <v>OK</v>
      </c>
      <c r="P177" s="31">
        <f t="shared" si="12"/>
        <v>0</v>
      </c>
      <c r="Q177" s="32">
        <f t="shared" si="13"/>
        <v>0</v>
      </c>
      <c r="R177" s="6" t="str">
        <f>IF(ABS(P177)&lt;Overview!$B$6,"OK",IF(J177=0,"REVIEW (zero base)",IF(ABS(P177/ABS(J177))&gt;=Overview!$B$5,"REVIEW","OK")))</f>
        <v>OK</v>
      </c>
      <c r="S177" s="33">
        <f t="shared" si="14"/>
        <v>0</v>
      </c>
    </row>
    <row r="178" spans="1:19" x14ac:dyDescent="0.2">
      <c r="A178" s="17">
        <v>176</v>
      </c>
      <c r="B178" s="17" t="s">
        <v>171</v>
      </c>
      <c r="C178" s="17" t="s">
        <v>172</v>
      </c>
      <c r="D178" s="17" t="s">
        <v>69</v>
      </c>
      <c r="E178" s="17" t="s">
        <v>95</v>
      </c>
      <c r="F178" s="17" t="s">
        <v>189</v>
      </c>
      <c r="G178" s="17" t="s">
        <v>330</v>
      </c>
      <c r="H178" s="30">
        <v>0</v>
      </c>
      <c r="I178" s="30">
        <v>-22</v>
      </c>
      <c r="J178" s="30">
        <v>0</v>
      </c>
      <c r="K178" s="30">
        <v>0</v>
      </c>
      <c r="L178" s="30">
        <v>0</v>
      </c>
      <c r="M178" s="31">
        <f t="shared" si="10"/>
        <v>22</v>
      </c>
      <c r="N178" s="32">
        <f t="shared" si="11"/>
        <v>1</v>
      </c>
      <c r="O178" s="6" t="str">
        <f>IF(ABS(M178)&lt;Overview!$B$6,"OK",IF(I178=0,"REVIEW (zero base)",IF(ABS(M178/ABS(I178))&gt;=Overview!$B$5,"REVIEW","OK")))</f>
        <v>OK</v>
      </c>
      <c r="P178" s="31">
        <f t="shared" si="12"/>
        <v>0</v>
      </c>
      <c r="Q178" s="32" t="str">
        <f t="shared" si="13"/>
        <v>n/a</v>
      </c>
      <c r="R178" s="6" t="str">
        <f>IF(ABS(P178)&lt;Overview!$B$6,"OK",IF(J178=0,"REVIEW (zero base)",IF(ABS(P178/ABS(J178))&gt;=Overview!$B$5,"REVIEW","OK")))</f>
        <v>OK</v>
      </c>
      <c r="S178" s="33">
        <f t="shared" si="14"/>
        <v>0</v>
      </c>
    </row>
    <row r="179" spans="1:19" x14ac:dyDescent="0.2">
      <c r="A179" s="17">
        <v>177</v>
      </c>
      <c r="B179" s="17" t="s">
        <v>171</v>
      </c>
      <c r="C179" s="17" t="s">
        <v>172</v>
      </c>
      <c r="D179" s="17" t="s">
        <v>69</v>
      </c>
      <c r="E179" s="17" t="s">
        <v>95</v>
      </c>
      <c r="F179" s="17" t="s">
        <v>204</v>
      </c>
      <c r="G179" s="17" t="s">
        <v>205</v>
      </c>
      <c r="H179" s="30">
        <v>-495</v>
      </c>
      <c r="I179" s="30">
        <v>-1911</v>
      </c>
      <c r="J179" s="30">
        <v>0</v>
      </c>
      <c r="K179" s="30">
        <v>0</v>
      </c>
      <c r="L179" s="30">
        <v>0</v>
      </c>
      <c r="M179" s="31">
        <f t="shared" si="10"/>
        <v>1911</v>
      </c>
      <c r="N179" s="32">
        <f t="shared" si="11"/>
        <v>1</v>
      </c>
      <c r="O179" s="6" t="str">
        <f>IF(ABS(M179)&lt;Overview!$B$6,"OK",IF(I179=0,"REVIEW (zero base)",IF(ABS(M179/ABS(I179))&gt;=Overview!$B$5,"REVIEW","OK")))</f>
        <v>OK</v>
      </c>
      <c r="P179" s="31">
        <f t="shared" si="12"/>
        <v>0</v>
      </c>
      <c r="Q179" s="32" t="str">
        <f t="shared" si="13"/>
        <v>n/a</v>
      </c>
      <c r="R179" s="6" t="str">
        <f>IF(ABS(P179)&lt;Overview!$B$6,"OK",IF(J179=0,"REVIEW (zero base)",IF(ABS(P179/ABS(J179))&gt;=Overview!$B$5,"REVIEW","OK")))</f>
        <v>OK</v>
      </c>
      <c r="S179" s="33">
        <f t="shared" si="14"/>
        <v>0</v>
      </c>
    </row>
    <row r="180" spans="1:19" x14ac:dyDescent="0.2">
      <c r="A180" s="17">
        <v>178</v>
      </c>
      <c r="B180" s="17" t="s">
        <v>171</v>
      </c>
      <c r="C180" s="17" t="s">
        <v>172</v>
      </c>
      <c r="D180" s="17" t="s">
        <v>64</v>
      </c>
      <c r="E180" s="17" t="s">
        <v>90</v>
      </c>
      <c r="F180" s="17" t="s">
        <v>204</v>
      </c>
      <c r="G180" s="17" t="s">
        <v>205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1">
        <f t="shared" si="10"/>
        <v>0</v>
      </c>
      <c r="N180" s="32" t="str">
        <f t="shared" si="11"/>
        <v>n/a</v>
      </c>
      <c r="O180" s="6" t="str">
        <f>IF(ABS(M180)&lt;Overview!$B$6,"OK",IF(I180=0,"REVIEW (zero base)",IF(ABS(M180/ABS(I180))&gt;=Overview!$B$5,"REVIEW","OK")))</f>
        <v>OK</v>
      </c>
      <c r="P180" s="31">
        <f t="shared" si="12"/>
        <v>0</v>
      </c>
      <c r="Q180" s="32" t="str">
        <f t="shared" si="13"/>
        <v>n/a</v>
      </c>
      <c r="R180" s="6" t="str">
        <f>IF(ABS(P180)&lt;Overview!$B$6,"OK",IF(J180=0,"REVIEW (zero base)",IF(ABS(P180/ABS(J180))&gt;=Overview!$B$5,"REVIEW","OK")))</f>
        <v>OK</v>
      </c>
      <c r="S180" s="33">
        <f t="shared" si="14"/>
        <v>0</v>
      </c>
    </row>
    <row r="181" spans="1:19" x14ac:dyDescent="0.2">
      <c r="A181" s="17">
        <v>179</v>
      </c>
      <c r="B181" s="17" t="s">
        <v>171</v>
      </c>
      <c r="C181" s="17" t="s">
        <v>172</v>
      </c>
      <c r="D181" s="17" t="s">
        <v>59</v>
      </c>
      <c r="E181" s="17" t="s">
        <v>109</v>
      </c>
      <c r="F181" s="17" t="s">
        <v>204</v>
      </c>
      <c r="G181" s="17" t="s">
        <v>205</v>
      </c>
      <c r="H181" s="30">
        <v>-16311</v>
      </c>
      <c r="I181" s="30">
        <v>-14865</v>
      </c>
      <c r="J181" s="30">
        <v>0</v>
      </c>
      <c r="K181" s="30">
        <v>-14000</v>
      </c>
      <c r="L181" s="30">
        <v>0</v>
      </c>
      <c r="M181" s="31">
        <f t="shared" si="10"/>
        <v>14865</v>
      </c>
      <c r="N181" s="32">
        <f t="shared" si="11"/>
        <v>1</v>
      </c>
      <c r="O181" s="6" t="str">
        <f>IF(ABS(M181)&lt;Overview!$B$6,"OK",IF(I181=0,"REVIEW (zero base)",IF(ABS(M181/ABS(I181))&gt;=Overview!$B$5,"REVIEW","OK")))</f>
        <v>OK</v>
      </c>
      <c r="P181" s="31">
        <f t="shared" si="12"/>
        <v>-14000</v>
      </c>
      <c r="Q181" s="32" t="str">
        <f t="shared" si="13"/>
        <v>n/a</v>
      </c>
      <c r="R181" s="6" t="str">
        <f>IF(ABS(P181)&lt;Overview!$B$6,"OK",IF(J181=0,"REVIEW (zero base)",IF(ABS(P181/ABS(J181))&gt;=Overview!$B$5,"REVIEW","OK")))</f>
        <v>OK</v>
      </c>
      <c r="S181" s="33">
        <f t="shared" si="14"/>
        <v>0</v>
      </c>
    </row>
    <row r="182" spans="1:19" x14ac:dyDescent="0.2">
      <c r="A182" s="17">
        <v>180</v>
      </c>
      <c r="B182" s="17" t="s">
        <v>171</v>
      </c>
      <c r="C182" s="17" t="s">
        <v>172</v>
      </c>
      <c r="D182" s="17" t="s">
        <v>59</v>
      </c>
      <c r="E182" s="17" t="s">
        <v>96</v>
      </c>
      <c r="F182" s="17" t="s">
        <v>189</v>
      </c>
      <c r="G182" s="17" t="s">
        <v>331</v>
      </c>
      <c r="H182" s="30">
        <v>-326208</v>
      </c>
      <c r="I182" s="30">
        <v>-208211</v>
      </c>
      <c r="J182" s="30">
        <v>-360000</v>
      </c>
      <c r="K182" s="30">
        <v>-390000</v>
      </c>
      <c r="L182" s="30">
        <v>-360000</v>
      </c>
      <c r="M182" s="31">
        <f t="shared" si="10"/>
        <v>-151789</v>
      </c>
      <c r="N182" s="32">
        <f t="shared" si="11"/>
        <v>-0.7290152777711072</v>
      </c>
      <c r="O182" s="6" t="str">
        <f>IF(ABS(M182)&lt;Overview!$B$6,"OK",IF(I182=0,"REVIEW (zero base)",IF(ABS(M182/ABS(I182))&gt;=Overview!$B$5,"REVIEW","OK")))</f>
        <v>OK</v>
      </c>
      <c r="P182" s="31">
        <f t="shared" si="12"/>
        <v>-30000</v>
      </c>
      <c r="Q182" s="32">
        <f t="shared" si="13"/>
        <v>-8.3333333333333329E-2</v>
      </c>
      <c r="R182" s="6" t="str">
        <f>IF(ABS(P182)&lt;Overview!$B$6,"OK",IF(J182=0,"REVIEW (zero base)",IF(ABS(P182/ABS(J182))&gt;=Overview!$B$5,"REVIEW","OK")))</f>
        <v>OK</v>
      </c>
      <c r="S182" s="33">
        <f t="shared" si="14"/>
        <v>0</v>
      </c>
    </row>
    <row r="183" spans="1:19" x14ac:dyDescent="0.2">
      <c r="A183" s="17">
        <v>181</v>
      </c>
      <c r="B183" s="17" t="s">
        <v>171</v>
      </c>
      <c r="C183" s="17" t="s">
        <v>172</v>
      </c>
      <c r="D183" s="17" t="s">
        <v>59</v>
      </c>
      <c r="E183" s="17" t="s">
        <v>96</v>
      </c>
      <c r="F183" s="17" t="s">
        <v>189</v>
      </c>
      <c r="G183" s="17" t="s">
        <v>332</v>
      </c>
      <c r="H183" s="30">
        <v>-136951</v>
      </c>
      <c r="I183" s="30">
        <v>-142261</v>
      </c>
      <c r="J183" s="30">
        <v>-154008</v>
      </c>
      <c r="K183" s="30">
        <v>-154008</v>
      </c>
      <c r="L183" s="30">
        <v>-140000</v>
      </c>
      <c r="M183" s="31">
        <f t="shared" si="10"/>
        <v>-11747</v>
      </c>
      <c r="N183" s="32">
        <f t="shared" si="11"/>
        <v>-8.2573579547451509E-2</v>
      </c>
      <c r="O183" s="6" t="str">
        <f>IF(ABS(M183)&lt;Overview!$B$6,"OK",IF(I183=0,"REVIEW (zero base)",IF(ABS(M183/ABS(I183))&gt;=Overview!$B$5,"REVIEW","OK")))</f>
        <v>OK</v>
      </c>
      <c r="P183" s="31">
        <f t="shared" si="12"/>
        <v>0</v>
      </c>
      <c r="Q183" s="32">
        <f t="shared" si="13"/>
        <v>0</v>
      </c>
      <c r="R183" s="6" t="str">
        <f>IF(ABS(P183)&lt;Overview!$B$6,"OK",IF(J183=0,"REVIEW (zero base)",IF(ABS(P183/ABS(J183))&gt;=Overview!$B$5,"REVIEW","OK")))</f>
        <v>OK</v>
      </c>
      <c r="S183" s="33">
        <f t="shared" si="14"/>
        <v>0</v>
      </c>
    </row>
    <row r="184" spans="1:19" x14ac:dyDescent="0.2">
      <c r="A184" s="17">
        <v>182</v>
      </c>
      <c r="B184" s="17" t="s">
        <v>171</v>
      </c>
      <c r="C184" s="17" t="s">
        <v>172</v>
      </c>
      <c r="D184" s="17" t="s">
        <v>59</v>
      </c>
      <c r="E184" s="17" t="s">
        <v>96</v>
      </c>
      <c r="F184" s="17" t="s">
        <v>204</v>
      </c>
      <c r="G184" s="17" t="s">
        <v>205</v>
      </c>
      <c r="H184" s="30">
        <v>0</v>
      </c>
      <c r="I184" s="30">
        <v>-85</v>
      </c>
      <c r="J184" s="30">
        <v>0</v>
      </c>
      <c r="K184" s="30">
        <v>0</v>
      </c>
      <c r="L184" s="30">
        <v>0</v>
      </c>
      <c r="M184" s="31">
        <f t="shared" si="10"/>
        <v>85</v>
      </c>
      <c r="N184" s="32">
        <f t="shared" si="11"/>
        <v>1</v>
      </c>
      <c r="O184" s="6" t="str">
        <f>IF(ABS(M184)&lt;Overview!$B$6,"OK",IF(I184=0,"REVIEW (zero base)",IF(ABS(M184/ABS(I184))&gt;=Overview!$B$5,"REVIEW","OK")))</f>
        <v>OK</v>
      </c>
      <c r="P184" s="31">
        <f t="shared" si="12"/>
        <v>0</v>
      </c>
      <c r="Q184" s="32" t="str">
        <f t="shared" si="13"/>
        <v>n/a</v>
      </c>
      <c r="R184" s="6" t="str">
        <f>IF(ABS(P184)&lt;Overview!$B$6,"OK",IF(J184=0,"REVIEW (zero base)",IF(ABS(P184/ABS(J184))&gt;=Overview!$B$5,"REVIEW","OK")))</f>
        <v>OK</v>
      </c>
      <c r="S184" s="33">
        <f t="shared" si="14"/>
        <v>0</v>
      </c>
    </row>
    <row r="185" spans="1:19" x14ac:dyDescent="0.2">
      <c r="A185" s="17">
        <v>183</v>
      </c>
      <c r="B185" s="17" t="s">
        <v>171</v>
      </c>
      <c r="C185" s="17" t="s">
        <v>172</v>
      </c>
      <c r="D185" s="17" t="s">
        <v>59</v>
      </c>
      <c r="E185" s="17" t="s">
        <v>102</v>
      </c>
      <c r="F185" s="17" t="s">
        <v>204</v>
      </c>
      <c r="G185" s="17" t="s">
        <v>205</v>
      </c>
      <c r="H185" s="30">
        <v>0</v>
      </c>
      <c r="I185" s="30">
        <v>0</v>
      </c>
      <c r="J185" s="30">
        <v>0</v>
      </c>
      <c r="K185" s="30">
        <v>-420000</v>
      </c>
      <c r="L185" s="30">
        <v>0</v>
      </c>
      <c r="M185" s="31">
        <f t="shared" si="10"/>
        <v>0</v>
      </c>
      <c r="N185" s="32" t="str">
        <f t="shared" si="11"/>
        <v>n/a</v>
      </c>
      <c r="O185" s="6" t="str">
        <f>IF(ABS(M185)&lt;Overview!$B$6,"OK",IF(I185=0,"REVIEW (zero base)",IF(ABS(M185/ABS(I185))&gt;=Overview!$B$5,"REVIEW","OK")))</f>
        <v>OK</v>
      </c>
      <c r="P185" s="31">
        <f t="shared" si="12"/>
        <v>-420000</v>
      </c>
      <c r="Q185" s="32" t="str">
        <f t="shared" si="13"/>
        <v>n/a</v>
      </c>
      <c r="R185" s="6" t="str">
        <f>IF(ABS(P185)&lt;Overview!$B$6,"OK",IF(J185=0,"REVIEW (zero base)",IF(ABS(P185/ABS(J185))&gt;=Overview!$B$5,"REVIEW","OK")))</f>
        <v>REVIEW (zero base)</v>
      </c>
      <c r="S185" s="33">
        <f t="shared" si="14"/>
        <v>0</v>
      </c>
    </row>
    <row r="186" spans="1:19" x14ac:dyDescent="0.2">
      <c r="A186" s="17">
        <v>184</v>
      </c>
      <c r="B186" s="17" t="s">
        <v>171</v>
      </c>
      <c r="C186" s="17" t="s">
        <v>172</v>
      </c>
      <c r="D186" s="17" t="s">
        <v>59</v>
      </c>
      <c r="E186" s="17" t="s">
        <v>133</v>
      </c>
      <c r="F186" s="17" t="s">
        <v>189</v>
      </c>
      <c r="G186" s="17" t="s">
        <v>229</v>
      </c>
      <c r="H186" s="30">
        <v>-8</v>
      </c>
      <c r="I186" s="30">
        <v>-15</v>
      </c>
      <c r="J186" s="30">
        <v>0</v>
      </c>
      <c r="K186" s="30">
        <v>0</v>
      </c>
      <c r="L186" s="30">
        <v>0</v>
      </c>
      <c r="M186" s="31">
        <f t="shared" si="10"/>
        <v>15</v>
      </c>
      <c r="N186" s="32">
        <f t="shared" si="11"/>
        <v>1</v>
      </c>
      <c r="O186" s="6" t="str">
        <f>IF(ABS(M186)&lt;Overview!$B$6,"OK",IF(I186=0,"REVIEW (zero base)",IF(ABS(M186/ABS(I186))&gt;=Overview!$B$5,"REVIEW","OK")))</f>
        <v>OK</v>
      </c>
      <c r="P186" s="31">
        <f t="shared" si="12"/>
        <v>0</v>
      </c>
      <c r="Q186" s="32" t="str">
        <f t="shared" si="13"/>
        <v>n/a</v>
      </c>
      <c r="R186" s="6" t="str">
        <f>IF(ABS(P186)&lt;Overview!$B$6,"OK",IF(J186=0,"REVIEW (zero base)",IF(ABS(P186/ABS(J186))&gt;=Overview!$B$5,"REVIEW","OK")))</f>
        <v>OK</v>
      </c>
      <c r="S186" s="33">
        <f t="shared" si="14"/>
        <v>0</v>
      </c>
    </row>
    <row r="187" spans="1:19" x14ac:dyDescent="0.2">
      <c r="A187" s="17">
        <v>185</v>
      </c>
      <c r="B187" s="17" t="s">
        <v>171</v>
      </c>
      <c r="C187" s="17" t="s">
        <v>172</v>
      </c>
      <c r="D187" s="17" t="s">
        <v>59</v>
      </c>
      <c r="E187" s="17" t="s">
        <v>133</v>
      </c>
      <c r="F187" s="17" t="s">
        <v>189</v>
      </c>
      <c r="G187" s="17" t="s">
        <v>333</v>
      </c>
      <c r="H187" s="30">
        <v>-24496</v>
      </c>
      <c r="I187" s="30">
        <v>-15441</v>
      </c>
      <c r="J187" s="30">
        <v>-22980</v>
      </c>
      <c r="K187" s="30">
        <v>-58800</v>
      </c>
      <c r="L187" s="30">
        <v>0</v>
      </c>
      <c r="M187" s="31">
        <f t="shared" si="10"/>
        <v>-7539</v>
      </c>
      <c r="N187" s="32">
        <f t="shared" si="11"/>
        <v>-0.48824557994948514</v>
      </c>
      <c r="O187" s="6" t="str">
        <f>IF(ABS(M187)&lt;Overview!$B$6,"OK",IF(I187=0,"REVIEW (zero base)",IF(ABS(M187/ABS(I187))&gt;=Overview!$B$5,"REVIEW","OK")))</f>
        <v>OK</v>
      </c>
      <c r="P187" s="31">
        <f t="shared" si="12"/>
        <v>-35820</v>
      </c>
      <c r="Q187" s="32">
        <f t="shared" si="13"/>
        <v>-1.5587467362924281</v>
      </c>
      <c r="R187" s="6" t="str">
        <f>IF(ABS(P187)&lt;Overview!$B$6,"OK",IF(J187=0,"REVIEW (zero base)",IF(ABS(P187/ABS(J187))&gt;=Overview!$B$5,"REVIEW","OK")))</f>
        <v>OK</v>
      </c>
      <c r="S187" s="33">
        <f t="shared" si="14"/>
        <v>0</v>
      </c>
    </row>
    <row r="188" spans="1:19" x14ac:dyDescent="0.2">
      <c r="A188" s="17">
        <v>186</v>
      </c>
      <c r="B188" s="17" t="s">
        <v>171</v>
      </c>
      <c r="C188" s="17" t="s">
        <v>172</v>
      </c>
      <c r="D188" s="17" t="s">
        <v>59</v>
      </c>
      <c r="E188" s="17" t="s">
        <v>133</v>
      </c>
      <c r="F188" s="17" t="s">
        <v>189</v>
      </c>
      <c r="G188" s="17" t="s">
        <v>334</v>
      </c>
      <c r="H188" s="30">
        <v>-19150</v>
      </c>
      <c r="I188" s="30">
        <v>0</v>
      </c>
      <c r="J188" s="30">
        <v>0</v>
      </c>
      <c r="K188" s="30">
        <v>0</v>
      </c>
      <c r="L188" s="30">
        <v>0</v>
      </c>
      <c r="M188" s="31">
        <f t="shared" si="10"/>
        <v>0</v>
      </c>
      <c r="N188" s="32" t="str">
        <f t="shared" si="11"/>
        <v>n/a</v>
      </c>
      <c r="O188" s="6" t="str">
        <f>IF(ABS(M188)&lt;Overview!$B$6,"OK",IF(I188=0,"REVIEW (zero base)",IF(ABS(M188/ABS(I188))&gt;=Overview!$B$5,"REVIEW","OK")))</f>
        <v>OK</v>
      </c>
      <c r="P188" s="31">
        <f t="shared" si="12"/>
        <v>0</v>
      </c>
      <c r="Q188" s="32" t="str">
        <f t="shared" si="13"/>
        <v>n/a</v>
      </c>
      <c r="R188" s="6" t="str">
        <f>IF(ABS(P188)&lt;Overview!$B$6,"OK",IF(J188=0,"REVIEW (zero base)",IF(ABS(P188/ABS(J188))&gt;=Overview!$B$5,"REVIEW","OK")))</f>
        <v>OK</v>
      </c>
      <c r="S188" s="33">
        <f t="shared" si="14"/>
        <v>0</v>
      </c>
    </row>
    <row r="189" spans="1:19" x14ac:dyDescent="0.2">
      <c r="A189" s="17">
        <v>187</v>
      </c>
      <c r="B189" s="17" t="s">
        <v>171</v>
      </c>
      <c r="C189" s="17" t="s">
        <v>172</v>
      </c>
      <c r="D189" s="17" t="s">
        <v>59</v>
      </c>
      <c r="E189" s="17" t="s">
        <v>133</v>
      </c>
      <c r="F189" s="17" t="s">
        <v>189</v>
      </c>
      <c r="G189" s="17" t="s">
        <v>335</v>
      </c>
      <c r="H189" s="30">
        <v>-1146927</v>
      </c>
      <c r="I189" s="30">
        <v>-1188384</v>
      </c>
      <c r="J189" s="30">
        <v>-1568000</v>
      </c>
      <c r="K189" s="30">
        <v>-1568000</v>
      </c>
      <c r="L189" s="30">
        <v>-1568000</v>
      </c>
      <c r="M189" s="31">
        <f t="shared" si="10"/>
        <v>-379616</v>
      </c>
      <c r="N189" s="32">
        <f t="shared" si="11"/>
        <v>-0.31943883458545386</v>
      </c>
      <c r="O189" s="6" t="str">
        <f>IF(ABS(M189)&lt;Overview!$B$6,"OK",IF(I189=0,"REVIEW (zero base)",IF(ABS(M189/ABS(I189))&gt;=Overview!$B$5,"REVIEW","OK")))</f>
        <v>REVIEW</v>
      </c>
      <c r="P189" s="31">
        <f t="shared" si="12"/>
        <v>0</v>
      </c>
      <c r="Q189" s="32">
        <f t="shared" si="13"/>
        <v>0</v>
      </c>
      <c r="R189" s="6" t="str">
        <f>IF(ABS(P189)&lt;Overview!$B$6,"OK",IF(J189=0,"REVIEW (zero base)",IF(ABS(P189/ABS(J189))&gt;=Overview!$B$5,"REVIEW","OK")))</f>
        <v>OK</v>
      </c>
      <c r="S189" s="33">
        <f t="shared" si="14"/>
        <v>0</v>
      </c>
    </row>
    <row r="190" spans="1:19" x14ac:dyDescent="0.2">
      <c r="A190" s="17">
        <v>188</v>
      </c>
      <c r="B190" s="17" t="s">
        <v>171</v>
      </c>
      <c r="C190" s="17" t="s">
        <v>172</v>
      </c>
      <c r="D190" s="17" t="s">
        <v>59</v>
      </c>
      <c r="E190" s="17" t="s">
        <v>133</v>
      </c>
      <c r="F190" s="17" t="s">
        <v>189</v>
      </c>
      <c r="G190" s="17" t="s">
        <v>336</v>
      </c>
      <c r="H190" s="30">
        <v>-5274</v>
      </c>
      <c r="I190" s="30">
        <v>-5083</v>
      </c>
      <c r="J190" s="30">
        <v>-4980</v>
      </c>
      <c r="K190" s="30">
        <v>-3500</v>
      </c>
      <c r="L190" s="30">
        <v>-4008</v>
      </c>
      <c r="M190" s="31">
        <f t="shared" si="10"/>
        <v>103</v>
      </c>
      <c r="N190" s="32">
        <f t="shared" si="11"/>
        <v>2.0263623844186503E-2</v>
      </c>
      <c r="O190" s="6" t="str">
        <f>IF(ABS(M190)&lt;Overview!$B$6,"OK",IF(I190=0,"REVIEW (zero base)",IF(ABS(M190/ABS(I190))&gt;=Overview!$B$5,"REVIEW","OK")))</f>
        <v>OK</v>
      </c>
      <c r="P190" s="31">
        <f t="shared" si="12"/>
        <v>1480</v>
      </c>
      <c r="Q190" s="32">
        <f t="shared" si="13"/>
        <v>0.2971887550200803</v>
      </c>
      <c r="R190" s="6" t="str">
        <f>IF(ABS(P190)&lt;Overview!$B$6,"OK",IF(J190=0,"REVIEW (zero base)",IF(ABS(P190/ABS(J190))&gt;=Overview!$B$5,"REVIEW","OK")))</f>
        <v>OK</v>
      </c>
      <c r="S190" s="33">
        <f t="shared" si="14"/>
        <v>0</v>
      </c>
    </row>
    <row r="191" spans="1:19" x14ac:dyDescent="0.2">
      <c r="A191" s="17">
        <v>189</v>
      </c>
      <c r="B191" s="17" t="s">
        <v>171</v>
      </c>
      <c r="C191" s="17" t="s">
        <v>172</v>
      </c>
      <c r="D191" s="17" t="s">
        <v>59</v>
      </c>
      <c r="E191" s="17" t="s">
        <v>133</v>
      </c>
      <c r="F191" s="17" t="s">
        <v>189</v>
      </c>
      <c r="G191" s="17" t="s">
        <v>303</v>
      </c>
      <c r="H191" s="30">
        <v>-10406</v>
      </c>
      <c r="I191" s="30">
        <v>-12384</v>
      </c>
      <c r="J191" s="30">
        <v>0</v>
      </c>
      <c r="K191" s="30">
        <v>0</v>
      </c>
      <c r="L191" s="30">
        <v>0</v>
      </c>
      <c r="M191" s="31">
        <f t="shared" si="10"/>
        <v>12384</v>
      </c>
      <c r="N191" s="32">
        <f t="shared" si="11"/>
        <v>1</v>
      </c>
      <c r="O191" s="6" t="str">
        <f>IF(ABS(M191)&lt;Overview!$B$6,"OK",IF(I191=0,"REVIEW (zero base)",IF(ABS(M191/ABS(I191))&gt;=Overview!$B$5,"REVIEW","OK")))</f>
        <v>OK</v>
      </c>
      <c r="P191" s="31">
        <f t="shared" si="12"/>
        <v>0</v>
      </c>
      <c r="Q191" s="32" t="str">
        <f t="shared" si="13"/>
        <v>n/a</v>
      </c>
      <c r="R191" s="6" t="str">
        <f>IF(ABS(P191)&lt;Overview!$B$6,"OK",IF(J191=0,"REVIEW (zero base)",IF(ABS(P191/ABS(J191))&gt;=Overview!$B$5,"REVIEW","OK")))</f>
        <v>OK</v>
      </c>
      <c r="S191" s="33">
        <f t="shared" si="14"/>
        <v>0</v>
      </c>
    </row>
    <row r="192" spans="1:19" x14ac:dyDescent="0.2">
      <c r="A192" s="17">
        <v>190</v>
      </c>
      <c r="B192" s="17" t="s">
        <v>171</v>
      </c>
      <c r="C192" s="17" t="s">
        <v>172</v>
      </c>
      <c r="D192" s="17" t="s">
        <v>59</v>
      </c>
      <c r="E192" s="17" t="s">
        <v>133</v>
      </c>
      <c r="F192" s="17" t="s">
        <v>204</v>
      </c>
      <c r="G192" s="17" t="s">
        <v>205</v>
      </c>
      <c r="H192" s="30">
        <v>-9134</v>
      </c>
      <c r="I192" s="30">
        <v>-9111</v>
      </c>
      <c r="J192" s="30">
        <v>-9960</v>
      </c>
      <c r="K192" s="30">
        <v>0</v>
      </c>
      <c r="L192" s="30">
        <v>0</v>
      </c>
      <c r="M192" s="31">
        <f t="shared" si="10"/>
        <v>-849</v>
      </c>
      <c r="N192" s="32">
        <f t="shared" si="11"/>
        <v>-9.3184063220283178E-2</v>
      </c>
      <c r="O192" s="6" t="str">
        <f>IF(ABS(M192)&lt;Overview!$B$6,"OK",IF(I192=0,"REVIEW (zero base)",IF(ABS(M192/ABS(I192))&gt;=Overview!$B$5,"REVIEW","OK")))</f>
        <v>OK</v>
      </c>
      <c r="P192" s="31">
        <f t="shared" si="12"/>
        <v>9960</v>
      </c>
      <c r="Q192" s="32">
        <f t="shared" si="13"/>
        <v>1</v>
      </c>
      <c r="R192" s="6" t="str">
        <f>IF(ABS(P192)&lt;Overview!$B$6,"OK",IF(J192=0,"REVIEW (zero base)",IF(ABS(P192/ABS(J192))&gt;=Overview!$B$5,"REVIEW","OK")))</f>
        <v>OK</v>
      </c>
      <c r="S192" s="33">
        <f t="shared" si="14"/>
        <v>0</v>
      </c>
    </row>
    <row r="193" spans="1:19" x14ac:dyDescent="0.2">
      <c r="A193" s="17">
        <v>191</v>
      </c>
      <c r="B193" s="17" t="s">
        <v>171</v>
      </c>
      <c r="C193" s="17" t="s">
        <v>172</v>
      </c>
      <c r="D193" s="17" t="s">
        <v>59</v>
      </c>
      <c r="E193" s="17" t="s">
        <v>133</v>
      </c>
      <c r="F193" s="17" t="s">
        <v>207</v>
      </c>
      <c r="G193" s="17" t="s">
        <v>337</v>
      </c>
      <c r="H193" s="30">
        <v>-3721154</v>
      </c>
      <c r="I193" s="30">
        <v>-2334090</v>
      </c>
      <c r="J193" s="30">
        <v>-2200000</v>
      </c>
      <c r="K193" s="30">
        <v>-2506350</v>
      </c>
      <c r="L193" s="30">
        <v>-2506350</v>
      </c>
      <c r="M193" s="31">
        <f t="shared" si="10"/>
        <v>134090</v>
      </c>
      <c r="N193" s="32">
        <f t="shared" si="11"/>
        <v>5.7448513125029452E-2</v>
      </c>
      <c r="O193" s="6" t="str">
        <f>IF(ABS(M193)&lt;Overview!$B$6,"OK",IF(I193=0,"REVIEW (zero base)",IF(ABS(M193/ABS(I193))&gt;=Overview!$B$5,"REVIEW","OK")))</f>
        <v>OK</v>
      </c>
      <c r="P193" s="31">
        <f t="shared" si="12"/>
        <v>-306350</v>
      </c>
      <c r="Q193" s="32">
        <f t="shared" si="13"/>
        <v>-0.13925000000000001</v>
      </c>
      <c r="R193" s="6" t="str">
        <f>IF(ABS(P193)&lt;Overview!$B$6,"OK",IF(J193=0,"REVIEW (zero base)",IF(ABS(P193/ABS(J193))&gt;=Overview!$B$5,"REVIEW","OK")))</f>
        <v>REVIEW</v>
      </c>
      <c r="S193" s="33">
        <f t="shared" si="14"/>
        <v>0</v>
      </c>
    </row>
    <row r="194" spans="1:19" x14ac:dyDescent="0.2">
      <c r="A194" s="17">
        <v>192</v>
      </c>
      <c r="B194" s="17" t="s">
        <v>171</v>
      </c>
      <c r="C194" s="17" t="s">
        <v>172</v>
      </c>
      <c r="D194" s="17" t="s">
        <v>60</v>
      </c>
      <c r="E194" s="17" t="s">
        <v>86</v>
      </c>
      <c r="F194" s="17" t="s">
        <v>189</v>
      </c>
      <c r="G194" s="17" t="s">
        <v>228</v>
      </c>
      <c r="H194" s="30">
        <v>0</v>
      </c>
      <c r="I194" s="30">
        <v>0</v>
      </c>
      <c r="J194" s="30">
        <v>-1200</v>
      </c>
      <c r="K194" s="30">
        <v>-1200</v>
      </c>
      <c r="L194" s="30">
        <v>-1200</v>
      </c>
      <c r="M194" s="31">
        <f t="shared" ref="M194:M257" si="15">J194-I194</f>
        <v>-1200</v>
      </c>
      <c r="N194" s="32" t="str">
        <f t="shared" ref="N194:N257" si="16">IF(I194=0,"n/a",M194/ABS(I194))</f>
        <v>n/a</v>
      </c>
      <c r="O194" s="6" t="str">
        <f>IF(ABS(M194)&lt;Overview!$B$6,"OK",IF(I194=0,"REVIEW (zero base)",IF(ABS(M194/ABS(I194))&gt;=Overview!$B$5,"REVIEW","OK")))</f>
        <v>OK</v>
      </c>
      <c r="P194" s="31">
        <f t="shared" ref="P194:P257" si="17">K194-J194</f>
        <v>0</v>
      </c>
      <c r="Q194" s="32">
        <f t="shared" ref="Q194:Q257" si="18">IF(J194=0,"n/a",P194/ABS(J194))</f>
        <v>0</v>
      </c>
      <c r="R194" s="6" t="str">
        <f>IF(ABS(P194)&lt;Overview!$B$6,"OK",IF(J194=0,"REVIEW (zero base)",IF(ABS(P194/ABS(J194))&gt;=Overview!$B$5,"REVIEW","OK")))</f>
        <v>OK</v>
      </c>
      <c r="S194" s="33">
        <f t="shared" ref="S194:S257" si="19">IF(C194="EXPENSES",ABS(M194)+ROW()/1000000,0)</f>
        <v>0</v>
      </c>
    </row>
    <row r="195" spans="1:19" x14ac:dyDescent="0.2">
      <c r="A195" s="17">
        <v>193</v>
      </c>
      <c r="B195" s="17" t="s">
        <v>171</v>
      </c>
      <c r="C195" s="17" t="s">
        <v>172</v>
      </c>
      <c r="D195" s="17" t="s">
        <v>60</v>
      </c>
      <c r="E195" s="17" t="s">
        <v>86</v>
      </c>
      <c r="F195" s="17" t="s">
        <v>204</v>
      </c>
      <c r="G195" s="17" t="s">
        <v>205</v>
      </c>
      <c r="H195" s="30">
        <v>-44798</v>
      </c>
      <c r="I195" s="30">
        <v>-14281</v>
      </c>
      <c r="J195" s="30">
        <v>-75000</v>
      </c>
      <c r="K195" s="30">
        <v>-60000</v>
      </c>
      <c r="L195" s="30">
        <v>0</v>
      </c>
      <c r="M195" s="31">
        <f t="shared" si="15"/>
        <v>-60719</v>
      </c>
      <c r="N195" s="32">
        <f t="shared" si="16"/>
        <v>-4.2517330719137316</v>
      </c>
      <c r="O195" s="6" t="str">
        <f>IF(ABS(M195)&lt;Overview!$B$6,"OK",IF(I195=0,"REVIEW (zero base)",IF(ABS(M195/ABS(I195))&gt;=Overview!$B$5,"REVIEW","OK")))</f>
        <v>OK</v>
      </c>
      <c r="P195" s="31">
        <f t="shared" si="17"/>
        <v>15000</v>
      </c>
      <c r="Q195" s="32">
        <f t="shared" si="18"/>
        <v>0.2</v>
      </c>
      <c r="R195" s="6" t="str">
        <f>IF(ABS(P195)&lt;Overview!$B$6,"OK",IF(J195=0,"REVIEW (zero base)",IF(ABS(P195/ABS(J195))&gt;=Overview!$B$5,"REVIEW","OK")))</f>
        <v>OK</v>
      </c>
      <c r="S195" s="33">
        <f t="shared" si="19"/>
        <v>0</v>
      </c>
    </row>
    <row r="196" spans="1:19" x14ac:dyDescent="0.2">
      <c r="A196" s="17">
        <v>194</v>
      </c>
      <c r="B196" s="17" t="s">
        <v>171</v>
      </c>
      <c r="C196" s="17" t="s">
        <v>338</v>
      </c>
      <c r="D196" s="17" t="s">
        <v>54</v>
      </c>
      <c r="E196" s="17" t="s">
        <v>77</v>
      </c>
      <c r="F196" s="17" t="s">
        <v>339</v>
      </c>
      <c r="G196" s="17" t="s">
        <v>340</v>
      </c>
      <c r="H196" s="30">
        <v>40</v>
      </c>
      <c r="I196" s="30">
        <v>0</v>
      </c>
      <c r="J196" s="30">
        <v>0</v>
      </c>
      <c r="K196" s="30">
        <v>0</v>
      </c>
      <c r="L196" s="30">
        <v>0</v>
      </c>
      <c r="M196" s="31">
        <f t="shared" si="15"/>
        <v>0</v>
      </c>
      <c r="N196" s="32" t="str">
        <f t="shared" si="16"/>
        <v>n/a</v>
      </c>
      <c r="O196" s="6" t="str">
        <f>IF(ABS(M196)&lt;Overview!$B$6,"OK",IF(I196=0,"REVIEW (zero base)",IF(ABS(M196/ABS(I196))&gt;=Overview!$B$5,"REVIEW","OK")))</f>
        <v>OK</v>
      </c>
      <c r="P196" s="31">
        <f t="shared" si="17"/>
        <v>0</v>
      </c>
      <c r="Q196" s="32" t="str">
        <f t="shared" si="18"/>
        <v>n/a</v>
      </c>
      <c r="R196" s="6" t="str">
        <f>IF(ABS(P196)&lt;Overview!$B$6,"OK",IF(J196=0,"REVIEW (zero base)",IF(ABS(P196/ABS(J196))&gt;=Overview!$B$5,"REVIEW","OK")))</f>
        <v>OK</v>
      </c>
      <c r="S196" s="33">
        <f t="shared" si="19"/>
        <v>1.9599999999999999E-4</v>
      </c>
    </row>
    <row r="197" spans="1:19" x14ac:dyDescent="0.2">
      <c r="A197" s="17">
        <v>195</v>
      </c>
      <c r="B197" s="17" t="s">
        <v>171</v>
      </c>
      <c r="C197" s="17" t="s">
        <v>338</v>
      </c>
      <c r="D197" s="17" t="s">
        <v>54</v>
      </c>
      <c r="E197" s="17" t="s">
        <v>77</v>
      </c>
      <c r="F197" s="17" t="s">
        <v>341</v>
      </c>
      <c r="G197" s="17" t="s">
        <v>342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1">
        <f t="shared" si="15"/>
        <v>0</v>
      </c>
      <c r="N197" s="32" t="str">
        <f t="shared" si="16"/>
        <v>n/a</v>
      </c>
      <c r="O197" s="6" t="str">
        <f>IF(ABS(M197)&lt;Overview!$B$6,"OK",IF(I197=0,"REVIEW (zero base)",IF(ABS(M197/ABS(I197))&gt;=Overview!$B$5,"REVIEW","OK")))</f>
        <v>OK</v>
      </c>
      <c r="P197" s="31">
        <f t="shared" si="17"/>
        <v>0</v>
      </c>
      <c r="Q197" s="32" t="str">
        <f t="shared" si="18"/>
        <v>n/a</v>
      </c>
      <c r="R197" s="6" t="str">
        <f>IF(ABS(P197)&lt;Overview!$B$6,"OK",IF(J197=0,"REVIEW (zero base)",IF(ABS(P197/ABS(J197))&gt;=Overview!$B$5,"REVIEW","OK")))</f>
        <v>OK</v>
      </c>
      <c r="S197" s="33">
        <f t="shared" si="19"/>
        <v>1.9699999999999999E-4</v>
      </c>
    </row>
    <row r="198" spans="1:19" x14ac:dyDescent="0.2">
      <c r="A198" s="17">
        <v>196</v>
      </c>
      <c r="B198" s="17" t="s">
        <v>171</v>
      </c>
      <c r="C198" s="17" t="s">
        <v>338</v>
      </c>
      <c r="D198" s="17" t="s">
        <v>54</v>
      </c>
      <c r="E198" s="17" t="s">
        <v>77</v>
      </c>
      <c r="F198" s="17" t="s">
        <v>341</v>
      </c>
      <c r="G198" s="17" t="s">
        <v>343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1">
        <f t="shared" si="15"/>
        <v>0</v>
      </c>
      <c r="N198" s="32" t="str">
        <f t="shared" si="16"/>
        <v>n/a</v>
      </c>
      <c r="O198" s="6" t="str">
        <f>IF(ABS(M198)&lt;Overview!$B$6,"OK",IF(I198=0,"REVIEW (zero base)",IF(ABS(M198/ABS(I198))&gt;=Overview!$B$5,"REVIEW","OK")))</f>
        <v>OK</v>
      </c>
      <c r="P198" s="31">
        <f t="shared" si="17"/>
        <v>0</v>
      </c>
      <c r="Q198" s="32" t="str">
        <f t="shared" si="18"/>
        <v>n/a</v>
      </c>
      <c r="R198" s="6" t="str">
        <f>IF(ABS(P198)&lt;Overview!$B$6,"OK",IF(J198=0,"REVIEW (zero base)",IF(ABS(P198/ABS(J198))&gt;=Overview!$B$5,"REVIEW","OK")))</f>
        <v>OK</v>
      </c>
      <c r="S198" s="33">
        <f t="shared" si="19"/>
        <v>1.9799999999999999E-4</v>
      </c>
    </row>
    <row r="199" spans="1:19" x14ac:dyDescent="0.2">
      <c r="A199" s="17">
        <v>197</v>
      </c>
      <c r="B199" s="17" t="s">
        <v>171</v>
      </c>
      <c r="C199" s="17" t="s">
        <v>338</v>
      </c>
      <c r="D199" s="17" t="s">
        <v>54</v>
      </c>
      <c r="E199" s="17" t="s">
        <v>77</v>
      </c>
      <c r="F199" s="17" t="s">
        <v>341</v>
      </c>
      <c r="G199" s="17" t="s">
        <v>344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1">
        <f t="shared" si="15"/>
        <v>0</v>
      </c>
      <c r="N199" s="32" t="str">
        <f t="shared" si="16"/>
        <v>n/a</v>
      </c>
      <c r="O199" s="6" t="str">
        <f>IF(ABS(M199)&lt;Overview!$B$6,"OK",IF(I199=0,"REVIEW (zero base)",IF(ABS(M199/ABS(I199))&gt;=Overview!$B$5,"REVIEW","OK")))</f>
        <v>OK</v>
      </c>
      <c r="P199" s="31">
        <f t="shared" si="17"/>
        <v>0</v>
      </c>
      <c r="Q199" s="32" t="str">
        <f t="shared" si="18"/>
        <v>n/a</v>
      </c>
      <c r="R199" s="6" t="str">
        <f>IF(ABS(P199)&lt;Overview!$B$6,"OK",IF(J199=0,"REVIEW (zero base)",IF(ABS(P199/ABS(J199))&gt;=Overview!$B$5,"REVIEW","OK")))</f>
        <v>OK</v>
      </c>
      <c r="S199" s="33">
        <f t="shared" si="19"/>
        <v>1.9900000000000001E-4</v>
      </c>
    </row>
    <row r="200" spans="1:19" x14ac:dyDescent="0.2">
      <c r="A200" s="17">
        <v>198</v>
      </c>
      <c r="B200" s="17" t="s">
        <v>171</v>
      </c>
      <c r="C200" s="17" t="s">
        <v>338</v>
      </c>
      <c r="D200" s="17" t="s">
        <v>54</v>
      </c>
      <c r="E200" s="17" t="s">
        <v>77</v>
      </c>
      <c r="F200" s="17" t="s">
        <v>345</v>
      </c>
      <c r="G200" s="17" t="s">
        <v>346</v>
      </c>
      <c r="H200" s="30">
        <v>-67</v>
      </c>
      <c r="I200" s="30">
        <v>5421</v>
      </c>
      <c r="J200" s="30">
        <v>0</v>
      </c>
      <c r="K200" s="30">
        <v>0</v>
      </c>
      <c r="L200" s="30">
        <v>0</v>
      </c>
      <c r="M200" s="31">
        <f t="shared" si="15"/>
        <v>-5421</v>
      </c>
      <c r="N200" s="32">
        <f t="shared" si="16"/>
        <v>-1</v>
      </c>
      <c r="O200" s="6" t="str">
        <f>IF(ABS(M200)&lt;Overview!$B$6,"OK",IF(I200=0,"REVIEW (zero base)",IF(ABS(M200/ABS(I200))&gt;=Overview!$B$5,"REVIEW","OK")))</f>
        <v>OK</v>
      </c>
      <c r="P200" s="31">
        <f t="shared" si="17"/>
        <v>0</v>
      </c>
      <c r="Q200" s="32" t="str">
        <f t="shared" si="18"/>
        <v>n/a</v>
      </c>
      <c r="R200" s="6" t="str">
        <f>IF(ABS(P200)&lt;Overview!$B$6,"OK",IF(J200=0,"REVIEW (zero base)",IF(ABS(P200/ABS(J200))&gt;=Overview!$B$5,"REVIEW","OK")))</f>
        <v>OK</v>
      </c>
      <c r="S200" s="33">
        <f t="shared" si="19"/>
        <v>5421.0002000000004</v>
      </c>
    </row>
    <row r="201" spans="1:19" x14ac:dyDescent="0.2">
      <c r="A201" s="17">
        <v>199</v>
      </c>
      <c r="B201" s="17" t="s">
        <v>171</v>
      </c>
      <c r="C201" s="17" t="s">
        <v>338</v>
      </c>
      <c r="D201" s="17" t="s">
        <v>54</v>
      </c>
      <c r="E201" s="17" t="s">
        <v>77</v>
      </c>
      <c r="F201" s="17" t="s">
        <v>347</v>
      </c>
      <c r="G201" s="17" t="s">
        <v>348</v>
      </c>
      <c r="H201" s="30">
        <v>6035</v>
      </c>
      <c r="I201" s="30">
        <v>0</v>
      </c>
      <c r="J201" s="30">
        <v>0</v>
      </c>
      <c r="K201" s="30">
        <v>0</v>
      </c>
      <c r="L201" s="30">
        <v>0</v>
      </c>
      <c r="M201" s="31">
        <f t="shared" si="15"/>
        <v>0</v>
      </c>
      <c r="N201" s="32" t="str">
        <f t="shared" si="16"/>
        <v>n/a</v>
      </c>
      <c r="O201" s="6" t="str">
        <f>IF(ABS(M201)&lt;Overview!$B$6,"OK",IF(I201=0,"REVIEW (zero base)",IF(ABS(M201/ABS(I201))&gt;=Overview!$B$5,"REVIEW","OK")))</f>
        <v>OK</v>
      </c>
      <c r="P201" s="31">
        <f t="shared" si="17"/>
        <v>0</v>
      </c>
      <c r="Q201" s="32" t="str">
        <f t="shared" si="18"/>
        <v>n/a</v>
      </c>
      <c r="R201" s="6" t="str">
        <f>IF(ABS(P201)&lt;Overview!$B$6,"OK",IF(J201=0,"REVIEW (zero base)",IF(ABS(P201/ABS(J201))&gt;=Overview!$B$5,"REVIEW","OK")))</f>
        <v>OK</v>
      </c>
      <c r="S201" s="33">
        <f t="shared" si="19"/>
        <v>2.0100000000000001E-4</v>
      </c>
    </row>
    <row r="202" spans="1:19" x14ac:dyDescent="0.2">
      <c r="A202" s="17">
        <v>200</v>
      </c>
      <c r="B202" s="17" t="s">
        <v>171</v>
      </c>
      <c r="C202" s="17" t="s">
        <v>338</v>
      </c>
      <c r="D202" s="17" t="s">
        <v>54</v>
      </c>
      <c r="E202" s="17" t="s">
        <v>77</v>
      </c>
      <c r="F202" s="17" t="s">
        <v>349</v>
      </c>
      <c r="G202" s="17" t="s">
        <v>350</v>
      </c>
      <c r="H202" s="30">
        <v>521384</v>
      </c>
      <c r="I202" s="30">
        <v>1005000</v>
      </c>
      <c r="J202" s="30">
        <v>1090000</v>
      </c>
      <c r="K202" s="30">
        <v>1090000</v>
      </c>
      <c r="L202" s="30">
        <v>1090000</v>
      </c>
      <c r="M202" s="31">
        <f t="shared" si="15"/>
        <v>85000</v>
      </c>
      <c r="N202" s="32">
        <f t="shared" si="16"/>
        <v>8.45771144278607E-2</v>
      </c>
      <c r="O202" s="6" t="str">
        <f>IF(ABS(M202)&lt;Overview!$B$6,"OK",IF(I202=0,"REVIEW (zero base)",IF(ABS(M202/ABS(I202))&gt;=Overview!$B$5,"REVIEW","OK")))</f>
        <v>OK</v>
      </c>
      <c r="P202" s="31">
        <f t="shared" si="17"/>
        <v>0</v>
      </c>
      <c r="Q202" s="32">
        <f t="shared" si="18"/>
        <v>0</v>
      </c>
      <c r="R202" s="6" t="str">
        <f>IF(ABS(P202)&lt;Overview!$B$6,"OK",IF(J202=0,"REVIEW (zero base)",IF(ABS(P202/ABS(J202))&gt;=Overview!$B$5,"REVIEW","OK")))</f>
        <v>OK</v>
      </c>
      <c r="S202" s="33">
        <f t="shared" si="19"/>
        <v>85000.000201999996</v>
      </c>
    </row>
    <row r="203" spans="1:19" x14ac:dyDescent="0.2">
      <c r="A203" s="17">
        <v>201</v>
      </c>
      <c r="B203" s="17" t="s">
        <v>171</v>
      </c>
      <c r="C203" s="17" t="s">
        <v>338</v>
      </c>
      <c r="D203" s="17" t="s">
        <v>54</v>
      </c>
      <c r="E203" s="17" t="s">
        <v>77</v>
      </c>
      <c r="F203" s="17" t="s">
        <v>349</v>
      </c>
      <c r="G203" s="17" t="s">
        <v>351</v>
      </c>
      <c r="H203" s="30">
        <v>1207681</v>
      </c>
      <c r="I203" s="30">
        <v>1778016</v>
      </c>
      <c r="J203" s="30">
        <v>1500000</v>
      </c>
      <c r="K203" s="30">
        <v>1500000</v>
      </c>
      <c r="L203" s="30">
        <v>1500000</v>
      </c>
      <c r="M203" s="31">
        <f t="shared" si="15"/>
        <v>-278016</v>
      </c>
      <c r="N203" s="32">
        <f t="shared" si="16"/>
        <v>-0.15636304735165488</v>
      </c>
      <c r="O203" s="6" t="str">
        <f>IF(ABS(M203)&lt;Overview!$B$6,"OK",IF(I203=0,"REVIEW (zero base)",IF(ABS(M203/ABS(I203))&gt;=Overview!$B$5,"REVIEW","OK")))</f>
        <v>REVIEW</v>
      </c>
      <c r="P203" s="31">
        <f t="shared" si="17"/>
        <v>0</v>
      </c>
      <c r="Q203" s="32">
        <f t="shared" si="18"/>
        <v>0</v>
      </c>
      <c r="R203" s="6" t="str">
        <f>IF(ABS(P203)&lt;Overview!$B$6,"OK",IF(J203=0,"REVIEW (zero base)",IF(ABS(P203/ABS(J203))&gt;=Overview!$B$5,"REVIEW","OK")))</f>
        <v>OK</v>
      </c>
      <c r="S203" s="33">
        <f t="shared" si="19"/>
        <v>278016.00020299997</v>
      </c>
    </row>
    <row r="204" spans="1:19" x14ac:dyDescent="0.2">
      <c r="A204" s="17">
        <v>202</v>
      </c>
      <c r="B204" s="17" t="s">
        <v>171</v>
      </c>
      <c r="C204" s="17" t="s">
        <v>338</v>
      </c>
      <c r="D204" s="17" t="s">
        <v>54</v>
      </c>
      <c r="E204" s="17" t="s">
        <v>77</v>
      </c>
      <c r="F204" s="17" t="s">
        <v>349</v>
      </c>
      <c r="G204" s="17" t="s">
        <v>352</v>
      </c>
      <c r="H204" s="30">
        <v>269047</v>
      </c>
      <c r="I204" s="30">
        <v>695000</v>
      </c>
      <c r="J204" s="30">
        <v>478000</v>
      </c>
      <c r="K204" s="30">
        <v>250000</v>
      </c>
      <c r="L204" s="30">
        <v>250000</v>
      </c>
      <c r="M204" s="31">
        <f t="shared" si="15"/>
        <v>-217000</v>
      </c>
      <c r="N204" s="32">
        <f t="shared" si="16"/>
        <v>-0.31223021582733812</v>
      </c>
      <c r="O204" s="6" t="str">
        <f>IF(ABS(M204)&lt;Overview!$B$6,"OK",IF(I204=0,"REVIEW (zero base)",IF(ABS(M204/ABS(I204))&gt;=Overview!$B$5,"REVIEW","OK")))</f>
        <v>OK</v>
      </c>
      <c r="P204" s="31">
        <f t="shared" si="17"/>
        <v>-228000</v>
      </c>
      <c r="Q204" s="32">
        <f t="shared" si="18"/>
        <v>-0.47698744769874479</v>
      </c>
      <c r="R204" s="6" t="str">
        <f>IF(ABS(P204)&lt;Overview!$B$6,"OK",IF(J204=0,"REVIEW (zero base)",IF(ABS(P204/ABS(J204))&gt;=Overview!$B$5,"REVIEW","OK")))</f>
        <v>OK</v>
      </c>
      <c r="S204" s="33">
        <f t="shared" si="19"/>
        <v>217000.00020400001</v>
      </c>
    </row>
    <row r="205" spans="1:19" x14ac:dyDescent="0.2">
      <c r="A205" s="17">
        <v>203</v>
      </c>
      <c r="B205" s="17" t="s">
        <v>171</v>
      </c>
      <c r="C205" s="17" t="s">
        <v>338</v>
      </c>
      <c r="D205" s="17" t="s">
        <v>54</v>
      </c>
      <c r="E205" s="17" t="s">
        <v>77</v>
      </c>
      <c r="F205" s="17" t="s">
        <v>353</v>
      </c>
      <c r="G205" s="17" t="s">
        <v>354</v>
      </c>
      <c r="H205" s="30">
        <v>0</v>
      </c>
      <c r="I205" s="30">
        <v>0</v>
      </c>
      <c r="J205" s="30">
        <v>100000</v>
      </c>
      <c r="K205" s="30">
        <v>100000</v>
      </c>
      <c r="L205" s="30">
        <v>0</v>
      </c>
      <c r="M205" s="31">
        <f t="shared" si="15"/>
        <v>100000</v>
      </c>
      <c r="N205" s="32" t="str">
        <f t="shared" si="16"/>
        <v>n/a</v>
      </c>
      <c r="O205" s="6" t="str">
        <f>IF(ABS(M205)&lt;Overview!$B$6,"OK",IF(I205=0,"REVIEW (zero base)",IF(ABS(M205/ABS(I205))&gt;=Overview!$B$5,"REVIEW","OK")))</f>
        <v>OK</v>
      </c>
      <c r="P205" s="31">
        <f t="shared" si="17"/>
        <v>0</v>
      </c>
      <c r="Q205" s="32">
        <f t="shared" si="18"/>
        <v>0</v>
      </c>
      <c r="R205" s="6" t="str">
        <f>IF(ABS(P205)&lt;Overview!$B$6,"OK",IF(J205=0,"REVIEW (zero base)",IF(ABS(P205/ABS(J205))&gt;=Overview!$B$5,"REVIEW","OK")))</f>
        <v>OK</v>
      </c>
      <c r="S205" s="33">
        <f t="shared" si="19"/>
        <v>100000.000205</v>
      </c>
    </row>
    <row r="206" spans="1:19" x14ac:dyDescent="0.2">
      <c r="A206" s="17">
        <v>204</v>
      </c>
      <c r="B206" s="17" t="s">
        <v>171</v>
      </c>
      <c r="C206" s="17" t="s">
        <v>338</v>
      </c>
      <c r="D206" s="17" t="s">
        <v>54</v>
      </c>
      <c r="E206" s="17" t="s">
        <v>77</v>
      </c>
      <c r="F206" s="17" t="s">
        <v>353</v>
      </c>
      <c r="G206" s="17" t="s">
        <v>355</v>
      </c>
      <c r="H206" s="30">
        <v>128546611</v>
      </c>
      <c r="I206" s="30">
        <v>130046611</v>
      </c>
      <c r="J206" s="30">
        <v>130046611</v>
      </c>
      <c r="K206" s="30">
        <v>134897350</v>
      </c>
      <c r="L206" s="30">
        <v>139956001</v>
      </c>
      <c r="M206" s="31">
        <f t="shared" si="15"/>
        <v>0</v>
      </c>
      <c r="N206" s="32">
        <f t="shared" si="16"/>
        <v>0</v>
      </c>
      <c r="O206" s="6" t="str">
        <f>IF(ABS(M206)&lt;Overview!$B$6,"OK",IF(I206=0,"REVIEW (zero base)",IF(ABS(M206/ABS(I206))&gt;=Overview!$B$5,"REVIEW","OK")))</f>
        <v>OK</v>
      </c>
      <c r="P206" s="31">
        <f t="shared" si="17"/>
        <v>4850739</v>
      </c>
      <c r="Q206" s="32">
        <f t="shared" si="18"/>
        <v>3.7300003150408892E-2</v>
      </c>
      <c r="R206" s="6" t="str">
        <f>IF(ABS(P206)&lt;Overview!$B$6,"OK",IF(J206=0,"REVIEW (zero base)",IF(ABS(P206/ABS(J206))&gt;=Overview!$B$5,"REVIEW","OK")))</f>
        <v>OK</v>
      </c>
      <c r="S206" s="33">
        <f t="shared" si="19"/>
        <v>2.0599999999999999E-4</v>
      </c>
    </row>
    <row r="207" spans="1:19" x14ac:dyDescent="0.2">
      <c r="A207" s="17">
        <v>205</v>
      </c>
      <c r="B207" s="17" t="s">
        <v>171</v>
      </c>
      <c r="C207" s="17" t="s">
        <v>338</v>
      </c>
      <c r="D207" s="17" t="s">
        <v>54</v>
      </c>
      <c r="E207" s="17" t="s">
        <v>77</v>
      </c>
      <c r="F207" s="17" t="s">
        <v>353</v>
      </c>
      <c r="G207" s="17" t="s">
        <v>356</v>
      </c>
      <c r="H207" s="30">
        <v>30125</v>
      </c>
      <c r="I207" s="30">
        <v>0</v>
      </c>
      <c r="J207" s="30">
        <v>0</v>
      </c>
      <c r="K207" s="30">
        <v>0</v>
      </c>
      <c r="L207" s="30">
        <v>0</v>
      </c>
      <c r="M207" s="31">
        <f t="shared" si="15"/>
        <v>0</v>
      </c>
      <c r="N207" s="32" t="str">
        <f t="shared" si="16"/>
        <v>n/a</v>
      </c>
      <c r="O207" s="6" t="str">
        <f>IF(ABS(M207)&lt;Overview!$B$6,"OK",IF(I207=0,"REVIEW (zero base)",IF(ABS(M207/ABS(I207))&gt;=Overview!$B$5,"REVIEW","OK")))</f>
        <v>OK</v>
      </c>
      <c r="P207" s="31">
        <f t="shared" si="17"/>
        <v>0</v>
      </c>
      <c r="Q207" s="32" t="str">
        <f t="shared" si="18"/>
        <v>n/a</v>
      </c>
      <c r="R207" s="6" t="str">
        <f>IF(ABS(P207)&lt;Overview!$B$6,"OK",IF(J207=0,"REVIEW (zero base)",IF(ABS(P207/ABS(J207))&gt;=Overview!$B$5,"REVIEW","OK")))</f>
        <v>OK</v>
      </c>
      <c r="S207" s="33">
        <f t="shared" si="19"/>
        <v>2.0699999999999999E-4</v>
      </c>
    </row>
    <row r="208" spans="1:19" x14ac:dyDescent="0.2">
      <c r="A208" s="17">
        <v>206</v>
      </c>
      <c r="B208" s="17" t="s">
        <v>171</v>
      </c>
      <c r="C208" s="17" t="s">
        <v>338</v>
      </c>
      <c r="D208" s="17" t="s">
        <v>54</v>
      </c>
      <c r="E208" s="17" t="s">
        <v>77</v>
      </c>
      <c r="F208" s="17" t="s">
        <v>353</v>
      </c>
      <c r="G208" s="17" t="s">
        <v>357</v>
      </c>
      <c r="H208" s="30">
        <v>25000</v>
      </c>
      <c r="I208" s="30">
        <v>0</v>
      </c>
      <c r="J208" s="30">
        <v>0</v>
      </c>
      <c r="K208" s="30">
        <v>0</v>
      </c>
      <c r="L208" s="30">
        <v>0</v>
      </c>
      <c r="M208" s="31">
        <f t="shared" si="15"/>
        <v>0</v>
      </c>
      <c r="N208" s="32" t="str">
        <f t="shared" si="16"/>
        <v>n/a</v>
      </c>
      <c r="O208" s="6" t="str">
        <f>IF(ABS(M208)&lt;Overview!$B$6,"OK",IF(I208=0,"REVIEW (zero base)",IF(ABS(M208/ABS(I208))&gt;=Overview!$B$5,"REVIEW","OK")))</f>
        <v>OK</v>
      </c>
      <c r="P208" s="31">
        <f t="shared" si="17"/>
        <v>0</v>
      </c>
      <c r="Q208" s="32" t="str">
        <f t="shared" si="18"/>
        <v>n/a</v>
      </c>
      <c r="R208" s="6" t="str">
        <f>IF(ABS(P208)&lt;Overview!$B$6,"OK",IF(J208=0,"REVIEW (zero base)",IF(ABS(P208/ABS(J208))&gt;=Overview!$B$5,"REVIEW","OK")))</f>
        <v>OK</v>
      </c>
      <c r="S208" s="33">
        <f t="shared" si="19"/>
        <v>2.0799999999999999E-4</v>
      </c>
    </row>
    <row r="209" spans="1:19" x14ac:dyDescent="0.2">
      <c r="A209" s="17">
        <v>207</v>
      </c>
      <c r="B209" s="17" t="s">
        <v>171</v>
      </c>
      <c r="C209" s="17" t="s">
        <v>338</v>
      </c>
      <c r="D209" s="17" t="s">
        <v>54</v>
      </c>
      <c r="E209" s="17" t="s">
        <v>77</v>
      </c>
      <c r="F209" s="17" t="s">
        <v>353</v>
      </c>
      <c r="G209" s="17" t="s">
        <v>358</v>
      </c>
      <c r="H209" s="30">
        <v>535963</v>
      </c>
      <c r="I209" s="30">
        <v>476860</v>
      </c>
      <c r="J209" s="30">
        <v>0</v>
      </c>
      <c r="K209" s="30">
        <v>0</v>
      </c>
      <c r="L209" s="30">
        <v>0</v>
      </c>
      <c r="M209" s="31">
        <f t="shared" si="15"/>
        <v>-476860</v>
      </c>
      <c r="N209" s="32">
        <f t="shared" si="16"/>
        <v>-1</v>
      </c>
      <c r="O209" s="6" t="str">
        <f>IF(ABS(M209)&lt;Overview!$B$6,"OK",IF(I209=0,"REVIEW (zero base)",IF(ABS(M209/ABS(I209))&gt;=Overview!$B$5,"REVIEW","OK")))</f>
        <v>REVIEW</v>
      </c>
      <c r="P209" s="31">
        <f t="shared" si="17"/>
        <v>0</v>
      </c>
      <c r="Q209" s="32" t="str">
        <f t="shared" si="18"/>
        <v>n/a</v>
      </c>
      <c r="R209" s="6" t="str">
        <f>IF(ABS(P209)&lt;Overview!$B$6,"OK",IF(J209=0,"REVIEW (zero base)",IF(ABS(P209/ABS(J209))&gt;=Overview!$B$5,"REVIEW","OK")))</f>
        <v>OK</v>
      </c>
      <c r="S209" s="33">
        <f t="shared" si="19"/>
        <v>476860.00020900002</v>
      </c>
    </row>
    <row r="210" spans="1:19" x14ac:dyDescent="0.2">
      <c r="A210" s="17">
        <v>208</v>
      </c>
      <c r="B210" s="17" t="s">
        <v>171</v>
      </c>
      <c r="C210" s="17" t="s">
        <v>338</v>
      </c>
      <c r="D210" s="17" t="s">
        <v>54</v>
      </c>
      <c r="E210" s="17" t="s">
        <v>77</v>
      </c>
      <c r="F210" s="17" t="s">
        <v>353</v>
      </c>
      <c r="G210" s="17" t="s">
        <v>359</v>
      </c>
      <c r="H210" s="30">
        <v>0</v>
      </c>
      <c r="I210" s="30">
        <v>688046</v>
      </c>
      <c r="J210" s="30">
        <v>0</v>
      </c>
      <c r="K210" s="30">
        <v>0</v>
      </c>
      <c r="L210" s="30">
        <v>0</v>
      </c>
      <c r="M210" s="31">
        <f t="shared" si="15"/>
        <v>-688046</v>
      </c>
      <c r="N210" s="32">
        <f t="shared" si="16"/>
        <v>-1</v>
      </c>
      <c r="O210" s="6" t="str">
        <f>IF(ABS(M210)&lt;Overview!$B$6,"OK",IF(I210=0,"REVIEW (zero base)",IF(ABS(M210/ABS(I210))&gt;=Overview!$B$5,"REVIEW","OK")))</f>
        <v>REVIEW</v>
      </c>
      <c r="P210" s="31">
        <f t="shared" si="17"/>
        <v>0</v>
      </c>
      <c r="Q210" s="32" t="str">
        <f t="shared" si="18"/>
        <v>n/a</v>
      </c>
      <c r="R210" s="6" t="str">
        <f>IF(ABS(P210)&lt;Overview!$B$6,"OK",IF(J210=0,"REVIEW (zero base)",IF(ABS(P210/ABS(J210))&gt;=Overview!$B$5,"REVIEW","OK")))</f>
        <v>OK</v>
      </c>
      <c r="S210" s="33">
        <f t="shared" si="19"/>
        <v>688046.00020999997</v>
      </c>
    </row>
    <row r="211" spans="1:19" x14ac:dyDescent="0.2">
      <c r="A211" s="17">
        <v>209</v>
      </c>
      <c r="B211" s="17" t="s">
        <v>171</v>
      </c>
      <c r="C211" s="17" t="s">
        <v>338</v>
      </c>
      <c r="D211" s="17" t="s">
        <v>54</v>
      </c>
      <c r="E211" s="17" t="s">
        <v>88</v>
      </c>
      <c r="F211" s="17" t="s">
        <v>360</v>
      </c>
      <c r="G211" s="17" t="s">
        <v>361</v>
      </c>
      <c r="H211" s="30">
        <v>5075227</v>
      </c>
      <c r="I211" s="30">
        <v>6032397</v>
      </c>
      <c r="J211" s="30">
        <v>4642960</v>
      </c>
      <c r="K211" s="30">
        <v>4578247</v>
      </c>
      <c r="L211" s="30">
        <v>4578247</v>
      </c>
      <c r="M211" s="31">
        <f t="shared" si="15"/>
        <v>-1389437</v>
      </c>
      <c r="N211" s="32">
        <f t="shared" si="16"/>
        <v>-0.23032917097465569</v>
      </c>
      <c r="O211" s="6" t="str">
        <f>IF(ABS(M211)&lt;Overview!$B$6,"OK",IF(I211=0,"REVIEW (zero base)",IF(ABS(M211/ABS(I211))&gt;=Overview!$B$5,"REVIEW","OK")))</f>
        <v>REVIEW</v>
      </c>
      <c r="P211" s="31">
        <f t="shared" si="17"/>
        <v>-64713</v>
      </c>
      <c r="Q211" s="32">
        <f t="shared" si="18"/>
        <v>-1.3937875837827593E-2</v>
      </c>
      <c r="R211" s="6" t="str">
        <f>IF(ABS(P211)&lt;Overview!$B$6,"OK",IF(J211=0,"REVIEW (zero base)",IF(ABS(P211/ABS(J211))&gt;=Overview!$B$5,"REVIEW","OK")))</f>
        <v>OK</v>
      </c>
      <c r="S211" s="33">
        <f t="shared" si="19"/>
        <v>1389437.000211</v>
      </c>
    </row>
    <row r="212" spans="1:19" x14ac:dyDescent="0.2">
      <c r="A212" s="17">
        <v>210</v>
      </c>
      <c r="B212" s="17" t="s">
        <v>171</v>
      </c>
      <c r="C212" s="17" t="s">
        <v>338</v>
      </c>
      <c r="D212" s="17" t="s">
        <v>54</v>
      </c>
      <c r="E212" s="17" t="s">
        <v>85</v>
      </c>
      <c r="F212" s="17" t="s">
        <v>349</v>
      </c>
      <c r="G212" s="17" t="s">
        <v>362</v>
      </c>
      <c r="H212" s="30">
        <v>5621162</v>
      </c>
      <c r="I212" s="30">
        <v>5902662</v>
      </c>
      <c r="J212" s="30">
        <v>6304750</v>
      </c>
      <c r="K212" s="30">
        <v>6354750</v>
      </c>
      <c r="L212" s="30">
        <v>6354750</v>
      </c>
      <c r="M212" s="31">
        <f t="shared" si="15"/>
        <v>402088</v>
      </c>
      <c r="N212" s="32">
        <f t="shared" si="16"/>
        <v>6.8119773756315366E-2</v>
      </c>
      <c r="O212" s="6" t="str">
        <f>IF(ABS(M212)&lt;Overview!$B$6,"OK",IF(I212=0,"REVIEW (zero base)",IF(ABS(M212/ABS(I212))&gt;=Overview!$B$5,"REVIEW","OK")))</f>
        <v>OK</v>
      </c>
      <c r="P212" s="31">
        <f t="shared" si="17"/>
        <v>50000</v>
      </c>
      <c r="Q212" s="32">
        <f t="shared" si="18"/>
        <v>7.9305285697291727E-3</v>
      </c>
      <c r="R212" s="6" t="str">
        <f>IF(ABS(P212)&lt;Overview!$B$6,"OK",IF(J212=0,"REVIEW (zero base)",IF(ABS(P212/ABS(J212))&gt;=Overview!$B$5,"REVIEW","OK")))</f>
        <v>OK</v>
      </c>
      <c r="S212" s="33">
        <f t="shared" si="19"/>
        <v>402088.00021199998</v>
      </c>
    </row>
    <row r="213" spans="1:19" x14ac:dyDescent="0.2">
      <c r="A213" s="17">
        <v>211</v>
      </c>
      <c r="B213" s="17" t="s">
        <v>171</v>
      </c>
      <c r="C213" s="17" t="s">
        <v>338</v>
      </c>
      <c r="D213" s="17" t="s">
        <v>54</v>
      </c>
      <c r="E213" s="17" t="s">
        <v>144</v>
      </c>
      <c r="F213" s="17" t="s">
        <v>349</v>
      </c>
      <c r="G213" s="17" t="s">
        <v>363</v>
      </c>
      <c r="H213" s="30">
        <v>7500</v>
      </c>
      <c r="I213" s="30">
        <v>7500</v>
      </c>
      <c r="J213" s="30">
        <v>9030</v>
      </c>
      <c r="K213" s="30">
        <v>9030</v>
      </c>
      <c r="L213" s="30">
        <v>9030</v>
      </c>
      <c r="M213" s="31">
        <f t="shared" si="15"/>
        <v>1530</v>
      </c>
      <c r="N213" s="32">
        <f t="shared" si="16"/>
        <v>0.20399999999999999</v>
      </c>
      <c r="O213" s="6" t="str">
        <f>IF(ABS(M213)&lt;Overview!$B$6,"OK",IF(I213=0,"REVIEW (zero base)",IF(ABS(M213/ABS(I213))&gt;=Overview!$B$5,"REVIEW","OK")))</f>
        <v>OK</v>
      </c>
      <c r="P213" s="31">
        <f t="shared" si="17"/>
        <v>0</v>
      </c>
      <c r="Q213" s="32">
        <f t="shared" si="18"/>
        <v>0</v>
      </c>
      <c r="R213" s="6" t="str">
        <f>IF(ABS(P213)&lt;Overview!$B$6,"OK",IF(J213=0,"REVIEW (zero base)",IF(ABS(P213/ABS(J213))&gt;=Overview!$B$5,"REVIEW","OK")))</f>
        <v>OK</v>
      </c>
      <c r="S213" s="33">
        <f t="shared" si="19"/>
        <v>1530.000213</v>
      </c>
    </row>
    <row r="214" spans="1:19" x14ac:dyDescent="0.2">
      <c r="A214" s="17">
        <v>212</v>
      </c>
      <c r="B214" s="17" t="s">
        <v>171</v>
      </c>
      <c r="C214" s="17" t="s">
        <v>338</v>
      </c>
      <c r="D214" s="17" t="s">
        <v>54</v>
      </c>
      <c r="E214" s="17" t="s">
        <v>80</v>
      </c>
      <c r="F214" s="17" t="s">
        <v>364</v>
      </c>
      <c r="G214" s="17" t="s">
        <v>365</v>
      </c>
      <c r="H214" s="30">
        <v>14797398</v>
      </c>
      <c r="I214" s="30">
        <v>17584223</v>
      </c>
      <c r="J214" s="30">
        <v>21855410</v>
      </c>
      <c r="K214" s="30">
        <v>9446223</v>
      </c>
      <c r="L214" s="30">
        <v>10068223</v>
      </c>
      <c r="M214" s="31">
        <f t="shared" si="15"/>
        <v>4271187</v>
      </c>
      <c r="N214" s="32">
        <f t="shared" si="16"/>
        <v>0.24289881901520471</v>
      </c>
      <c r="O214" s="6" t="str">
        <f>IF(ABS(M214)&lt;Overview!$B$6,"OK",IF(I214=0,"REVIEW (zero base)",IF(ABS(M214/ABS(I214))&gt;=Overview!$B$5,"REVIEW","OK")))</f>
        <v>REVIEW</v>
      </c>
      <c r="P214" s="31">
        <f t="shared" si="17"/>
        <v>-12409187</v>
      </c>
      <c r="Q214" s="32">
        <f t="shared" si="18"/>
        <v>-0.56778559633518655</v>
      </c>
      <c r="R214" s="6" t="str">
        <f>IF(ABS(P214)&lt;Overview!$B$6,"OK",IF(J214=0,"REVIEW (zero base)",IF(ABS(P214/ABS(J214))&gt;=Overview!$B$5,"REVIEW","OK")))</f>
        <v>REVIEW</v>
      </c>
      <c r="S214" s="33">
        <f t="shared" si="19"/>
        <v>4271187.0002140002</v>
      </c>
    </row>
    <row r="215" spans="1:19" x14ac:dyDescent="0.2">
      <c r="A215" s="17">
        <v>213</v>
      </c>
      <c r="B215" s="17" t="s">
        <v>171</v>
      </c>
      <c r="C215" s="17" t="s">
        <v>338</v>
      </c>
      <c r="D215" s="17" t="s">
        <v>54</v>
      </c>
      <c r="E215" s="17" t="s">
        <v>80</v>
      </c>
      <c r="F215" s="17" t="s">
        <v>364</v>
      </c>
      <c r="G215" s="17" t="s">
        <v>366</v>
      </c>
      <c r="H215" s="30">
        <v>11123693</v>
      </c>
      <c r="I215" s="30">
        <v>11672049</v>
      </c>
      <c r="J215" s="30">
        <v>11954480</v>
      </c>
      <c r="K215" s="30">
        <v>4234317</v>
      </c>
      <c r="L215" s="30">
        <v>8249730</v>
      </c>
      <c r="M215" s="31">
        <f t="shared" si="15"/>
        <v>282431</v>
      </c>
      <c r="N215" s="32">
        <f t="shared" si="16"/>
        <v>2.419720821939661E-2</v>
      </c>
      <c r="O215" s="6" t="str">
        <f>IF(ABS(M215)&lt;Overview!$B$6,"OK",IF(I215=0,"REVIEW (zero base)",IF(ABS(M215/ABS(I215))&gt;=Overview!$B$5,"REVIEW","OK")))</f>
        <v>OK</v>
      </c>
      <c r="P215" s="31">
        <f t="shared" si="17"/>
        <v>-7720163</v>
      </c>
      <c r="Q215" s="32">
        <f t="shared" si="18"/>
        <v>-0.6457966385823557</v>
      </c>
      <c r="R215" s="6" t="str">
        <f>IF(ABS(P215)&lt;Overview!$B$6,"OK",IF(J215=0,"REVIEW (zero base)",IF(ABS(P215/ABS(J215))&gt;=Overview!$B$5,"REVIEW","OK")))</f>
        <v>REVIEW</v>
      </c>
      <c r="S215" s="33">
        <f t="shared" si="19"/>
        <v>282431.00021500001</v>
      </c>
    </row>
    <row r="216" spans="1:19" x14ac:dyDescent="0.2">
      <c r="A216" s="17">
        <v>214</v>
      </c>
      <c r="B216" s="17" t="s">
        <v>171</v>
      </c>
      <c r="C216" s="17" t="s">
        <v>338</v>
      </c>
      <c r="D216" s="17" t="s">
        <v>54</v>
      </c>
      <c r="E216" s="17" t="s">
        <v>80</v>
      </c>
      <c r="F216" s="17" t="s">
        <v>364</v>
      </c>
      <c r="G216" s="17" t="s">
        <v>367</v>
      </c>
      <c r="H216" s="30">
        <v>2647783</v>
      </c>
      <c r="I216" s="30">
        <v>3371219</v>
      </c>
      <c r="J216" s="30">
        <v>2659530</v>
      </c>
      <c r="K216" s="30">
        <v>5520763</v>
      </c>
      <c r="L216" s="30">
        <v>5608278</v>
      </c>
      <c r="M216" s="31">
        <f t="shared" si="15"/>
        <v>-711689</v>
      </c>
      <c r="N216" s="32">
        <f t="shared" si="16"/>
        <v>-0.21110731756079923</v>
      </c>
      <c r="O216" s="6" t="str">
        <f>IF(ABS(M216)&lt;Overview!$B$6,"OK",IF(I216=0,"REVIEW (zero base)",IF(ABS(M216/ABS(I216))&gt;=Overview!$B$5,"REVIEW","OK")))</f>
        <v>REVIEW</v>
      </c>
      <c r="P216" s="31">
        <f t="shared" si="17"/>
        <v>2861233</v>
      </c>
      <c r="Q216" s="32">
        <f t="shared" si="18"/>
        <v>1.0758415960714862</v>
      </c>
      <c r="R216" s="6" t="str">
        <f>IF(ABS(P216)&lt;Overview!$B$6,"OK",IF(J216=0,"REVIEW (zero base)",IF(ABS(P216/ABS(J216))&gt;=Overview!$B$5,"REVIEW","OK")))</f>
        <v>REVIEW</v>
      </c>
      <c r="S216" s="33">
        <f t="shared" si="19"/>
        <v>711689.00021600001</v>
      </c>
    </row>
    <row r="217" spans="1:19" x14ac:dyDescent="0.2">
      <c r="A217" s="17">
        <v>215</v>
      </c>
      <c r="B217" s="17" t="s">
        <v>171</v>
      </c>
      <c r="C217" s="17" t="s">
        <v>338</v>
      </c>
      <c r="D217" s="17" t="s">
        <v>54</v>
      </c>
      <c r="E217" s="17" t="s">
        <v>80</v>
      </c>
      <c r="F217" s="17" t="s">
        <v>364</v>
      </c>
      <c r="G217" s="17" t="s">
        <v>368</v>
      </c>
      <c r="H217" s="30">
        <v>245745</v>
      </c>
      <c r="I217" s="30">
        <v>245745</v>
      </c>
      <c r="J217" s="30">
        <v>400597</v>
      </c>
      <c r="K217" s="30">
        <v>640846</v>
      </c>
      <c r="L217" s="30">
        <v>553333</v>
      </c>
      <c r="M217" s="31">
        <f t="shared" si="15"/>
        <v>154852</v>
      </c>
      <c r="N217" s="32">
        <f t="shared" si="16"/>
        <v>0.63013286129931434</v>
      </c>
      <c r="O217" s="6" t="str">
        <f>IF(ABS(M217)&lt;Overview!$B$6,"OK",IF(I217=0,"REVIEW (zero base)",IF(ABS(M217/ABS(I217))&gt;=Overview!$B$5,"REVIEW","OK")))</f>
        <v>OK</v>
      </c>
      <c r="P217" s="31">
        <f t="shared" si="17"/>
        <v>240249</v>
      </c>
      <c r="Q217" s="32">
        <f t="shared" si="18"/>
        <v>0.59972740684528336</v>
      </c>
      <c r="R217" s="6" t="str">
        <f>IF(ABS(P217)&lt;Overview!$B$6,"OK",IF(J217=0,"REVIEW (zero base)",IF(ABS(P217/ABS(J217))&gt;=Overview!$B$5,"REVIEW","OK")))</f>
        <v>OK</v>
      </c>
      <c r="S217" s="33">
        <f t="shared" si="19"/>
        <v>154852.00021699999</v>
      </c>
    </row>
    <row r="218" spans="1:19" x14ac:dyDescent="0.2">
      <c r="A218" s="17">
        <v>216</v>
      </c>
      <c r="B218" s="17" t="s">
        <v>171</v>
      </c>
      <c r="C218" s="17" t="s">
        <v>338</v>
      </c>
      <c r="D218" s="17" t="s">
        <v>54</v>
      </c>
      <c r="E218" s="17" t="s">
        <v>80</v>
      </c>
      <c r="F218" s="17" t="s">
        <v>364</v>
      </c>
      <c r="G218" s="17" t="s">
        <v>369</v>
      </c>
      <c r="H218" s="30">
        <v>311000</v>
      </c>
      <c r="I218" s="30">
        <v>661345</v>
      </c>
      <c r="J218" s="30">
        <v>0</v>
      </c>
      <c r="K218" s="30">
        <v>0</v>
      </c>
      <c r="L218" s="30">
        <v>0</v>
      </c>
      <c r="M218" s="31">
        <f t="shared" si="15"/>
        <v>-661345</v>
      </c>
      <c r="N218" s="32">
        <f t="shared" si="16"/>
        <v>-1</v>
      </c>
      <c r="O218" s="6" t="str">
        <f>IF(ABS(M218)&lt;Overview!$B$6,"OK",IF(I218=0,"REVIEW (zero base)",IF(ABS(M218/ABS(I218))&gt;=Overview!$B$5,"REVIEW","OK")))</f>
        <v>REVIEW</v>
      </c>
      <c r="P218" s="31">
        <f t="shared" si="17"/>
        <v>0</v>
      </c>
      <c r="Q218" s="32" t="str">
        <f t="shared" si="18"/>
        <v>n/a</v>
      </c>
      <c r="R218" s="6" t="str">
        <f>IF(ABS(P218)&lt;Overview!$B$6,"OK",IF(J218=0,"REVIEW (zero base)",IF(ABS(P218/ABS(J218))&gt;=Overview!$B$5,"REVIEW","OK")))</f>
        <v>OK</v>
      </c>
      <c r="S218" s="33">
        <f t="shared" si="19"/>
        <v>661345.00021800003</v>
      </c>
    </row>
    <row r="219" spans="1:19" x14ac:dyDescent="0.2">
      <c r="A219" s="17">
        <v>217</v>
      </c>
      <c r="B219" s="17" t="s">
        <v>171</v>
      </c>
      <c r="C219" s="17" t="s">
        <v>338</v>
      </c>
      <c r="D219" s="17" t="s">
        <v>54</v>
      </c>
      <c r="E219" s="17" t="s">
        <v>80</v>
      </c>
      <c r="F219" s="17" t="s">
        <v>364</v>
      </c>
      <c r="G219" s="17" t="s">
        <v>370</v>
      </c>
      <c r="H219" s="30">
        <v>3742</v>
      </c>
      <c r="I219" s="30">
        <v>361077</v>
      </c>
      <c r="J219" s="30">
        <v>17103</v>
      </c>
      <c r="K219" s="30">
        <v>0</v>
      </c>
      <c r="L219" s="30">
        <v>0</v>
      </c>
      <c r="M219" s="31">
        <f t="shared" si="15"/>
        <v>-343974</v>
      </c>
      <c r="N219" s="32">
        <f t="shared" si="16"/>
        <v>-0.95263337182927743</v>
      </c>
      <c r="O219" s="6" t="str">
        <f>IF(ABS(M219)&lt;Overview!$B$6,"OK",IF(I219=0,"REVIEW (zero base)",IF(ABS(M219/ABS(I219))&gt;=Overview!$B$5,"REVIEW","OK")))</f>
        <v>REVIEW</v>
      </c>
      <c r="P219" s="31">
        <f t="shared" si="17"/>
        <v>-17103</v>
      </c>
      <c r="Q219" s="32">
        <f t="shared" si="18"/>
        <v>-1</v>
      </c>
      <c r="R219" s="6" t="str">
        <f>IF(ABS(P219)&lt;Overview!$B$6,"OK",IF(J219=0,"REVIEW (zero base)",IF(ABS(P219/ABS(J219))&gt;=Overview!$B$5,"REVIEW","OK")))</f>
        <v>OK</v>
      </c>
      <c r="S219" s="33">
        <f t="shared" si="19"/>
        <v>343974.00021899998</v>
      </c>
    </row>
    <row r="220" spans="1:19" x14ac:dyDescent="0.2">
      <c r="A220" s="17">
        <v>218</v>
      </c>
      <c r="B220" s="17" t="s">
        <v>171</v>
      </c>
      <c r="C220" s="17" t="s">
        <v>338</v>
      </c>
      <c r="D220" s="17" t="s">
        <v>54</v>
      </c>
      <c r="E220" s="17" t="s">
        <v>80</v>
      </c>
      <c r="F220" s="17" t="s">
        <v>371</v>
      </c>
      <c r="G220" s="17" t="s">
        <v>372</v>
      </c>
      <c r="H220" s="30">
        <v>26716167</v>
      </c>
      <c r="I220" s="30">
        <v>5432171</v>
      </c>
      <c r="J220" s="30">
        <v>10410001</v>
      </c>
      <c r="K220" s="30">
        <v>29864167</v>
      </c>
      <c r="L220" s="30">
        <v>30279166</v>
      </c>
      <c r="M220" s="31">
        <f t="shared" si="15"/>
        <v>4977830</v>
      </c>
      <c r="N220" s="32">
        <f t="shared" si="16"/>
        <v>0.91636106448048116</v>
      </c>
      <c r="O220" s="6" t="str">
        <f>IF(ABS(M220)&lt;Overview!$B$6,"OK",IF(I220=0,"REVIEW (zero base)",IF(ABS(M220/ABS(I220))&gt;=Overview!$B$5,"REVIEW","OK")))</f>
        <v>REVIEW</v>
      </c>
      <c r="P220" s="31">
        <f t="shared" si="17"/>
        <v>19454166</v>
      </c>
      <c r="Q220" s="32">
        <f t="shared" si="18"/>
        <v>1.8687957858985798</v>
      </c>
      <c r="R220" s="6" t="str">
        <f>IF(ABS(P220)&lt;Overview!$B$6,"OK",IF(J220=0,"REVIEW (zero base)",IF(ABS(P220/ABS(J220))&gt;=Overview!$B$5,"REVIEW","OK")))</f>
        <v>REVIEW</v>
      </c>
      <c r="S220" s="33">
        <f t="shared" si="19"/>
        <v>4977830.0002199998</v>
      </c>
    </row>
    <row r="221" spans="1:19" x14ac:dyDescent="0.2">
      <c r="A221" s="17">
        <v>219</v>
      </c>
      <c r="B221" s="17" t="s">
        <v>171</v>
      </c>
      <c r="C221" s="17" t="s">
        <v>338</v>
      </c>
      <c r="D221" s="17" t="s">
        <v>54</v>
      </c>
      <c r="E221" s="17" t="s">
        <v>80</v>
      </c>
      <c r="F221" s="17" t="s">
        <v>371</v>
      </c>
      <c r="G221" s="17" t="s">
        <v>373</v>
      </c>
      <c r="H221" s="30">
        <v>7068048</v>
      </c>
      <c r="I221" s="30">
        <v>21223227</v>
      </c>
      <c r="J221" s="30">
        <v>8047154</v>
      </c>
      <c r="K221" s="30">
        <v>16010029</v>
      </c>
      <c r="L221" s="30">
        <v>14746465</v>
      </c>
      <c r="M221" s="31">
        <f t="shared" si="15"/>
        <v>-13176073</v>
      </c>
      <c r="N221" s="32">
        <f t="shared" si="16"/>
        <v>-0.62083268486927079</v>
      </c>
      <c r="O221" s="6" t="str">
        <f>IF(ABS(M221)&lt;Overview!$B$6,"OK",IF(I221=0,"REVIEW (zero base)",IF(ABS(M221/ABS(I221))&gt;=Overview!$B$5,"REVIEW","OK")))</f>
        <v>REVIEW</v>
      </c>
      <c r="P221" s="31">
        <f t="shared" si="17"/>
        <v>7962875</v>
      </c>
      <c r="Q221" s="32">
        <f t="shared" si="18"/>
        <v>0.98952685632709403</v>
      </c>
      <c r="R221" s="6" t="str">
        <f>IF(ABS(P221)&lt;Overview!$B$6,"OK",IF(J221=0,"REVIEW (zero base)",IF(ABS(P221/ABS(J221))&gt;=Overview!$B$5,"REVIEW","OK")))</f>
        <v>REVIEW</v>
      </c>
      <c r="S221" s="33">
        <f t="shared" si="19"/>
        <v>13176073.000220999</v>
      </c>
    </row>
    <row r="222" spans="1:19" x14ac:dyDescent="0.2">
      <c r="A222" s="17">
        <v>220</v>
      </c>
      <c r="B222" s="17" t="s">
        <v>171</v>
      </c>
      <c r="C222" s="17" t="s">
        <v>338</v>
      </c>
      <c r="D222" s="17" t="s">
        <v>54</v>
      </c>
      <c r="E222" s="17" t="s">
        <v>98</v>
      </c>
      <c r="F222" s="17" t="s">
        <v>341</v>
      </c>
      <c r="G222" s="17" t="s">
        <v>342</v>
      </c>
      <c r="H222" s="30">
        <v>5157</v>
      </c>
      <c r="I222" s="30">
        <v>3335</v>
      </c>
      <c r="J222" s="30">
        <v>0</v>
      </c>
      <c r="K222" s="30">
        <v>0</v>
      </c>
      <c r="L222" s="30">
        <v>0</v>
      </c>
      <c r="M222" s="31">
        <f t="shared" si="15"/>
        <v>-3335</v>
      </c>
      <c r="N222" s="32">
        <f t="shared" si="16"/>
        <v>-1</v>
      </c>
      <c r="O222" s="6" t="str">
        <f>IF(ABS(M222)&lt;Overview!$B$6,"OK",IF(I222=0,"REVIEW (zero base)",IF(ABS(M222/ABS(I222))&gt;=Overview!$B$5,"REVIEW","OK")))</f>
        <v>OK</v>
      </c>
      <c r="P222" s="31">
        <f t="shared" si="17"/>
        <v>0</v>
      </c>
      <c r="Q222" s="32" t="str">
        <f t="shared" si="18"/>
        <v>n/a</v>
      </c>
      <c r="R222" s="6" t="str">
        <f>IF(ABS(P222)&lt;Overview!$B$6,"OK",IF(J222=0,"REVIEW (zero base)",IF(ABS(P222/ABS(J222))&gt;=Overview!$B$5,"REVIEW","OK")))</f>
        <v>OK</v>
      </c>
      <c r="S222" s="33">
        <f t="shared" si="19"/>
        <v>3335.0002220000001</v>
      </c>
    </row>
    <row r="223" spans="1:19" x14ac:dyDescent="0.2">
      <c r="A223" s="17">
        <v>221</v>
      </c>
      <c r="B223" s="17" t="s">
        <v>171</v>
      </c>
      <c r="C223" s="17" t="s">
        <v>338</v>
      </c>
      <c r="D223" s="17" t="s">
        <v>54</v>
      </c>
      <c r="E223" s="17" t="s">
        <v>98</v>
      </c>
      <c r="F223" s="17" t="s">
        <v>341</v>
      </c>
      <c r="G223" s="17" t="s">
        <v>374</v>
      </c>
      <c r="H223" s="30">
        <v>290442</v>
      </c>
      <c r="I223" s="30">
        <v>98632</v>
      </c>
      <c r="J223" s="30">
        <v>360000</v>
      </c>
      <c r="K223" s="30">
        <v>360000</v>
      </c>
      <c r="L223" s="30">
        <v>360000</v>
      </c>
      <c r="M223" s="31">
        <f t="shared" si="15"/>
        <v>261368</v>
      </c>
      <c r="N223" s="32">
        <f t="shared" si="16"/>
        <v>2.6499310568578149</v>
      </c>
      <c r="O223" s="6" t="str">
        <f>IF(ABS(M223)&lt;Overview!$B$6,"OK",IF(I223=0,"REVIEW (zero base)",IF(ABS(M223/ABS(I223))&gt;=Overview!$B$5,"REVIEW","OK")))</f>
        <v>REVIEW</v>
      </c>
      <c r="P223" s="31">
        <f t="shared" si="17"/>
        <v>0</v>
      </c>
      <c r="Q223" s="32">
        <f t="shared" si="18"/>
        <v>0</v>
      </c>
      <c r="R223" s="6" t="str">
        <f>IF(ABS(P223)&lt;Overview!$B$6,"OK",IF(J223=0,"REVIEW (zero base)",IF(ABS(P223/ABS(J223))&gt;=Overview!$B$5,"REVIEW","OK")))</f>
        <v>OK</v>
      </c>
      <c r="S223" s="33">
        <f t="shared" si="19"/>
        <v>261368.00022300001</v>
      </c>
    </row>
    <row r="224" spans="1:19" x14ac:dyDescent="0.2">
      <c r="A224" s="17">
        <v>222</v>
      </c>
      <c r="B224" s="17" t="s">
        <v>171</v>
      </c>
      <c r="C224" s="17" t="s">
        <v>338</v>
      </c>
      <c r="D224" s="17" t="s">
        <v>54</v>
      </c>
      <c r="E224" s="17" t="s">
        <v>98</v>
      </c>
      <c r="F224" s="17" t="s">
        <v>341</v>
      </c>
      <c r="G224" s="17" t="s">
        <v>375</v>
      </c>
      <c r="H224" s="30">
        <v>12502</v>
      </c>
      <c r="I224" s="30">
        <v>9910</v>
      </c>
      <c r="J224" s="30">
        <v>0</v>
      </c>
      <c r="K224" s="30">
        <v>0</v>
      </c>
      <c r="L224" s="30">
        <v>0</v>
      </c>
      <c r="M224" s="31">
        <f t="shared" si="15"/>
        <v>-9910</v>
      </c>
      <c r="N224" s="32">
        <f t="shared" si="16"/>
        <v>-1</v>
      </c>
      <c r="O224" s="6" t="str">
        <f>IF(ABS(M224)&lt;Overview!$B$6,"OK",IF(I224=0,"REVIEW (zero base)",IF(ABS(M224/ABS(I224))&gt;=Overview!$B$5,"REVIEW","OK")))</f>
        <v>OK</v>
      </c>
      <c r="P224" s="31">
        <f t="shared" si="17"/>
        <v>0</v>
      </c>
      <c r="Q224" s="32" t="str">
        <f t="shared" si="18"/>
        <v>n/a</v>
      </c>
      <c r="R224" s="6" t="str">
        <f>IF(ABS(P224)&lt;Overview!$B$6,"OK",IF(J224=0,"REVIEW (zero base)",IF(ABS(P224/ABS(J224))&gt;=Overview!$B$5,"REVIEW","OK")))</f>
        <v>OK</v>
      </c>
      <c r="S224" s="33">
        <f t="shared" si="19"/>
        <v>9910.0002239999994</v>
      </c>
    </row>
    <row r="225" spans="1:19" x14ac:dyDescent="0.2">
      <c r="A225" s="17">
        <v>223</v>
      </c>
      <c r="B225" s="17" t="s">
        <v>171</v>
      </c>
      <c r="C225" s="17" t="s">
        <v>338</v>
      </c>
      <c r="D225" s="17" t="s">
        <v>54</v>
      </c>
      <c r="E225" s="17" t="s">
        <v>98</v>
      </c>
      <c r="F225" s="17" t="s">
        <v>341</v>
      </c>
      <c r="G225" s="17" t="s">
        <v>376</v>
      </c>
      <c r="H225" s="30">
        <v>180</v>
      </c>
      <c r="I225" s="30">
        <v>182</v>
      </c>
      <c r="J225" s="30">
        <v>0</v>
      </c>
      <c r="K225" s="30">
        <v>0</v>
      </c>
      <c r="L225" s="30">
        <v>0</v>
      </c>
      <c r="M225" s="31">
        <f t="shared" si="15"/>
        <v>-182</v>
      </c>
      <c r="N225" s="32">
        <f t="shared" si="16"/>
        <v>-1</v>
      </c>
      <c r="O225" s="6" t="str">
        <f>IF(ABS(M225)&lt;Overview!$B$6,"OK",IF(I225=0,"REVIEW (zero base)",IF(ABS(M225/ABS(I225))&gt;=Overview!$B$5,"REVIEW","OK")))</f>
        <v>OK</v>
      </c>
      <c r="P225" s="31">
        <f t="shared" si="17"/>
        <v>0</v>
      </c>
      <c r="Q225" s="32" t="str">
        <f t="shared" si="18"/>
        <v>n/a</v>
      </c>
      <c r="R225" s="6" t="str">
        <f>IF(ABS(P225)&lt;Overview!$B$6,"OK",IF(J225=0,"REVIEW (zero base)",IF(ABS(P225/ABS(J225))&gt;=Overview!$B$5,"REVIEW","OK")))</f>
        <v>OK</v>
      </c>
      <c r="S225" s="33">
        <f t="shared" si="19"/>
        <v>182.000225</v>
      </c>
    </row>
    <row r="226" spans="1:19" x14ac:dyDescent="0.2">
      <c r="A226" s="17">
        <v>224</v>
      </c>
      <c r="B226" s="17" t="s">
        <v>171</v>
      </c>
      <c r="C226" s="17" t="s">
        <v>338</v>
      </c>
      <c r="D226" s="17" t="s">
        <v>54</v>
      </c>
      <c r="E226" s="17" t="s">
        <v>98</v>
      </c>
      <c r="F226" s="17" t="s">
        <v>341</v>
      </c>
      <c r="G226" s="17" t="s">
        <v>377</v>
      </c>
      <c r="H226" s="30">
        <v>1299868</v>
      </c>
      <c r="I226" s="30">
        <v>1359035</v>
      </c>
      <c r="J226" s="30">
        <v>1426564</v>
      </c>
      <c r="K226" s="30">
        <v>1455096</v>
      </c>
      <c r="L226" s="30">
        <v>1455096</v>
      </c>
      <c r="M226" s="31">
        <f t="shared" si="15"/>
        <v>67529</v>
      </c>
      <c r="N226" s="32">
        <f t="shared" si="16"/>
        <v>4.9688933691921108E-2</v>
      </c>
      <c r="O226" s="6" t="str">
        <f>IF(ABS(M226)&lt;Overview!$B$6,"OK",IF(I226=0,"REVIEW (zero base)",IF(ABS(M226/ABS(I226))&gt;=Overview!$B$5,"REVIEW","OK")))</f>
        <v>OK</v>
      </c>
      <c r="P226" s="31">
        <f t="shared" si="17"/>
        <v>28532</v>
      </c>
      <c r="Q226" s="32">
        <f t="shared" si="18"/>
        <v>2.0000504709217392E-2</v>
      </c>
      <c r="R226" s="6" t="str">
        <f>IF(ABS(P226)&lt;Overview!$B$6,"OK",IF(J226=0,"REVIEW (zero base)",IF(ABS(P226/ABS(J226))&gt;=Overview!$B$5,"REVIEW","OK")))</f>
        <v>OK</v>
      </c>
      <c r="S226" s="33">
        <f t="shared" si="19"/>
        <v>67529.000226000004</v>
      </c>
    </row>
    <row r="227" spans="1:19" x14ac:dyDescent="0.2">
      <c r="A227" s="17">
        <v>225</v>
      </c>
      <c r="B227" s="17" t="s">
        <v>171</v>
      </c>
      <c r="C227" s="17" t="s">
        <v>338</v>
      </c>
      <c r="D227" s="17" t="s">
        <v>54</v>
      </c>
      <c r="E227" s="17" t="s">
        <v>98</v>
      </c>
      <c r="F227" s="17" t="s">
        <v>341</v>
      </c>
      <c r="G227" s="17" t="s">
        <v>343</v>
      </c>
      <c r="H227" s="30">
        <v>80</v>
      </c>
      <c r="I227" s="30">
        <v>48</v>
      </c>
      <c r="J227" s="30">
        <v>0</v>
      </c>
      <c r="K227" s="30">
        <v>0</v>
      </c>
      <c r="L227" s="30">
        <v>0</v>
      </c>
      <c r="M227" s="31">
        <f t="shared" si="15"/>
        <v>-48</v>
      </c>
      <c r="N227" s="32">
        <f t="shared" si="16"/>
        <v>-1</v>
      </c>
      <c r="O227" s="6" t="str">
        <f>IF(ABS(M227)&lt;Overview!$B$6,"OK",IF(I227=0,"REVIEW (zero base)",IF(ABS(M227/ABS(I227))&gt;=Overview!$B$5,"REVIEW","OK")))</f>
        <v>OK</v>
      </c>
      <c r="P227" s="31">
        <f t="shared" si="17"/>
        <v>0</v>
      </c>
      <c r="Q227" s="32" t="str">
        <f t="shared" si="18"/>
        <v>n/a</v>
      </c>
      <c r="R227" s="6" t="str">
        <f>IF(ABS(P227)&lt;Overview!$B$6,"OK",IF(J227=0,"REVIEW (zero base)",IF(ABS(P227/ABS(J227))&gt;=Overview!$B$5,"REVIEW","OK")))</f>
        <v>OK</v>
      </c>
      <c r="S227" s="33">
        <f t="shared" si="19"/>
        <v>48.000227000000002</v>
      </c>
    </row>
    <row r="228" spans="1:19" x14ac:dyDescent="0.2">
      <c r="A228" s="17">
        <v>226</v>
      </c>
      <c r="B228" s="17" t="s">
        <v>171</v>
      </c>
      <c r="C228" s="17" t="s">
        <v>338</v>
      </c>
      <c r="D228" s="17" t="s">
        <v>54</v>
      </c>
      <c r="E228" s="17" t="s">
        <v>98</v>
      </c>
      <c r="F228" s="17" t="s">
        <v>341</v>
      </c>
      <c r="G228" s="17" t="s">
        <v>378</v>
      </c>
      <c r="H228" s="30">
        <v>14172</v>
      </c>
      <c r="I228" s="30">
        <v>11386</v>
      </c>
      <c r="J228" s="30">
        <v>0</v>
      </c>
      <c r="K228" s="30">
        <v>0</v>
      </c>
      <c r="L228" s="30">
        <v>0</v>
      </c>
      <c r="M228" s="31">
        <f t="shared" si="15"/>
        <v>-11386</v>
      </c>
      <c r="N228" s="32">
        <f t="shared" si="16"/>
        <v>-1</v>
      </c>
      <c r="O228" s="6" t="str">
        <f>IF(ABS(M228)&lt;Overview!$B$6,"OK",IF(I228=0,"REVIEW (zero base)",IF(ABS(M228/ABS(I228))&gt;=Overview!$B$5,"REVIEW","OK")))</f>
        <v>OK</v>
      </c>
      <c r="P228" s="31">
        <f t="shared" si="17"/>
        <v>0</v>
      </c>
      <c r="Q228" s="32" t="str">
        <f t="shared" si="18"/>
        <v>n/a</v>
      </c>
      <c r="R228" s="6" t="str">
        <f>IF(ABS(P228)&lt;Overview!$B$6,"OK",IF(J228=0,"REVIEW (zero base)",IF(ABS(P228/ABS(J228))&gt;=Overview!$B$5,"REVIEW","OK")))</f>
        <v>OK</v>
      </c>
      <c r="S228" s="33">
        <f t="shared" si="19"/>
        <v>11386.000228000001</v>
      </c>
    </row>
    <row r="229" spans="1:19" x14ac:dyDescent="0.2">
      <c r="A229" s="17">
        <v>227</v>
      </c>
      <c r="B229" s="17" t="s">
        <v>171</v>
      </c>
      <c r="C229" s="17" t="s">
        <v>338</v>
      </c>
      <c r="D229" s="17" t="s">
        <v>54</v>
      </c>
      <c r="E229" s="17" t="s">
        <v>98</v>
      </c>
      <c r="F229" s="17" t="s">
        <v>341</v>
      </c>
      <c r="G229" s="17" t="s">
        <v>344</v>
      </c>
      <c r="H229" s="30">
        <v>275280</v>
      </c>
      <c r="I229" s="30">
        <v>310567</v>
      </c>
      <c r="J229" s="30">
        <v>0</v>
      </c>
      <c r="K229" s="30">
        <v>0</v>
      </c>
      <c r="L229" s="30">
        <v>0</v>
      </c>
      <c r="M229" s="31">
        <f t="shared" si="15"/>
        <v>-310567</v>
      </c>
      <c r="N229" s="32">
        <f t="shared" si="16"/>
        <v>-1</v>
      </c>
      <c r="O229" s="6" t="str">
        <f>IF(ABS(M229)&lt;Overview!$B$6,"OK",IF(I229=0,"REVIEW (zero base)",IF(ABS(M229/ABS(I229))&gt;=Overview!$B$5,"REVIEW","OK")))</f>
        <v>REVIEW</v>
      </c>
      <c r="P229" s="31">
        <f t="shared" si="17"/>
        <v>0</v>
      </c>
      <c r="Q229" s="32" t="str">
        <f t="shared" si="18"/>
        <v>n/a</v>
      </c>
      <c r="R229" s="6" t="str">
        <f>IF(ABS(P229)&lt;Overview!$B$6,"OK",IF(J229=0,"REVIEW (zero base)",IF(ABS(P229/ABS(J229))&gt;=Overview!$B$5,"REVIEW","OK")))</f>
        <v>OK</v>
      </c>
      <c r="S229" s="33">
        <f t="shared" si="19"/>
        <v>310567.000229</v>
      </c>
    </row>
    <row r="230" spans="1:19" x14ac:dyDescent="0.2">
      <c r="A230" s="17">
        <v>228</v>
      </c>
      <c r="B230" s="17" t="s">
        <v>171</v>
      </c>
      <c r="C230" s="17" t="s">
        <v>338</v>
      </c>
      <c r="D230" s="17" t="s">
        <v>54</v>
      </c>
      <c r="E230" s="17" t="s">
        <v>98</v>
      </c>
      <c r="F230" s="17" t="s">
        <v>364</v>
      </c>
      <c r="G230" s="17" t="s">
        <v>379</v>
      </c>
      <c r="H230" s="30">
        <v>192005</v>
      </c>
      <c r="I230" s="30">
        <v>179882</v>
      </c>
      <c r="J230" s="30">
        <v>275000</v>
      </c>
      <c r="K230" s="30">
        <v>220000</v>
      </c>
      <c r="L230" s="30">
        <v>221540</v>
      </c>
      <c r="M230" s="31">
        <f t="shared" si="15"/>
        <v>95118</v>
      </c>
      <c r="N230" s="32">
        <f t="shared" si="16"/>
        <v>0.52877997798556831</v>
      </c>
      <c r="O230" s="6" t="str">
        <f>IF(ABS(M230)&lt;Overview!$B$6,"OK",IF(I230=0,"REVIEW (zero base)",IF(ABS(M230/ABS(I230))&gt;=Overview!$B$5,"REVIEW","OK")))</f>
        <v>OK</v>
      </c>
      <c r="P230" s="31">
        <f t="shared" si="17"/>
        <v>-55000</v>
      </c>
      <c r="Q230" s="32">
        <f t="shared" si="18"/>
        <v>-0.2</v>
      </c>
      <c r="R230" s="6" t="str">
        <f>IF(ABS(P230)&lt;Overview!$B$6,"OK",IF(J230=0,"REVIEW (zero base)",IF(ABS(P230/ABS(J230))&gt;=Overview!$B$5,"REVIEW","OK")))</f>
        <v>OK</v>
      </c>
      <c r="S230" s="33">
        <f t="shared" si="19"/>
        <v>95118.000230000005</v>
      </c>
    </row>
    <row r="231" spans="1:19" x14ac:dyDescent="0.2">
      <c r="A231" s="17">
        <v>229</v>
      </c>
      <c r="B231" s="17" t="s">
        <v>171</v>
      </c>
      <c r="C231" s="17" t="s">
        <v>338</v>
      </c>
      <c r="D231" s="17" t="s">
        <v>54</v>
      </c>
      <c r="E231" s="17" t="s">
        <v>98</v>
      </c>
      <c r="F231" s="17" t="s">
        <v>347</v>
      </c>
      <c r="G231" s="17" t="s">
        <v>348</v>
      </c>
      <c r="H231" s="30">
        <v>48994</v>
      </c>
      <c r="I231" s="30">
        <v>46532</v>
      </c>
      <c r="J231" s="30">
        <v>55000</v>
      </c>
      <c r="K231" s="30">
        <v>55000</v>
      </c>
      <c r="L231" s="30">
        <v>55385</v>
      </c>
      <c r="M231" s="31">
        <f t="shared" si="15"/>
        <v>8468</v>
      </c>
      <c r="N231" s="32">
        <f t="shared" si="16"/>
        <v>0.18198229175621078</v>
      </c>
      <c r="O231" s="6" t="str">
        <f>IF(ABS(M231)&lt;Overview!$B$6,"OK",IF(I231=0,"REVIEW (zero base)",IF(ABS(M231/ABS(I231))&gt;=Overview!$B$5,"REVIEW","OK")))</f>
        <v>OK</v>
      </c>
      <c r="P231" s="31">
        <f t="shared" si="17"/>
        <v>0</v>
      </c>
      <c r="Q231" s="32">
        <f t="shared" si="18"/>
        <v>0</v>
      </c>
      <c r="R231" s="6" t="str">
        <f>IF(ABS(P231)&lt;Overview!$B$6,"OK",IF(J231=0,"REVIEW (zero base)",IF(ABS(P231/ABS(J231))&gt;=Overview!$B$5,"REVIEW","OK")))</f>
        <v>OK</v>
      </c>
      <c r="S231" s="33">
        <f t="shared" si="19"/>
        <v>8468.000231</v>
      </c>
    </row>
    <row r="232" spans="1:19" x14ac:dyDescent="0.2">
      <c r="A232" s="17">
        <v>230</v>
      </c>
      <c r="B232" s="17" t="s">
        <v>171</v>
      </c>
      <c r="C232" s="17" t="s">
        <v>338</v>
      </c>
      <c r="D232" s="17" t="s">
        <v>54</v>
      </c>
      <c r="E232" s="17" t="s">
        <v>81</v>
      </c>
      <c r="F232" s="17" t="s">
        <v>341</v>
      </c>
      <c r="G232" s="17" t="s">
        <v>380</v>
      </c>
      <c r="H232" s="30">
        <v>81782</v>
      </c>
      <c r="I232" s="30">
        <v>126971</v>
      </c>
      <c r="J232" s="30">
        <v>150000</v>
      </c>
      <c r="K232" s="30">
        <v>130000</v>
      </c>
      <c r="L232" s="30">
        <v>130000</v>
      </c>
      <c r="M232" s="31">
        <f t="shared" si="15"/>
        <v>23029</v>
      </c>
      <c r="N232" s="32">
        <f t="shared" si="16"/>
        <v>0.18137212434335401</v>
      </c>
      <c r="O232" s="6" t="str">
        <f>IF(ABS(M232)&lt;Overview!$B$6,"OK",IF(I232=0,"REVIEW (zero base)",IF(ABS(M232/ABS(I232))&gt;=Overview!$B$5,"REVIEW","OK")))</f>
        <v>OK</v>
      </c>
      <c r="P232" s="31">
        <f t="shared" si="17"/>
        <v>-20000</v>
      </c>
      <c r="Q232" s="32">
        <f t="shared" si="18"/>
        <v>-0.13333333333333333</v>
      </c>
      <c r="R232" s="6" t="str">
        <f>IF(ABS(P232)&lt;Overview!$B$6,"OK",IF(J232=0,"REVIEW (zero base)",IF(ABS(P232/ABS(J232))&gt;=Overview!$B$5,"REVIEW","OK")))</f>
        <v>OK</v>
      </c>
      <c r="S232" s="33">
        <f t="shared" si="19"/>
        <v>23029.000231999999</v>
      </c>
    </row>
    <row r="233" spans="1:19" x14ac:dyDescent="0.2">
      <c r="A233" s="17">
        <v>231</v>
      </c>
      <c r="B233" s="17" t="s">
        <v>171</v>
      </c>
      <c r="C233" s="17" t="s">
        <v>338</v>
      </c>
      <c r="D233" s="17" t="s">
        <v>54</v>
      </c>
      <c r="E233" s="17" t="s">
        <v>81</v>
      </c>
      <c r="F233" s="17" t="s">
        <v>341</v>
      </c>
      <c r="G233" s="17" t="s">
        <v>375</v>
      </c>
      <c r="H233" s="30">
        <v>-20442</v>
      </c>
      <c r="I233" s="30">
        <v>0</v>
      </c>
      <c r="J233" s="30">
        <v>0</v>
      </c>
      <c r="K233" s="30">
        <v>0</v>
      </c>
      <c r="L233" s="30">
        <v>0</v>
      </c>
      <c r="M233" s="31">
        <f t="shared" si="15"/>
        <v>0</v>
      </c>
      <c r="N233" s="32" t="str">
        <f t="shared" si="16"/>
        <v>n/a</v>
      </c>
      <c r="O233" s="6" t="str">
        <f>IF(ABS(M233)&lt;Overview!$B$6,"OK",IF(I233=0,"REVIEW (zero base)",IF(ABS(M233/ABS(I233))&gt;=Overview!$B$5,"REVIEW","OK")))</f>
        <v>OK</v>
      </c>
      <c r="P233" s="31">
        <f t="shared" si="17"/>
        <v>0</v>
      </c>
      <c r="Q233" s="32" t="str">
        <f t="shared" si="18"/>
        <v>n/a</v>
      </c>
      <c r="R233" s="6" t="str">
        <f>IF(ABS(P233)&lt;Overview!$B$6,"OK",IF(J233=0,"REVIEW (zero base)",IF(ABS(P233/ABS(J233))&gt;=Overview!$B$5,"REVIEW","OK")))</f>
        <v>OK</v>
      </c>
      <c r="S233" s="33">
        <f t="shared" si="19"/>
        <v>2.33E-4</v>
      </c>
    </row>
    <row r="234" spans="1:19" x14ac:dyDescent="0.2">
      <c r="A234" s="17">
        <v>232</v>
      </c>
      <c r="B234" s="17" t="s">
        <v>171</v>
      </c>
      <c r="C234" s="17" t="s">
        <v>338</v>
      </c>
      <c r="D234" s="17" t="s">
        <v>54</v>
      </c>
      <c r="E234" s="17" t="s">
        <v>81</v>
      </c>
      <c r="F234" s="17" t="s">
        <v>341</v>
      </c>
      <c r="G234" s="17" t="s">
        <v>381</v>
      </c>
      <c r="H234" s="30">
        <v>183920</v>
      </c>
      <c r="I234" s="30">
        <v>213571</v>
      </c>
      <c r="J234" s="30">
        <v>220000</v>
      </c>
      <c r="K234" s="30">
        <v>220000</v>
      </c>
      <c r="L234" s="30">
        <v>240000</v>
      </c>
      <c r="M234" s="31">
        <f t="shared" si="15"/>
        <v>6429</v>
      </c>
      <c r="N234" s="32">
        <f t="shared" si="16"/>
        <v>3.0102401543280689E-2</v>
      </c>
      <c r="O234" s="6" t="str">
        <f>IF(ABS(M234)&lt;Overview!$B$6,"OK",IF(I234=0,"REVIEW (zero base)",IF(ABS(M234/ABS(I234))&gt;=Overview!$B$5,"REVIEW","OK")))</f>
        <v>OK</v>
      </c>
      <c r="P234" s="31">
        <f t="shared" si="17"/>
        <v>0</v>
      </c>
      <c r="Q234" s="32">
        <f t="shared" si="18"/>
        <v>0</v>
      </c>
      <c r="R234" s="6" t="str">
        <f>IF(ABS(P234)&lt;Overview!$B$6,"OK",IF(J234=0,"REVIEW (zero base)",IF(ABS(P234/ABS(J234))&gt;=Overview!$B$5,"REVIEW","OK")))</f>
        <v>OK</v>
      </c>
      <c r="S234" s="33">
        <f t="shared" si="19"/>
        <v>6429.0002340000001</v>
      </c>
    </row>
    <row r="235" spans="1:19" x14ac:dyDescent="0.2">
      <c r="A235" s="17">
        <v>233</v>
      </c>
      <c r="B235" s="17" t="s">
        <v>171</v>
      </c>
      <c r="C235" s="17" t="s">
        <v>338</v>
      </c>
      <c r="D235" s="17" t="s">
        <v>54</v>
      </c>
      <c r="E235" s="17" t="s">
        <v>81</v>
      </c>
      <c r="F235" s="17" t="s">
        <v>341</v>
      </c>
      <c r="G235" s="17" t="s">
        <v>378</v>
      </c>
      <c r="H235" s="30">
        <v>221966</v>
      </c>
      <c r="I235" s="30">
        <v>187481</v>
      </c>
      <c r="J235" s="30">
        <v>0</v>
      </c>
      <c r="K235" s="30">
        <v>0</v>
      </c>
      <c r="L235" s="30">
        <v>0</v>
      </c>
      <c r="M235" s="31">
        <f t="shared" si="15"/>
        <v>-187481</v>
      </c>
      <c r="N235" s="32">
        <f t="shared" si="16"/>
        <v>-1</v>
      </c>
      <c r="O235" s="6" t="str">
        <f>IF(ABS(M235)&lt;Overview!$B$6,"OK",IF(I235=0,"REVIEW (zero base)",IF(ABS(M235/ABS(I235))&gt;=Overview!$B$5,"REVIEW","OK")))</f>
        <v>OK</v>
      </c>
      <c r="P235" s="31">
        <f t="shared" si="17"/>
        <v>0</v>
      </c>
      <c r="Q235" s="32" t="str">
        <f t="shared" si="18"/>
        <v>n/a</v>
      </c>
      <c r="R235" s="6" t="str">
        <f>IF(ABS(P235)&lt;Overview!$B$6,"OK",IF(J235=0,"REVIEW (zero base)",IF(ABS(P235/ABS(J235))&gt;=Overview!$B$5,"REVIEW","OK")))</f>
        <v>OK</v>
      </c>
      <c r="S235" s="33">
        <f t="shared" si="19"/>
        <v>187481.00023500001</v>
      </c>
    </row>
    <row r="236" spans="1:19" x14ac:dyDescent="0.2">
      <c r="A236" s="17">
        <v>234</v>
      </c>
      <c r="B236" s="17" t="s">
        <v>171</v>
      </c>
      <c r="C236" s="17" t="s">
        <v>338</v>
      </c>
      <c r="D236" s="17" t="s">
        <v>54</v>
      </c>
      <c r="E236" s="17" t="s">
        <v>81</v>
      </c>
      <c r="F236" s="17" t="s">
        <v>341</v>
      </c>
      <c r="G236" s="17" t="s">
        <v>382</v>
      </c>
      <c r="H236" s="30">
        <v>26039082</v>
      </c>
      <c r="I236" s="30">
        <v>29134481</v>
      </c>
      <c r="J236" s="30">
        <v>27757393</v>
      </c>
      <c r="K236" s="30">
        <v>27212182</v>
      </c>
      <c r="L236" s="30">
        <v>27756426</v>
      </c>
      <c r="M236" s="31">
        <f t="shared" si="15"/>
        <v>-1377088</v>
      </c>
      <c r="N236" s="32">
        <f t="shared" si="16"/>
        <v>-4.7266604817844532E-2</v>
      </c>
      <c r="O236" s="6" t="str">
        <f>IF(ABS(M236)&lt;Overview!$B$6,"OK",IF(I236=0,"REVIEW (zero base)",IF(ABS(M236/ABS(I236))&gt;=Overview!$B$5,"REVIEW","OK")))</f>
        <v>OK</v>
      </c>
      <c r="P236" s="31">
        <f t="shared" si="17"/>
        <v>-545211</v>
      </c>
      <c r="Q236" s="32">
        <f t="shared" si="18"/>
        <v>-1.9642010328563636E-2</v>
      </c>
      <c r="R236" s="6" t="str">
        <f>IF(ABS(P236)&lt;Overview!$B$6,"OK",IF(J236=0,"REVIEW (zero base)",IF(ABS(P236/ABS(J236))&gt;=Overview!$B$5,"REVIEW","OK")))</f>
        <v>OK</v>
      </c>
      <c r="S236" s="33">
        <f t="shared" si="19"/>
        <v>1377088.0002359999</v>
      </c>
    </row>
    <row r="237" spans="1:19" x14ac:dyDescent="0.2">
      <c r="A237" s="17">
        <v>235</v>
      </c>
      <c r="B237" s="17" t="s">
        <v>171</v>
      </c>
      <c r="C237" s="17" t="s">
        <v>338</v>
      </c>
      <c r="D237" s="17" t="s">
        <v>54</v>
      </c>
      <c r="E237" s="17" t="s">
        <v>81</v>
      </c>
      <c r="F237" s="17" t="s">
        <v>347</v>
      </c>
      <c r="G237" s="17" t="s">
        <v>348</v>
      </c>
      <c r="H237" s="30">
        <v>411</v>
      </c>
      <c r="I237" s="30">
        <v>0</v>
      </c>
      <c r="J237" s="30">
        <v>0</v>
      </c>
      <c r="K237" s="30">
        <v>0</v>
      </c>
      <c r="L237" s="30">
        <v>0</v>
      </c>
      <c r="M237" s="31">
        <f t="shared" si="15"/>
        <v>0</v>
      </c>
      <c r="N237" s="32" t="str">
        <f t="shared" si="16"/>
        <v>n/a</v>
      </c>
      <c r="O237" s="6" t="str">
        <f>IF(ABS(M237)&lt;Overview!$B$6,"OK",IF(I237=0,"REVIEW (zero base)",IF(ABS(M237/ABS(I237))&gt;=Overview!$B$5,"REVIEW","OK")))</f>
        <v>OK</v>
      </c>
      <c r="P237" s="31">
        <f t="shared" si="17"/>
        <v>0</v>
      </c>
      <c r="Q237" s="32" t="str">
        <f t="shared" si="18"/>
        <v>n/a</v>
      </c>
      <c r="R237" s="6" t="str">
        <f>IF(ABS(P237)&lt;Overview!$B$6,"OK",IF(J237=0,"REVIEW (zero base)",IF(ABS(P237/ABS(J237))&gt;=Overview!$B$5,"REVIEW","OK")))</f>
        <v>OK</v>
      </c>
      <c r="S237" s="33">
        <f t="shared" si="19"/>
        <v>2.3699999999999999E-4</v>
      </c>
    </row>
    <row r="238" spans="1:19" x14ac:dyDescent="0.2">
      <c r="A238" s="17">
        <v>236</v>
      </c>
      <c r="B238" s="17" t="s">
        <v>171</v>
      </c>
      <c r="C238" s="17" t="s">
        <v>338</v>
      </c>
      <c r="D238" s="17" t="s">
        <v>61</v>
      </c>
      <c r="E238" s="17" t="s">
        <v>122</v>
      </c>
      <c r="F238" s="17" t="s">
        <v>339</v>
      </c>
      <c r="G238" s="17" t="s">
        <v>340</v>
      </c>
      <c r="H238" s="30">
        <v>285503</v>
      </c>
      <c r="I238" s="30">
        <v>272021</v>
      </c>
      <c r="J238" s="30">
        <v>285645</v>
      </c>
      <c r="K238" s="30">
        <v>315173</v>
      </c>
      <c r="L238" s="30">
        <v>318325</v>
      </c>
      <c r="M238" s="31">
        <f t="shared" si="15"/>
        <v>13624</v>
      </c>
      <c r="N238" s="32">
        <f t="shared" si="16"/>
        <v>5.0084368486256574E-2</v>
      </c>
      <c r="O238" s="6" t="str">
        <f>IF(ABS(M238)&lt;Overview!$B$6,"OK",IF(I238=0,"REVIEW (zero base)",IF(ABS(M238/ABS(I238))&gt;=Overview!$B$5,"REVIEW","OK")))</f>
        <v>OK</v>
      </c>
      <c r="P238" s="31">
        <f t="shared" si="17"/>
        <v>29528</v>
      </c>
      <c r="Q238" s="32">
        <f t="shared" si="18"/>
        <v>0.10337306796898248</v>
      </c>
      <c r="R238" s="6" t="str">
        <f>IF(ABS(P238)&lt;Overview!$B$6,"OK",IF(J238=0,"REVIEW (zero base)",IF(ABS(P238/ABS(J238))&gt;=Overview!$B$5,"REVIEW","OK")))</f>
        <v>OK</v>
      </c>
      <c r="S238" s="33">
        <f t="shared" si="19"/>
        <v>13624.000238000001</v>
      </c>
    </row>
    <row r="239" spans="1:19" x14ac:dyDescent="0.2">
      <c r="A239" s="17">
        <v>237</v>
      </c>
      <c r="B239" s="17" t="s">
        <v>171</v>
      </c>
      <c r="C239" s="17" t="s">
        <v>338</v>
      </c>
      <c r="D239" s="17" t="s">
        <v>61</v>
      </c>
      <c r="E239" s="17" t="s">
        <v>122</v>
      </c>
      <c r="F239" s="17" t="s">
        <v>341</v>
      </c>
      <c r="G239" s="17" t="s">
        <v>342</v>
      </c>
      <c r="H239" s="30">
        <v>11441</v>
      </c>
      <c r="I239" s="30">
        <v>9457</v>
      </c>
      <c r="J239" s="30">
        <v>13704</v>
      </c>
      <c r="K239" s="30">
        <v>13704</v>
      </c>
      <c r="L239" s="30">
        <v>13704</v>
      </c>
      <c r="M239" s="31">
        <f t="shared" si="15"/>
        <v>4247</v>
      </c>
      <c r="N239" s="32">
        <f t="shared" si="16"/>
        <v>0.44908533361531139</v>
      </c>
      <c r="O239" s="6" t="str">
        <f>IF(ABS(M239)&lt;Overview!$B$6,"OK",IF(I239=0,"REVIEW (zero base)",IF(ABS(M239/ABS(I239))&gt;=Overview!$B$5,"REVIEW","OK")))</f>
        <v>OK</v>
      </c>
      <c r="P239" s="31">
        <f t="shared" si="17"/>
        <v>0</v>
      </c>
      <c r="Q239" s="32">
        <f t="shared" si="18"/>
        <v>0</v>
      </c>
      <c r="R239" s="6" t="str">
        <f>IF(ABS(P239)&lt;Overview!$B$6,"OK",IF(J239=0,"REVIEW (zero base)",IF(ABS(P239/ABS(J239))&gt;=Overview!$B$5,"REVIEW","OK")))</f>
        <v>OK</v>
      </c>
      <c r="S239" s="33">
        <f t="shared" si="19"/>
        <v>4247.000239</v>
      </c>
    </row>
    <row r="240" spans="1:19" x14ac:dyDescent="0.2">
      <c r="A240" s="17">
        <v>238</v>
      </c>
      <c r="B240" s="17" t="s">
        <v>171</v>
      </c>
      <c r="C240" s="17" t="s">
        <v>338</v>
      </c>
      <c r="D240" s="17" t="s">
        <v>61</v>
      </c>
      <c r="E240" s="17" t="s">
        <v>122</v>
      </c>
      <c r="F240" s="17" t="s">
        <v>341</v>
      </c>
      <c r="G240" s="17" t="s">
        <v>376</v>
      </c>
      <c r="H240" s="30">
        <v>70369</v>
      </c>
      <c r="I240" s="30">
        <v>67246</v>
      </c>
      <c r="J240" s="30">
        <v>78695</v>
      </c>
      <c r="K240" s="30">
        <v>70068</v>
      </c>
      <c r="L240" s="30">
        <v>73733</v>
      </c>
      <c r="M240" s="31">
        <f t="shared" si="15"/>
        <v>11449</v>
      </c>
      <c r="N240" s="32">
        <f t="shared" si="16"/>
        <v>0.17025547987984416</v>
      </c>
      <c r="O240" s="6" t="str">
        <f>IF(ABS(M240)&lt;Overview!$B$6,"OK",IF(I240=0,"REVIEW (zero base)",IF(ABS(M240/ABS(I240))&gt;=Overview!$B$5,"REVIEW","OK")))</f>
        <v>OK</v>
      </c>
      <c r="P240" s="31">
        <f t="shared" si="17"/>
        <v>-8627</v>
      </c>
      <c r="Q240" s="32">
        <f t="shared" si="18"/>
        <v>-0.10962577037931254</v>
      </c>
      <c r="R240" s="6" t="str">
        <f>IF(ABS(P240)&lt;Overview!$B$6,"OK",IF(J240=0,"REVIEW (zero base)",IF(ABS(P240/ABS(J240))&gt;=Overview!$B$5,"REVIEW","OK")))</f>
        <v>OK</v>
      </c>
      <c r="S240" s="33">
        <f t="shared" si="19"/>
        <v>11449.000239999999</v>
      </c>
    </row>
    <row r="241" spans="1:19" x14ac:dyDescent="0.2">
      <c r="A241" s="17">
        <v>239</v>
      </c>
      <c r="B241" s="17" t="s">
        <v>171</v>
      </c>
      <c r="C241" s="17" t="s">
        <v>338</v>
      </c>
      <c r="D241" s="17" t="s">
        <v>61</v>
      </c>
      <c r="E241" s="17" t="s">
        <v>122</v>
      </c>
      <c r="F241" s="17" t="s">
        <v>341</v>
      </c>
      <c r="G241" s="17" t="s">
        <v>343</v>
      </c>
      <c r="H241" s="30">
        <v>20809</v>
      </c>
      <c r="I241" s="30">
        <v>19997</v>
      </c>
      <c r="J241" s="30">
        <v>21852</v>
      </c>
      <c r="K241" s="30">
        <v>21852</v>
      </c>
      <c r="L241" s="30">
        <v>22071</v>
      </c>
      <c r="M241" s="31">
        <f t="shared" si="15"/>
        <v>1855</v>
      </c>
      <c r="N241" s="32">
        <f t="shared" si="16"/>
        <v>9.2763914587188079E-2</v>
      </c>
      <c r="O241" s="6" t="str">
        <f>IF(ABS(M241)&lt;Overview!$B$6,"OK",IF(I241=0,"REVIEW (zero base)",IF(ABS(M241/ABS(I241))&gt;=Overview!$B$5,"REVIEW","OK")))</f>
        <v>OK</v>
      </c>
      <c r="P241" s="31">
        <f t="shared" si="17"/>
        <v>0</v>
      </c>
      <c r="Q241" s="32">
        <f t="shared" si="18"/>
        <v>0</v>
      </c>
      <c r="R241" s="6" t="str">
        <f>IF(ABS(P241)&lt;Overview!$B$6,"OK",IF(J241=0,"REVIEW (zero base)",IF(ABS(P241/ABS(J241))&gt;=Overview!$B$5,"REVIEW","OK")))</f>
        <v>OK</v>
      </c>
      <c r="S241" s="33">
        <f t="shared" si="19"/>
        <v>1855.000241</v>
      </c>
    </row>
    <row r="242" spans="1:19" x14ac:dyDescent="0.2">
      <c r="A242" s="17">
        <v>240</v>
      </c>
      <c r="B242" s="17" t="s">
        <v>171</v>
      </c>
      <c r="C242" s="17" t="s">
        <v>338</v>
      </c>
      <c r="D242" s="17" t="s">
        <v>61</v>
      </c>
      <c r="E242" s="17" t="s">
        <v>122</v>
      </c>
      <c r="F242" s="17" t="s">
        <v>341</v>
      </c>
      <c r="G242" s="17" t="s">
        <v>344</v>
      </c>
      <c r="H242" s="30">
        <v>70376</v>
      </c>
      <c r="I242" s="30">
        <v>49238</v>
      </c>
      <c r="J242" s="30">
        <v>62175</v>
      </c>
      <c r="K242" s="30">
        <v>72420</v>
      </c>
      <c r="L242" s="30">
        <v>73868</v>
      </c>
      <c r="M242" s="31">
        <f t="shared" si="15"/>
        <v>12937</v>
      </c>
      <c r="N242" s="32">
        <f t="shared" si="16"/>
        <v>0.26274422194240221</v>
      </c>
      <c r="O242" s="6" t="str">
        <f>IF(ABS(M242)&lt;Overview!$B$6,"OK",IF(I242=0,"REVIEW (zero base)",IF(ABS(M242/ABS(I242))&gt;=Overview!$B$5,"REVIEW","OK")))</f>
        <v>OK</v>
      </c>
      <c r="P242" s="31">
        <f t="shared" si="17"/>
        <v>10245</v>
      </c>
      <c r="Q242" s="32">
        <f t="shared" si="18"/>
        <v>0.16477683956574185</v>
      </c>
      <c r="R242" s="6" t="str">
        <f>IF(ABS(P242)&lt;Overview!$B$6,"OK",IF(J242=0,"REVIEW (zero base)",IF(ABS(P242/ABS(J242))&gt;=Overview!$B$5,"REVIEW","OK")))</f>
        <v>OK</v>
      </c>
      <c r="S242" s="33">
        <f t="shared" si="19"/>
        <v>12937.000242</v>
      </c>
    </row>
    <row r="243" spans="1:19" x14ac:dyDescent="0.2">
      <c r="A243" s="17">
        <v>241</v>
      </c>
      <c r="B243" s="17" t="s">
        <v>171</v>
      </c>
      <c r="C243" s="17" t="s">
        <v>338</v>
      </c>
      <c r="D243" s="17" t="s">
        <v>61</v>
      </c>
      <c r="E243" s="17" t="s">
        <v>122</v>
      </c>
      <c r="F243" s="17" t="s">
        <v>364</v>
      </c>
      <c r="G243" s="17" t="s">
        <v>383</v>
      </c>
      <c r="H243" s="30">
        <v>29588</v>
      </c>
      <c r="I243" s="30">
        <v>34443</v>
      </c>
      <c r="J243" s="30">
        <v>45000</v>
      </c>
      <c r="K243" s="30">
        <v>45000</v>
      </c>
      <c r="L243" s="30">
        <v>45000</v>
      </c>
      <c r="M243" s="31">
        <f t="shared" si="15"/>
        <v>10557</v>
      </c>
      <c r="N243" s="32">
        <f t="shared" si="16"/>
        <v>0.30650640188136924</v>
      </c>
      <c r="O243" s="6" t="str">
        <f>IF(ABS(M243)&lt;Overview!$B$6,"OK",IF(I243=0,"REVIEW (zero base)",IF(ABS(M243/ABS(I243))&gt;=Overview!$B$5,"REVIEW","OK")))</f>
        <v>OK</v>
      </c>
      <c r="P243" s="31">
        <f t="shared" si="17"/>
        <v>0</v>
      </c>
      <c r="Q243" s="32">
        <f t="shared" si="18"/>
        <v>0</v>
      </c>
      <c r="R243" s="6" t="str">
        <f>IF(ABS(P243)&lt;Overview!$B$6,"OK",IF(J243=0,"REVIEW (zero base)",IF(ABS(P243/ABS(J243))&gt;=Overview!$B$5,"REVIEW","OK")))</f>
        <v>OK</v>
      </c>
      <c r="S243" s="33">
        <f t="shared" si="19"/>
        <v>10557.000243</v>
      </c>
    </row>
    <row r="244" spans="1:19" x14ac:dyDescent="0.2">
      <c r="A244" s="17">
        <v>242</v>
      </c>
      <c r="B244" s="17" t="s">
        <v>171</v>
      </c>
      <c r="C244" s="17" t="s">
        <v>338</v>
      </c>
      <c r="D244" s="17" t="s">
        <v>61</v>
      </c>
      <c r="E244" s="17" t="s">
        <v>122</v>
      </c>
      <c r="F244" s="17" t="s">
        <v>384</v>
      </c>
      <c r="G244" s="17" t="s">
        <v>385</v>
      </c>
      <c r="H244" s="30">
        <v>0</v>
      </c>
      <c r="I244" s="30">
        <v>0</v>
      </c>
      <c r="J244" s="30">
        <v>50000</v>
      </c>
      <c r="K244" s="30">
        <v>50000</v>
      </c>
      <c r="L244" s="30">
        <v>50000</v>
      </c>
      <c r="M244" s="31">
        <f t="shared" si="15"/>
        <v>50000</v>
      </c>
      <c r="N244" s="32" t="str">
        <f t="shared" si="16"/>
        <v>n/a</v>
      </c>
      <c r="O244" s="6" t="str">
        <f>IF(ABS(M244)&lt;Overview!$B$6,"OK",IF(I244=0,"REVIEW (zero base)",IF(ABS(M244/ABS(I244))&gt;=Overview!$B$5,"REVIEW","OK")))</f>
        <v>OK</v>
      </c>
      <c r="P244" s="31">
        <f t="shared" si="17"/>
        <v>0</v>
      </c>
      <c r="Q244" s="32">
        <f t="shared" si="18"/>
        <v>0</v>
      </c>
      <c r="R244" s="6" t="str">
        <f>IF(ABS(P244)&lt;Overview!$B$6,"OK",IF(J244=0,"REVIEW (zero base)",IF(ABS(P244/ABS(J244))&gt;=Overview!$B$5,"REVIEW","OK")))</f>
        <v>OK</v>
      </c>
      <c r="S244" s="33">
        <f t="shared" si="19"/>
        <v>50000.000244000003</v>
      </c>
    </row>
    <row r="245" spans="1:19" x14ac:dyDescent="0.2">
      <c r="A245" s="17">
        <v>243</v>
      </c>
      <c r="B245" s="17" t="s">
        <v>171</v>
      </c>
      <c r="C245" s="17" t="s">
        <v>338</v>
      </c>
      <c r="D245" s="17" t="s">
        <v>61</v>
      </c>
      <c r="E245" s="17" t="s">
        <v>122</v>
      </c>
      <c r="F245" s="17" t="s">
        <v>347</v>
      </c>
      <c r="G245" s="17" t="s">
        <v>348</v>
      </c>
      <c r="H245" s="30">
        <v>126852</v>
      </c>
      <c r="I245" s="30">
        <v>276270</v>
      </c>
      <c r="J245" s="30">
        <v>137000</v>
      </c>
      <c r="K245" s="30">
        <v>107472</v>
      </c>
      <c r="L245" s="30">
        <v>108224</v>
      </c>
      <c r="M245" s="31">
        <f t="shared" si="15"/>
        <v>-139270</v>
      </c>
      <c r="N245" s="32">
        <f t="shared" si="16"/>
        <v>-0.50410829985159444</v>
      </c>
      <c r="O245" s="6" t="str">
        <f>IF(ABS(M245)&lt;Overview!$B$6,"OK",IF(I245=0,"REVIEW (zero base)",IF(ABS(M245/ABS(I245))&gt;=Overview!$B$5,"REVIEW","OK")))</f>
        <v>OK</v>
      </c>
      <c r="P245" s="31">
        <f t="shared" si="17"/>
        <v>-29528</v>
      </c>
      <c r="Q245" s="32">
        <f t="shared" si="18"/>
        <v>-0.21553284671532846</v>
      </c>
      <c r="R245" s="6" t="str">
        <f>IF(ABS(P245)&lt;Overview!$B$6,"OK",IF(J245=0,"REVIEW (zero base)",IF(ABS(P245/ABS(J245))&gt;=Overview!$B$5,"REVIEW","OK")))</f>
        <v>OK</v>
      </c>
      <c r="S245" s="33">
        <f t="shared" si="19"/>
        <v>139270.000245</v>
      </c>
    </row>
    <row r="246" spans="1:19" x14ac:dyDescent="0.2">
      <c r="A246" s="17">
        <v>244</v>
      </c>
      <c r="B246" s="17" t="s">
        <v>171</v>
      </c>
      <c r="C246" s="17" t="s">
        <v>338</v>
      </c>
      <c r="D246" s="17" t="s">
        <v>61</v>
      </c>
      <c r="E246" s="17" t="s">
        <v>122</v>
      </c>
      <c r="F246" s="17" t="s">
        <v>386</v>
      </c>
      <c r="G246" s="17" t="s">
        <v>387</v>
      </c>
      <c r="H246" s="30">
        <v>0</v>
      </c>
      <c r="I246" s="30">
        <v>0</v>
      </c>
      <c r="J246" s="30">
        <v>0</v>
      </c>
      <c r="K246" s="30">
        <v>1500</v>
      </c>
      <c r="L246" s="30">
        <v>1511</v>
      </c>
      <c r="M246" s="31">
        <f t="shared" si="15"/>
        <v>0</v>
      </c>
      <c r="N246" s="32" t="str">
        <f t="shared" si="16"/>
        <v>n/a</v>
      </c>
      <c r="O246" s="6" t="str">
        <f>IF(ABS(M246)&lt;Overview!$B$6,"OK",IF(I246=0,"REVIEW (zero base)",IF(ABS(M246/ABS(I246))&gt;=Overview!$B$5,"REVIEW","OK")))</f>
        <v>OK</v>
      </c>
      <c r="P246" s="31">
        <f t="shared" si="17"/>
        <v>1500</v>
      </c>
      <c r="Q246" s="32" t="str">
        <f t="shared" si="18"/>
        <v>n/a</v>
      </c>
      <c r="R246" s="6" t="str">
        <f>IF(ABS(P246)&lt;Overview!$B$6,"OK",IF(J246=0,"REVIEW (zero base)",IF(ABS(P246/ABS(J246))&gt;=Overview!$B$5,"REVIEW","OK")))</f>
        <v>OK</v>
      </c>
      <c r="S246" s="33">
        <f t="shared" si="19"/>
        <v>2.4600000000000002E-4</v>
      </c>
    </row>
    <row r="247" spans="1:19" x14ac:dyDescent="0.2">
      <c r="A247" s="17">
        <v>245</v>
      </c>
      <c r="B247" s="17" t="s">
        <v>171</v>
      </c>
      <c r="C247" s="17" t="s">
        <v>338</v>
      </c>
      <c r="D247" s="17" t="s">
        <v>61</v>
      </c>
      <c r="E247" s="17" t="s">
        <v>122</v>
      </c>
      <c r="F247" s="17" t="s">
        <v>349</v>
      </c>
      <c r="G247" s="17" t="s">
        <v>350</v>
      </c>
      <c r="H247" s="30">
        <v>0</v>
      </c>
      <c r="I247" s="30">
        <v>16042</v>
      </c>
      <c r="J247" s="30">
        <v>40000</v>
      </c>
      <c r="K247" s="30">
        <v>40000</v>
      </c>
      <c r="L247" s="30">
        <v>40000</v>
      </c>
      <c r="M247" s="31">
        <f t="shared" si="15"/>
        <v>23958</v>
      </c>
      <c r="N247" s="32">
        <f t="shared" si="16"/>
        <v>1.4934546814611644</v>
      </c>
      <c r="O247" s="6" t="str">
        <f>IF(ABS(M247)&lt;Overview!$B$6,"OK",IF(I247=0,"REVIEW (zero base)",IF(ABS(M247/ABS(I247))&gt;=Overview!$B$5,"REVIEW","OK")))</f>
        <v>OK</v>
      </c>
      <c r="P247" s="31">
        <f t="shared" si="17"/>
        <v>0</v>
      </c>
      <c r="Q247" s="32">
        <f t="shared" si="18"/>
        <v>0</v>
      </c>
      <c r="R247" s="6" t="str">
        <f>IF(ABS(P247)&lt;Overview!$B$6,"OK",IF(J247=0,"REVIEW (zero base)",IF(ABS(P247/ABS(J247))&gt;=Overview!$B$5,"REVIEW","OK")))</f>
        <v>OK</v>
      </c>
      <c r="S247" s="33">
        <f t="shared" si="19"/>
        <v>23958.000247</v>
      </c>
    </row>
    <row r="248" spans="1:19" x14ac:dyDescent="0.2">
      <c r="A248" s="17">
        <v>246</v>
      </c>
      <c r="B248" s="17" t="s">
        <v>171</v>
      </c>
      <c r="C248" s="17" t="s">
        <v>338</v>
      </c>
      <c r="D248" s="17" t="s">
        <v>61</v>
      </c>
      <c r="E248" s="17" t="s">
        <v>122</v>
      </c>
      <c r="F248" s="17" t="s">
        <v>349</v>
      </c>
      <c r="G248" s="17" t="s">
        <v>388</v>
      </c>
      <c r="H248" s="30">
        <v>25</v>
      </c>
      <c r="I248" s="30">
        <v>3500</v>
      </c>
      <c r="J248" s="30">
        <v>40000</v>
      </c>
      <c r="K248" s="30">
        <v>40000</v>
      </c>
      <c r="L248" s="30">
        <v>40000</v>
      </c>
      <c r="M248" s="31">
        <f t="shared" si="15"/>
        <v>36500</v>
      </c>
      <c r="N248" s="32">
        <f t="shared" si="16"/>
        <v>10.428571428571429</v>
      </c>
      <c r="O248" s="6" t="str">
        <f>IF(ABS(M248)&lt;Overview!$B$6,"OK",IF(I248=0,"REVIEW (zero base)",IF(ABS(M248/ABS(I248))&gt;=Overview!$B$5,"REVIEW","OK")))</f>
        <v>OK</v>
      </c>
      <c r="P248" s="31">
        <f t="shared" si="17"/>
        <v>0</v>
      </c>
      <c r="Q248" s="32">
        <f t="shared" si="18"/>
        <v>0</v>
      </c>
      <c r="R248" s="6" t="str">
        <f>IF(ABS(P248)&lt;Overview!$B$6,"OK",IF(J248=0,"REVIEW (zero base)",IF(ABS(P248/ABS(J248))&gt;=Overview!$B$5,"REVIEW","OK")))</f>
        <v>OK</v>
      </c>
      <c r="S248" s="33">
        <f t="shared" si="19"/>
        <v>36500.000247999997</v>
      </c>
    </row>
    <row r="249" spans="1:19" x14ac:dyDescent="0.2">
      <c r="A249" s="17">
        <v>247</v>
      </c>
      <c r="B249" s="17" t="s">
        <v>171</v>
      </c>
      <c r="C249" s="17" t="s">
        <v>338</v>
      </c>
      <c r="D249" s="17" t="s">
        <v>61</v>
      </c>
      <c r="E249" s="17" t="s">
        <v>107</v>
      </c>
      <c r="F249" s="17" t="s">
        <v>339</v>
      </c>
      <c r="G249" s="17" t="s">
        <v>340</v>
      </c>
      <c r="H249" s="30">
        <v>463826</v>
      </c>
      <c r="I249" s="30">
        <v>495494</v>
      </c>
      <c r="J249" s="30">
        <v>754734</v>
      </c>
      <c r="K249" s="30">
        <v>729117</v>
      </c>
      <c r="L249" s="30">
        <v>729117</v>
      </c>
      <c r="M249" s="31">
        <f t="shared" si="15"/>
        <v>259240</v>
      </c>
      <c r="N249" s="32">
        <f t="shared" si="16"/>
        <v>0.52319503364319242</v>
      </c>
      <c r="O249" s="6" t="str">
        <f>IF(ABS(M249)&lt;Overview!$B$6,"OK",IF(I249=0,"REVIEW (zero base)",IF(ABS(M249/ABS(I249))&gt;=Overview!$B$5,"REVIEW","OK")))</f>
        <v>REVIEW</v>
      </c>
      <c r="P249" s="31">
        <f t="shared" si="17"/>
        <v>-25617</v>
      </c>
      <c r="Q249" s="32">
        <f t="shared" si="18"/>
        <v>-3.3941759613320722E-2</v>
      </c>
      <c r="R249" s="6" t="str">
        <f>IF(ABS(P249)&lt;Overview!$B$6,"OK",IF(J249=0,"REVIEW (zero base)",IF(ABS(P249/ABS(J249))&gt;=Overview!$B$5,"REVIEW","OK")))</f>
        <v>OK</v>
      </c>
      <c r="S249" s="33">
        <f t="shared" si="19"/>
        <v>259240.000249</v>
      </c>
    </row>
    <row r="250" spans="1:19" x14ac:dyDescent="0.2">
      <c r="A250" s="17">
        <v>248</v>
      </c>
      <c r="B250" s="17" t="s">
        <v>171</v>
      </c>
      <c r="C250" s="17" t="s">
        <v>338</v>
      </c>
      <c r="D250" s="17" t="s">
        <v>61</v>
      </c>
      <c r="E250" s="17" t="s">
        <v>107</v>
      </c>
      <c r="F250" s="17" t="s">
        <v>339</v>
      </c>
      <c r="G250" s="17" t="s">
        <v>389</v>
      </c>
      <c r="H250" s="30">
        <v>0</v>
      </c>
      <c r="I250" s="30">
        <v>0</v>
      </c>
      <c r="J250" s="30">
        <v>30000</v>
      </c>
      <c r="K250" s="30">
        <v>30000</v>
      </c>
      <c r="L250" s="30">
        <v>30000</v>
      </c>
      <c r="M250" s="31">
        <f t="shared" si="15"/>
        <v>30000</v>
      </c>
      <c r="N250" s="32" t="str">
        <f t="shared" si="16"/>
        <v>n/a</v>
      </c>
      <c r="O250" s="6" t="str">
        <f>IF(ABS(M250)&lt;Overview!$B$6,"OK",IF(I250=0,"REVIEW (zero base)",IF(ABS(M250/ABS(I250))&gt;=Overview!$B$5,"REVIEW","OK")))</f>
        <v>OK</v>
      </c>
      <c r="P250" s="31">
        <f t="shared" si="17"/>
        <v>0</v>
      </c>
      <c r="Q250" s="32">
        <f t="shared" si="18"/>
        <v>0</v>
      </c>
      <c r="R250" s="6" t="str">
        <f>IF(ABS(P250)&lt;Overview!$B$6,"OK",IF(J250=0,"REVIEW (zero base)",IF(ABS(P250/ABS(J250))&gt;=Overview!$B$5,"REVIEW","OK")))</f>
        <v>OK</v>
      </c>
      <c r="S250" s="33">
        <f t="shared" si="19"/>
        <v>30000.000250000001</v>
      </c>
    </row>
    <row r="251" spans="1:19" x14ac:dyDescent="0.2">
      <c r="A251" s="17">
        <v>249</v>
      </c>
      <c r="B251" s="17" t="s">
        <v>171</v>
      </c>
      <c r="C251" s="17" t="s">
        <v>338</v>
      </c>
      <c r="D251" s="17" t="s">
        <v>61</v>
      </c>
      <c r="E251" s="17" t="s">
        <v>107</v>
      </c>
      <c r="F251" s="17" t="s">
        <v>339</v>
      </c>
      <c r="G251" s="17" t="s">
        <v>390</v>
      </c>
      <c r="H251" s="30">
        <v>3178</v>
      </c>
      <c r="I251" s="30">
        <v>9034</v>
      </c>
      <c r="J251" s="30">
        <v>6000</v>
      </c>
      <c r="K251" s="30">
        <v>6000</v>
      </c>
      <c r="L251" s="30">
        <v>6000</v>
      </c>
      <c r="M251" s="31">
        <f t="shared" si="15"/>
        <v>-3034</v>
      </c>
      <c r="N251" s="32">
        <f t="shared" si="16"/>
        <v>-0.33584237325658622</v>
      </c>
      <c r="O251" s="6" t="str">
        <f>IF(ABS(M251)&lt;Overview!$B$6,"OK",IF(I251=0,"REVIEW (zero base)",IF(ABS(M251/ABS(I251))&gt;=Overview!$B$5,"REVIEW","OK")))</f>
        <v>OK</v>
      </c>
      <c r="P251" s="31">
        <f t="shared" si="17"/>
        <v>0</v>
      </c>
      <c r="Q251" s="32">
        <f t="shared" si="18"/>
        <v>0</v>
      </c>
      <c r="R251" s="6" t="str">
        <f>IF(ABS(P251)&lt;Overview!$B$6,"OK",IF(J251=0,"REVIEW (zero base)",IF(ABS(P251/ABS(J251))&gt;=Overview!$B$5,"REVIEW","OK")))</f>
        <v>OK</v>
      </c>
      <c r="S251" s="33">
        <f t="shared" si="19"/>
        <v>3034.0002509999999</v>
      </c>
    </row>
    <row r="252" spans="1:19" x14ac:dyDescent="0.2">
      <c r="A252" s="17">
        <v>250</v>
      </c>
      <c r="B252" s="17" t="s">
        <v>171</v>
      </c>
      <c r="C252" s="17" t="s">
        <v>338</v>
      </c>
      <c r="D252" s="17" t="s">
        <v>61</v>
      </c>
      <c r="E252" s="17" t="s">
        <v>107</v>
      </c>
      <c r="F252" s="17" t="s">
        <v>339</v>
      </c>
      <c r="G252" s="17" t="s">
        <v>391</v>
      </c>
      <c r="H252" s="30">
        <v>26091</v>
      </c>
      <c r="I252" s="30">
        <v>30126</v>
      </c>
      <c r="J252" s="30">
        <v>0</v>
      </c>
      <c r="K252" s="30">
        <v>0</v>
      </c>
      <c r="L252" s="30">
        <v>0</v>
      </c>
      <c r="M252" s="31">
        <f t="shared" si="15"/>
        <v>-30126</v>
      </c>
      <c r="N252" s="32">
        <f t="shared" si="16"/>
        <v>-1</v>
      </c>
      <c r="O252" s="6" t="str">
        <f>IF(ABS(M252)&lt;Overview!$B$6,"OK",IF(I252=0,"REVIEW (zero base)",IF(ABS(M252/ABS(I252))&gt;=Overview!$B$5,"REVIEW","OK")))</f>
        <v>OK</v>
      </c>
      <c r="P252" s="31">
        <f t="shared" si="17"/>
        <v>0</v>
      </c>
      <c r="Q252" s="32" t="str">
        <f t="shared" si="18"/>
        <v>n/a</v>
      </c>
      <c r="R252" s="6" t="str">
        <f>IF(ABS(P252)&lt;Overview!$B$6,"OK",IF(J252=0,"REVIEW (zero base)",IF(ABS(P252/ABS(J252))&gt;=Overview!$B$5,"REVIEW","OK")))</f>
        <v>OK</v>
      </c>
      <c r="S252" s="33">
        <f t="shared" si="19"/>
        <v>30126.000252000002</v>
      </c>
    </row>
    <row r="253" spans="1:19" x14ac:dyDescent="0.2">
      <c r="A253" s="17">
        <v>251</v>
      </c>
      <c r="B253" s="17" t="s">
        <v>171</v>
      </c>
      <c r="C253" s="17" t="s">
        <v>338</v>
      </c>
      <c r="D253" s="17" t="s">
        <v>61</v>
      </c>
      <c r="E253" s="17" t="s">
        <v>107</v>
      </c>
      <c r="F253" s="17" t="s">
        <v>339</v>
      </c>
      <c r="G253" s="17" t="s">
        <v>392</v>
      </c>
      <c r="H253" s="30">
        <v>58881</v>
      </c>
      <c r="I253" s="30">
        <v>34128</v>
      </c>
      <c r="J253" s="30">
        <v>0</v>
      </c>
      <c r="K253" s="30">
        <v>0</v>
      </c>
      <c r="L253" s="30">
        <v>0</v>
      </c>
      <c r="M253" s="31">
        <f t="shared" si="15"/>
        <v>-34128</v>
      </c>
      <c r="N253" s="32">
        <f t="shared" si="16"/>
        <v>-1</v>
      </c>
      <c r="O253" s="6" t="str">
        <f>IF(ABS(M253)&lt;Overview!$B$6,"OK",IF(I253=0,"REVIEW (zero base)",IF(ABS(M253/ABS(I253))&gt;=Overview!$B$5,"REVIEW","OK")))</f>
        <v>OK</v>
      </c>
      <c r="P253" s="31">
        <f t="shared" si="17"/>
        <v>0</v>
      </c>
      <c r="Q253" s="32" t="str">
        <f t="shared" si="18"/>
        <v>n/a</v>
      </c>
      <c r="R253" s="6" t="str">
        <f>IF(ABS(P253)&lt;Overview!$B$6,"OK",IF(J253=0,"REVIEW (zero base)",IF(ABS(P253/ABS(J253))&gt;=Overview!$B$5,"REVIEW","OK")))</f>
        <v>OK</v>
      </c>
      <c r="S253" s="33">
        <f t="shared" si="19"/>
        <v>34128.000252999998</v>
      </c>
    </row>
    <row r="254" spans="1:19" x14ac:dyDescent="0.2">
      <c r="A254" s="17">
        <v>252</v>
      </c>
      <c r="B254" s="17" t="s">
        <v>171</v>
      </c>
      <c r="C254" s="17" t="s">
        <v>338</v>
      </c>
      <c r="D254" s="17" t="s">
        <v>61</v>
      </c>
      <c r="E254" s="17" t="s">
        <v>107</v>
      </c>
      <c r="F254" s="17" t="s">
        <v>339</v>
      </c>
      <c r="G254" s="17" t="s">
        <v>393</v>
      </c>
      <c r="H254" s="30">
        <v>26988</v>
      </c>
      <c r="I254" s="30">
        <v>15050</v>
      </c>
      <c r="J254" s="30">
        <v>24000</v>
      </c>
      <c r="K254" s="30">
        <v>24000</v>
      </c>
      <c r="L254" s="30">
        <v>24000</v>
      </c>
      <c r="M254" s="31">
        <f t="shared" si="15"/>
        <v>8950</v>
      </c>
      <c r="N254" s="32">
        <f t="shared" si="16"/>
        <v>0.59468438538205981</v>
      </c>
      <c r="O254" s="6" t="str">
        <f>IF(ABS(M254)&lt;Overview!$B$6,"OK",IF(I254=0,"REVIEW (zero base)",IF(ABS(M254/ABS(I254))&gt;=Overview!$B$5,"REVIEW","OK")))</f>
        <v>OK</v>
      </c>
      <c r="P254" s="31">
        <f t="shared" si="17"/>
        <v>0</v>
      </c>
      <c r="Q254" s="32">
        <f t="shared" si="18"/>
        <v>0</v>
      </c>
      <c r="R254" s="6" t="str">
        <f>IF(ABS(P254)&lt;Overview!$B$6,"OK",IF(J254=0,"REVIEW (zero base)",IF(ABS(P254/ABS(J254))&gt;=Overview!$B$5,"REVIEW","OK")))</f>
        <v>OK</v>
      </c>
      <c r="S254" s="33">
        <f t="shared" si="19"/>
        <v>8950.0002540000005</v>
      </c>
    </row>
    <row r="255" spans="1:19" x14ac:dyDescent="0.2">
      <c r="A255" s="17">
        <v>253</v>
      </c>
      <c r="B255" s="17" t="s">
        <v>171</v>
      </c>
      <c r="C255" s="17" t="s">
        <v>338</v>
      </c>
      <c r="D255" s="17" t="s">
        <v>61</v>
      </c>
      <c r="E255" s="17" t="s">
        <v>107</v>
      </c>
      <c r="F255" s="17" t="s">
        <v>339</v>
      </c>
      <c r="G255" s="17" t="s">
        <v>394</v>
      </c>
      <c r="H255" s="30">
        <v>39004</v>
      </c>
      <c r="I255" s="30">
        <v>32738</v>
      </c>
      <c r="J255" s="30">
        <v>0</v>
      </c>
      <c r="K255" s="30">
        <v>0</v>
      </c>
      <c r="L255" s="30">
        <v>0</v>
      </c>
      <c r="M255" s="31">
        <f t="shared" si="15"/>
        <v>-32738</v>
      </c>
      <c r="N255" s="32">
        <f t="shared" si="16"/>
        <v>-1</v>
      </c>
      <c r="O255" s="6" t="str">
        <f>IF(ABS(M255)&lt;Overview!$B$6,"OK",IF(I255=0,"REVIEW (zero base)",IF(ABS(M255/ABS(I255))&gt;=Overview!$B$5,"REVIEW","OK")))</f>
        <v>OK</v>
      </c>
      <c r="P255" s="31">
        <f t="shared" si="17"/>
        <v>0</v>
      </c>
      <c r="Q255" s="32" t="str">
        <f t="shared" si="18"/>
        <v>n/a</v>
      </c>
      <c r="R255" s="6" t="str">
        <f>IF(ABS(P255)&lt;Overview!$B$6,"OK",IF(J255=0,"REVIEW (zero base)",IF(ABS(P255/ABS(J255))&gt;=Overview!$B$5,"REVIEW","OK")))</f>
        <v>OK</v>
      </c>
      <c r="S255" s="33">
        <f t="shared" si="19"/>
        <v>32738.000254999999</v>
      </c>
    </row>
    <row r="256" spans="1:19" x14ac:dyDescent="0.2">
      <c r="A256" s="17">
        <v>254</v>
      </c>
      <c r="B256" s="17" t="s">
        <v>171</v>
      </c>
      <c r="C256" s="17" t="s">
        <v>338</v>
      </c>
      <c r="D256" s="17" t="s">
        <v>61</v>
      </c>
      <c r="E256" s="17" t="s">
        <v>107</v>
      </c>
      <c r="F256" s="17" t="s">
        <v>339</v>
      </c>
      <c r="G256" s="17" t="s">
        <v>395</v>
      </c>
      <c r="H256" s="30">
        <v>28026</v>
      </c>
      <c r="I256" s="30">
        <v>18343</v>
      </c>
      <c r="J256" s="30">
        <v>21900</v>
      </c>
      <c r="K256" s="30">
        <v>23773</v>
      </c>
      <c r="L256" s="30">
        <v>24011</v>
      </c>
      <c r="M256" s="31">
        <f t="shared" si="15"/>
        <v>3557</v>
      </c>
      <c r="N256" s="32">
        <f t="shared" si="16"/>
        <v>0.19391593523414927</v>
      </c>
      <c r="O256" s="6" t="str">
        <f>IF(ABS(M256)&lt;Overview!$B$6,"OK",IF(I256=0,"REVIEW (zero base)",IF(ABS(M256/ABS(I256))&gt;=Overview!$B$5,"REVIEW","OK")))</f>
        <v>OK</v>
      </c>
      <c r="P256" s="31">
        <f t="shared" si="17"/>
        <v>1873</v>
      </c>
      <c r="Q256" s="32">
        <f t="shared" si="18"/>
        <v>8.5525114155251145E-2</v>
      </c>
      <c r="R256" s="6" t="str">
        <f>IF(ABS(P256)&lt;Overview!$B$6,"OK",IF(J256=0,"REVIEW (zero base)",IF(ABS(P256/ABS(J256))&gt;=Overview!$B$5,"REVIEW","OK")))</f>
        <v>OK</v>
      </c>
      <c r="S256" s="33">
        <f t="shared" si="19"/>
        <v>3557.0002559999998</v>
      </c>
    </row>
    <row r="257" spans="1:19" x14ac:dyDescent="0.2">
      <c r="A257" s="17">
        <v>255</v>
      </c>
      <c r="B257" s="17" t="s">
        <v>171</v>
      </c>
      <c r="C257" s="17" t="s">
        <v>338</v>
      </c>
      <c r="D257" s="17" t="s">
        <v>61</v>
      </c>
      <c r="E257" s="17" t="s">
        <v>107</v>
      </c>
      <c r="F257" s="17" t="s">
        <v>341</v>
      </c>
      <c r="G257" s="17" t="s">
        <v>342</v>
      </c>
      <c r="H257" s="30">
        <v>10195</v>
      </c>
      <c r="I257" s="30">
        <v>9257</v>
      </c>
      <c r="J257" s="30">
        <v>10008</v>
      </c>
      <c r="K257" s="30">
        <v>10008</v>
      </c>
      <c r="L257" s="30">
        <v>10008</v>
      </c>
      <c r="M257" s="31">
        <f t="shared" si="15"/>
        <v>751</v>
      </c>
      <c r="N257" s="32">
        <f t="shared" si="16"/>
        <v>8.1127795182024412E-2</v>
      </c>
      <c r="O257" s="6" t="str">
        <f>IF(ABS(M257)&lt;Overview!$B$6,"OK",IF(I257=0,"REVIEW (zero base)",IF(ABS(M257/ABS(I257))&gt;=Overview!$B$5,"REVIEW","OK")))</f>
        <v>OK</v>
      </c>
      <c r="P257" s="31">
        <f t="shared" si="17"/>
        <v>0</v>
      </c>
      <c r="Q257" s="32">
        <f t="shared" si="18"/>
        <v>0</v>
      </c>
      <c r="R257" s="6" t="str">
        <f>IF(ABS(P257)&lt;Overview!$B$6,"OK",IF(J257=0,"REVIEW (zero base)",IF(ABS(P257/ABS(J257))&gt;=Overview!$B$5,"REVIEW","OK")))</f>
        <v>OK</v>
      </c>
      <c r="S257" s="33">
        <f t="shared" si="19"/>
        <v>751.00025700000003</v>
      </c>
    </row>
    <row r="258" spans="1:19" x14ac:dyDescent="0.2">
      <c r="A258" s="17">
        <v>256</v>
      </c>
      <c r="B258" s="17" t="s">
        <v>171</v>
      </c>
      <c r="C258" s="17" t="s">
        <v>338</v>
      </c>
      <c r="D258" s="17" t="s">
        <v>61</v>
      </c>
      <c r="E258" s="17" t="s">
        <v>107</v>
      </c>
      <c r="F258" s="17" t="s">
        <v>341</v>
      </c>
      <c r="G258" s="17" t="s">
        <v>375</v>
      </c>
      <c r="H258" s="30">
        <v>35435</v>
      </c>
      <c r="I258" s="30">
        <v>35918</v>
      </c>
      <c r="J258" s="30">
        <v>36400</v>
      </c>
      <c r="K258" s="30">
        <v>36400</v>
      </c>
      <c r="L258" s="30">
        <v>36400</v>
      </c>
      <c r="M258" s="31">
        <f t="shared" ref="M258:M321" si="20">J258-I258</f>
        <v>482</v>
      </c>
      <c r="N258" s="32">
        <f t="shared" ref="N258:N321" si="21">IF(I258=0,"n/a",M258/ABS(I258))</f>
        <v>1.3419455426248677E-2</v>
      </c>
      <c r="O258" s="6" t="str">
        <f>IF(ABS(M258)&lt;Overview!$B$6,"OK",IF(I258=0,"REVIEW (zero base)",IF(ABS(M258/ABS(I258))&gt;=Overview!$B$5,"REVIEW","OK")))</f>
        <v>OK</v>
      </c>
      <c r="P258" s="31">
        <f t="shared" ref="P258:P321" si="22">K258-J258</f>
        <v>0</v>
      </c>
      <c r="Q258" s="32">
        <f t="shared" ref="Q258:Q321" si="23">IF(J258=0,"n/a",P258/ABS(J258))</f>
        <v>0</v>
      </c>
      <c r="R258" s="6" t="str">
        <f>IF(ABS(P258)&lt;Overview!$B$6,"OK",IF(J258=0,"REVIEW (zero base)",IF(ABS(P258/ABS(J258))&gt;=Overview!$B$5,"REVIEW","OK")))</f>
        <v>OK</v>
      </c>
      <c r="S258" s="33">
        <f t="shared" ref="S258:S321" si="24">IF(C258="EXPENSES",ABS(M258)+ROW()/1000000,0)</f>
        <v>482.00025799999997</v>
      </c>
    </row>
    <row r="259" spans="1:19" x14ac:dyDescent="0.2">
      <c r="A259" s="17">
        <v>257</v>
      </c>
      <c r="B259" s="17" t="s">
        <v>171</v>
      </c>
      <c r="C259" s="17" t="s">
        <v>338</v>
      </c>
      <c r="D259" s="17" t="s">
        <v>61</v>
      </c>
      <c r="E259" s="17" t="s">
        <v>107</v>
      </c>
      <c r="F259" s="17" t="s">
        <v>341</v>
      </c>
      <c r="G259" s="17" t="s">
        <v>376</v>
      </c>
      <c r="H259" s="30">
        <v>170751</v>
      </c>
      <c r="I259" s="30">
        <v>174046</v>
      </c>
      <c r="J259" s="30">
        <v>213436</v>
      </c>
      <c r="K259" s="30">
        <v>181356</v>
      </c>
      <c r="L259" s="30">
        <v>190841</v>
      </c>
      <c r="M259" s="31">
        <f t="shared" si="20"/>
        <v>39390</v>
      </c>
      <c r="N259" s="32">
        <f t="shared" si="21"/>
        <v>0.22631947875848912</v>
      </c>
      <c r="O259" s="6" t="str">
        <f>IF(ABS(M259)&lt;Overview!$B$6,"OK",IF(I259=0,"REVIEW (zero base)",IF(ABS(M259/ABS(I259))&gt;=Overview!$B$5,"REVIEW","OK")))</f>
        <v>OK</v>
      </c>
      <c r="P259" s="31">
        <f t="shared" si="22"/>
        <v>-32080</v>
      </c>
      <c r="Q259" s="32">
        <f t="shared" si="23"/>
        <v>-0.1503026668415825</v>
      </c>
      <c r="R259" s="6" t="str">
        <f>IF(ABS(P259)&lt;Overview!$B$6,"OK",IF(J259=0,"REVIEW (zero base)",IF(ABS(P259/ABS(J259))&gt;=Overview!$B$5,"REVIEW","OK")))</f>
        <v>OK</v>
      </c>
      <c r="S259" s="33">
        <f t="shared" si="24"/>
        <v>39390.000259</v>
      </c>
    </row>
    <row r="260" spans="1:19" x14ac:dyDescent="0.2">
      <c r="A260" s="17">
        <v>258</v>
      </c>
      <c r="B260" s="17" t="s">
        <v>171</v>
      </c>
      <c r="C260" s="17" t="s">
        <v>338</v>
      </c>
      <c r="D260" s="17" t="s">
        <v>61</v>
      </c>
      <c r="E260" s="17" t="s">
        <v>107</v>
      </c>
      <c r="F260" s="17" t="s">
        <v>341</v>
      </c>
      <c r="G260" s="17" t="s">
        <v>343</v>
      </c>
      <c r="H260" s="30">
        <v>47734</v>
      </c>
      <c r="I260" s="30">
        <v>46866</v>
      </c>
      <c r="J260" s="30">
        <v>67304</v>
      </c>
      <c r="K260" s="30">
        <v>76299</v>
      </c>
      <c r="L260" s="30">
        <v>77062</v>
      </c>
      <c r="M260" s="31">
        <f t="shared" si="20"/>
        <v>20438</v>
      </c>
      <c r="N260" s="32">
        <f t="shared" si="21"/>
        <v>0.43609439679085049</v>
      </c>
      <c r="O260" s="6" t="str">
        <f>IF(ABS(M260)&lt;Overview!$B$6,"OK",IF(I260=0,"REVIEW (zero base)",IF(ABS(M260/ABS(I260))&gt;=Overview!$B$5,"REVIEW","OK")))</f>
        <v>OK</v>
      </c>
      <c r="P260" s="31">
        <f t="shared" si="22"/>
        <v>8995</v>
      </c>
      <c r="Q260" s="32">
        <f t="shared" si="23"/>
        <v>0.13364733151075717</v>
      </c>
      <c r="R260" s="6" t="str">
        <f>IF(ABS(P260)&lt;Overview!$B$6,"OK",IF(J260=0,"REVIEW (zero base)",IF(ABS(P260/ABS(J260))&gt;=Overview!$B$5,"REVIEW","OK")))</f>
        <v>OK</v>
      </c>
      <c r="S260" s="33">
        <f t="shared" si="24"/>
        <v>20438.000260000001</v>
      </c>
    </row>
    <row r="261" spans="1:19" x14ac:dyDescent="0.2">
      <c r="A261" s="17">
        <v>259</v>
      </c>
      <c r="B261" s="17" t="s">
        <v>171</v>
      </c>
      <c r="C261" s="17" t="s">
        <v>338</v>
      </c>
      <c r="D261" s="17" t="s">
        <v>61</v>
      </c>
      <c r="E261" s="17" t="s">
        <v>107</v>
      </c>
      <c r="F261" s="17" t="s">
        <v>341</v>
      </c>
      <c r="G261" s="17" t="s">
        <v>396</v>
      </c>
      <c r="H261" s="30">
        <v>8208</v>
      </c>
      <c r="I261" s="30">
        <v>0</v>
      </c>
      <c r="J261" s="30">
        <v>0</v>
      </c>
      <c r="K261" s="30">
        <v>0</v>
      </c>
      <c r="L261" s="30">
        <v>0</v>
      </c>
      <c r="M261" s="31">
        <f t="shared" si="20"/>
        <v>0</v>
      </c>
      <c r="N261" s="32" t="str">
        <f t="shared" si="21"/>
        <v>n/a</v>
      </c>
      <c r="O261" s="6" t="str">
        <f>IF(ABS(M261)&lt;Overview!$B$6,"OK",IF(I261=0,"REVIEW (zero base)",IF(ABS(M261/ABS(I261))&gt;=Overview!$B$5,"REVIEW","OK")))</f>
        <v>OK</v>
      </c>
      <c r="P261" s="31">
        <f t="shared" si="22"/>
        <v>0</v>
      </c>
      <c r="Q261" s="32" t="str">
        <f t="shared" si="23"/>
        <v>n/a</v>
      </c>
      <c r="R261" s="6" t="str">
        <f>IF(ABS(P261)&lt;Overview!$B$6,"OK",IF(J261=0,"REVIEW (zero base)",IF(ABS(P261/ABS(J261))&gt;=Overview!$B$5,"REVIEW","OK")))</f>
        <v>OK</v>
      </c>
      <c r="S261" s="33">
        <f t="shared" si="24"/>
        <v>2.61E-4</v>
      </c>
    </row>
    <row r="262" spans="1:19" x14ac:dyDescent="0.2">
      <c r="A262" s="17">
        <v>260</v>
      </c>
      <c r="B262" s="17" t="s">
        <v>171</v>
      </c>
      <c r="C262" s="17" t="s">
        <v>338</v>
      </c>
      <c r="D262" s="17" t="s">
        <v>61</v>
      </c>
      <c r="E262" s="17" t="s">
        <v>107</v>
      </c>
      <c r="F262" s="17" t="s">
        <v>341</v>
      </c>
      <c r="G262" s="17" t="s">
        <v>378</v>
      </c>
      <c r="H262" s="30">
        <v>29409</v>
      </c>
      <c r="I262" s="30">
        <v>27110</v>
      </c>
      <c r="J262" s="30">
        <v>27520</v>
      </c>
      <c r="K262" s="30">
        <v>29120</v>
      </c>
      <c r="L262" s="30">
        <v>30410</v>
      </c>
      <c r="M262" s="31">
        <f t="shared" si="20"/>
        <v>410</v>
      </c>
      <c r="N262" s="32">
        <f t="shared" si="21"/>
        <v>1.5123570638140908E-2</v>
      </c>
      <c r="O262" s="6" t="str">
        <f>IF(ABS(M262)&lt;Overview!$B$6,"OK",IF(I262=0,"REVIEW (zero base)",IF(ABS(M262/ABS(I262))&gt;=Overview!$B$5,"REVIEW","OK")))</f>
        <v>OK</v>
      </c>
      <c r="P262" s="31">
        <f t="shared" si="22"/>
        <v>1600</v>
      </c>
      <c r="Q262" s="32">
        <f t="shared" si="23"/>
        <v>5.8139534883720929E-2</v>
      </c>
      <c r="R262" s="6" t="str">
        <f>IF(ABS(P262)&lt;Overview!$B$6,"OK",IF(J262=0,"REVIEW (zero base)",IF(ABS(P262/ABS(J262))&gt;=Overview!$B$5,"REVIEW","OK")))</f>
        <v>OK</v>
      </c>
      <c r="S262" s="33">
        <f t="shared" si="24"/>
        <v>410.00026200000002</v>
      </c>
    </row>
    <row r="263" spans="1:19" x14ac:dyDescent="0.2">
      <c r="A263" s="17">
        <v>261</v>
      </c>
      <c r="B263" s="17" t="s">
        <v>171</v>
      </c>
      <c r="C263" s="17" t="s">
        <v>338</v>
      </c>
      <c r="D263" s="17" t="s">
        <v>61</v>
      </c>
      <c r="E263" s="17" t="s">
        <v>107</v>
      </c>
      <c r="F263" s="17" t="s">
        <v>341</v>
      </c>
      <c r="G263" s="17" t="s">
        <v>344</v>
      </c>
      <c r="H263" s="30">
        <v>119663</v>
      </c>
      <c r="I263" s="30">
        <v>112281</v>
      </c>
      <c r="J263" s="30">
        <v>145262</v>
      </c>
      <c r="K263" s="30">
        <v>165144</v>
      </c>
      <c r="L263" s="30">
        <v>168447</v>
      </c>
      <c r="M263" s="31">
        <f t="shared" si="20"/>
        <v>32981</v>
      </c>
      <c r="N263" s="32">
        <f t="shared" si="21"/>
        <v>0.29373625101308326</v>
      </c>
      <c r="O263" s="6" t="str">
        <f>IF(ABS(M263)&lt;Overview!$B$6,"OK",IF(I263=0,"REVIEW (zero base)",IF(ABS(M263/ABS(I263))&gt;=Overview!$B$5,"REVIEW","OK")))</f>
        <v>OK</v>
      </c>
      <c r="P263" s="31">
        <f t="shared" si="22"/>
        <v>19882</v>
      </c>
      <c r="Q263" s="32">
        <f t="shared" si="23"/>
        <v>0.13686993157191832</v>
      </c>
      <c r="R263" s="6" t="str">
        <f>IF(ABS(P263)&lt;Overview!$B$6,"OK",IF(J263=0,"REVIEW (zero base)",IF(ABS(P263/ABS(J263))&gt;=Overview!$B$5,"REVIEW","OK")))</f>
        <v>OK</v>
      </c>
      <c r="S263" s="33">
        <f t="shared" si="24"/>
        <v>32981.000263000002</v>
      </c>
    </row>
    <row r="264" spans="1:19" x14ac:dyDescent="0.2">
      <c r="A264" s="17">
        <v>262</v>
      </c>
      <c r="B264" s="17" t="s">
        <v>171</v>
      </c>
      <c r="C264" s="17" t="s">
        <v>338</v>
      </c>
      <c r="D264" s="17" t="s">
        <v>61</v>
      </c>
      <c r="E264" s="17" t="s">
        <v>107</v>
      </c>
      <c r="F264" s="17" t="s">
        <v>364</v>
      </c>
      <c r="G264" s="17" t="s">
        <v>383</v>
      </c>
      <c r="H264" s="30">
        <v>-459</v>
      </c>
      <c r="I264" s="30">
        <v>36</v>
      </c>
      <c r="J264" s="30">
        <v>240</v>
      </c>
      <c r="K264" s="30">
        <v>240</v>
      </c>
      <c r="L264" s="30">
        <v>240</v>
      </c>
      <c r="M264" s="31">
        <f t="shared" si="20"/>
        <v>204</v>
      </c>
      <c r="N264" s="32">
        <f t="shared" si="21"/>
        <v>5.666666666666667</v>
      </c>
      <c r="O264" s="6" t="str">
        <f>IF(ABS(M264)&lt;Overview!$B$6,"OK",IF(I264=0,"REVIEW (zero base)",IF(ABS(M264/ABS(I264))&gt;=Overview!$B$5,"REVIEW","OK")))</f>
        <v>OK</v>
      </c>
      <c r="P264" s="31">
        <f t="shared" si="22"/>
        <v>0</v>
      </c>
      <c r="Q264" s="32">
        <f t="shared" si="23"/>
        <v>0</v>
      </c>
      <c r="R264" s="6" t="str">
        <f>IF(ABS(P264)&lt;Overview!$B$6,"OK",IF(J264=0,"REVIEW (zero base)",IF(ABS(P264/ABS(J264))&gt;=Overview!$B$5,"REVIEW","OK")))</f>
        <v>OK</v>
      </c>
      <c r="S264" s="33">
        <f t="shared" si="24"/>
        <v>204.00026399999999</v>
      </c>
    </row>
    <row r="265" spans="1:19" x14ac:dyDescent="0.2">
      <c r="A265" s="17">
        <v>263</v>
      </c>
      <c r="B265" s="17" t="s">
        <v>171</v>
      </c>
      <c r="C265" s="17" t="s">
        <v>338</v>
      </c>
      <c r="D265" s="17" t="s">
        <v>61</v>
      </c>
      <c r="E265" s="17" t="s">
        <v>107</v>
      </c>
      <c r="F265" s="17" t="s">
        <v>364</v>
      </c>
      <c r="G265" s="17" t="s">
        <v>397</v>
      </c>
      <c r="H265" s="30">
        <v>66061</v>
      </c>
      <c r="I265" s="30">
        <v>44285</v>
      </c>
      <c r="J265" s="30">
        <v>84000</v>
      </c>
      <c r="K265" s="30">
        <v>84000</v>
      </c>
      <c r="L265" s="30">
        <v>84588</v>
      </c>
      <c r="M265" s="31">
        <f t="shared" si="20"/>
        <v>39715</v>
      </c>
      <c r="N265" s="32">
        <f t="shared" si="21"/>
        <v>0.89680478717398671</v>
      </c>
      <c r="O265" s="6" t="str">
        <f>IF(ABS(M265)&lt;Overview!$B$6,"OK",IF(I265=0,"REVIEW (zero base)",IF(ABS(M265/ABS(I265))&gt;=Overview!$B$5,"REVIEW","OK")))</f>
        <v>OK</v>
      </c>
      <c r="P265" s="31">
        <f t="shared" si="22"/>
        <v>0</v>
      </c>
      <c r="Q265" s="32">
        <f t="shared" si="23"/>
        <v>0</v>
      </c>
      <c r="R265" s="6" t="str">
        <f>IF(ABS(P265)&lt;Overview!$B$6,"OK",IF(J265=0,"REVIEW (zero base)",IF(ABS(P265/ABS(J265))&gt;=Overview!$B$5,"REVIEW","OK")))</f>
        <v>OK</v>
      </c>
      <c r="S265" s="33">
        <f t="shared" si="24"/>
        <v>39715.000265000002</v>
      </c>
    </row>
    <row r="266" spans="1:19" x14ac:dyDescent="0.2">
      <c r="A266" s="17">
        <v>264</v>
      </c>
      <c r="B266" s="17" t="s">
        <v>171</v>
      </c>
      <c r="C266" s="17" t="s">
        <v>338</v>
      </c>
      <c r="D266" s="17" t="s">
        <v>61</v>
      </c>
      <c r="E266" s="17" t="s">
        <v>107</v>
      </c>
      <c r="F266" s="17" t="s">
        <v>364</v>
      </c>
      <c r="G266" s="17" t="s">
        <v>398</v>
      </c>
      <c r="H266" s="30">
        <v>26921</v>
      </c>
      <c r="I266" s="30">
        <v>7801</v>
      </c>
      <c r="J266" s="30">
        <v>2400</v>
      </c>
      <c r="K266" s="30">
        <v>2400</v>
      </c>
      <c r="L266" s="30">
        <v>2417</v>
      </c>
      <c r="M266" s="31">
        <f t="shared" si="20"/>
        <v>-5401</v>
      </c>
      <c r="N266" s="32">
        <f t="shared" si="21"/>
        <v>-0.69234713498269451</v>
      </c>
      <c r="O266" s="6" t="str">
        <f>IF(ABS(M266)&lt;Overview!$B$6,"OK",IF(I266=0,"REVIEW (zero base)",IF(ABS(M266/ABS(I266))&gt;=Overview!$B$5,"REVIEW","OK")))</f>
        <v>OK</v>
      </c>
      <c r="P266" s="31">
        <f t="shared" si="22"/>
        <v>0</v>
      </c>
      <c r="Q266" s="32">
        <f t="shared" si="23"/>
        <v>0</v>
      </c>
      <c r="R266" s="6" t="str">
        <f>IF(ABS(P266)&lt;Overview!$B$6,"OK",IF(J266=0,"REVIEW (zero base)",IF(ABS(P266/ABS(J266))&gt;=Overview!$B$5,"REVIEW","OK")))</f>
        <v>OK</v>
      </c>
      <c r="S266" s="33">
        <f t="shared" si="24"/>
        <v>5401.000266</v>
      </c>
    </row>
    <row r="267" spans="1:19" x14ac:dyDescent="0.2">
      <c r="A267" s="17">
        <v>265</v>
      </c>
      <c r="B267" s="17" t="s">
        <v>171</v>
      </c>
      <c r="C267" s="17" t="s">
        <v>338</v>
      </c>
      <c r="D267" s="17" t="s">
        <v>61</v>
      </c>
      <c r="E267" s="17" t="s">
        <v>107</v>
      </c>
      <c r="F267" s="17" t="s">
        <v>364</v>
      </c>
      <c r="G267" s="17" t="s">
        <v>399</v>
      </c>
      <c r="H267" s="30">
        <v>11220</v>
      </c>
      <c r="I267" s="30">
        <v>6917</v>
      </c>
      <c r="J267" s="30">
        <v>18000</v>
      </c>
      <c r="K267" s="30">
        <v>18000</v>
      </c>
      <c r="L267" s="30">
        <v>18126</v>
      </c>
      <c r="M267" s="31">
        <f t="shared" si="20"/>
        <v>11083</v>
      </c>
      <c r="N267" s="32">
        <f t="shared" si="21"/>
        <v>1.6022842272661559</v>
      </c>
      <c r="O267" s="6" t="str">
        <f>IF(ABS(M267)&lt;Overview!$B$6,"OK",IF(I267=0,"REVIEW (zero base)",IF(ABS(M267/ABS(I267))&gt;=Overview!$B$5,"REVIEW","OK")))</f>
        <v>OK</v>
      </c>
      <c r="P267" s="31">
        <f t="shared" si="22"/>
        <v>0</v>
      </c>
      <c r="Q267" s="32">
        <f t="shared" si="23"/>
        <v>0</v>
      </c>
      <c r="R267" s="6" t="str">
        <f>IF(ABS(P267)&lt;Overview!$B$6,"OK",IF(J267=0,"REVIEW (zero base)",IF(ABS(P267/ABS(J267))&gt;=Overview!$B$5,"REVIEW","OK")))</f>
        <v>OK</v>
      </c>
      <c r="S267" s="33">
        <f t="shared" si="24"/>
        <v>11083.000266999999</v>
      </c>
    </row>
    <row r="268" spans="1:19" x14ac:dyDescent="0.2">
      <c r="A268" s="17">
        <v>266</v>
      </c>
      <c r="B268" s="17" t="s">
        <v>171</v>
      </c>
      <c r="C268" s="17" t="s">
        <v>338</v>
      </c>
      <c r="D268" s="17" t="s">
        <v>61</v>
      </c>
      <c r="E268" s="17" t="s">
        <v>107</v>
      </c>
      <c r="F268" s="17" t="s">
        <v>360</v>
      </c>
      <c r="G268" s="17" t="s">
        <v>328</v>
      </c>
      <c r="H268" s="30">
        <v>1743</v>
      </c>
      <c r="I268" s="30">
        <v>424</v>
      </c>
      <c r="J268" s="30">
        <v>900</v>
      </c>
      <c r="K268" s="30">
        <v>900</v>
      </c>
      <c r="L268" s="30">
        <v>906</v>
      </c>
      <c r="M268" s="31">
        <f t="shared" si="20"/>
        <v>476</v>
      </c>
      <c r="N268" s="32">
        <f t="shared" si="21"/>
        <v>1.1226415094339623</v>
      </c>
      <c r="O268" s="6" t="str">
        <f>IF(ABS(M268)&lt;Overview!$B$6,"OK",IF(I268=0,"REVIEW (zero base)",IF(ABS(M268/ABS(I268))&gt;=Overview!$B$5,"REVIEW","OK")))</f>
        <v>OK</v>
      </c>
      <c r="P268" s="31">
        <f t="shared" si="22"/>
        <v>0</v>
      </c>
      <c r="Q268" s="32">
        <f t="shared" si="23"/>
        <v>0</v>
      </c>
      <c r="R268" s="6" t="str">
        <f>IF(ABS(P268)&lt;Overview!$B$6,"OK",IF(J268=0,"REVIEW (zero base)",IF(ABS(P268/ABS(J268))&gt;=Overview!$B$5,"REVIEW","OK")))</f>
        <v>OK</v>
      </c>
      <c r="S268" s="33">
        <f t="shared" si="24"/>
        <v>476.00026800000001</v>
      </c>
    </row>
    <row r="269" spans="1:19" x14ac:dyDescent="0.2">
      <c r="A269" s="17">
        <v>267</v>
      </c>
      <c r="B269" s="17" t="s">
        <v>171</v>
      </c>
      <c r="C269" s="17" t="s">
        <v>338</v>
      </c>
      <c r="D269" s="17" t="s">
        <v>61</v>
      </c>
      <c r="E269" s="17" t="s">
        <v>107</v>
      </c>
      <c r="F269" s="17" t="s">
        <v>400</v>
      </c>
      <c r="G269" s="17" t="s">
        <v>401</v>
      </c>
      <c r="H269" s="30">
        <v>0</v>
      </c>
      <c r="I269" s="30">
        <v>6580</v>
      </c>
      <c r="J269" s="30">
        <v>18000</v>
      </c>
      <c r="K269" s="30">
        <v>18000</v>
      </c>
      <c r="L269" s="30">
        <v>18000</v>
      </c>
      <c r="M269" s="31">
        <f t="shared" si="20"/>
        <v>11420</v>
      </c>
      <c r="N269" s="32">
        <f t="shared" si="21"/>
        <v>1.7355623100303952</v>
      </c>
      <c r="O269" s="6" t="str">
        <f>IF(ABS(M269)&lt;Overview!$B$6,"OK",IF(I269=0,"REVIEW (zero base)",IF(ABS(M269/ABS(I269))&gt;=Overview!$B$5,"REVIEW","OK")))</f>
        <v>OK</v>
      </c>
      <c r="P269" s="31">
        <f t="shared" si="22"/>
        <v>0</v>
      </c>
      <c r="Q269" s="32">
        <f t="shared" si="23"/>
        <v>0</v>
      </c>
      <c r="R269" s="6" t="str">
        <f>IF(ABS(P269)&lt;Overview!$B$6,"OK",IF(J269=0,"REVIEW (zero base)",IF(ABS(P269/ABS(J269))&gt;=Overview!$B$5,"REVIEW","OK")))</f>
        <v>OK</v>
      </c>
      <c r="S269" s="33">
        <f t="shared" si="24"/>
        <v>11420.000269</v>
      </c>
    </row>
    <row r="270" spans="1:19" x14ac:dyDescent="0.2">
      <c r="A270" s="17">
        <v>268</v>
      </c>
      <c r="B270" s="17" t="s">
        <v>171</v>
      </c>
      <c r="C270" s="17" t="s">
        <v>338</v>
      </c>
      <c r="D270" s="17" t="s">
        <v>61</v>
      </c>
      <c r="E270" s="17" t="s">
        <v>107</v>
      </c>
      <c r="F270" s="17" t="s">
        <v>402</v>
      </c>
      <c r="G270" s="17" t="s">
        <v>403</v>
      </c>
      <c r="H270" s="30">
        <v>20108</v>
      </c>
      <c r="I270" s="30">
        <v>0</v>
      </c>
      <c r="J270" s="30">
        <v>4800</v>
      </c>
      <c r="K270" s="30">
        <v>4800</v>
      </c>
      <c r="L270" s="30">
        <v>4834</v>
      </c>
      <c r="M270" s="31">
        <f t="shared" si="20"/>
        <v>4800</v>
      </c>
      <c r="N270" s="32" t="str">
        <f t="shared" si="21"/>
        <v>n/a</v>
      </c>
      <c r="O270" s="6" t="str">
        <f>IF(ABS(M270)&lt;Overview!$B$6,"OK",IF(I270=0,"REVIEW (zero base)",IF(ABS(M270/ABS(I270))&gt;=Overview!$B$5,"REVIEW","OK")))</f>
        <v>OK</v>
      </c>
      <c r="P270" s="31">
        <f t="shared" si="22"/>
        <v>0</v>
      </c>
      <c r="Q270" s="32">
        <f t="shared" si="23"/>
        <v>0</v>
      </c>
      <c r="R270" s="6" t="str">
        <f>IF(ABS(P270)&lt;Overview!$B$6,"OK",IF(J270=0,"REVIEW (zero base)",IF(ABS(P270/ABS(J270))&gt;=Overview!$B$5,"REVIEW","OK")))</f>
        <v>OK</v>
      </c>
      <c r="S270" s="33">
        <f t="shared" si="24"/>
        <v>4800.0002699999995</v>
      </c>
    </row>
    <row r="271" spans="1:19" x14ac:dyDescent="0.2">
      <c r="A271" s="17">
        <v>269</v>
      </c>
      <c r="B271" s="17" t="s">
        <v>171</v>
      </c>
      <c r="C271" s="17" t="s">
        <v>338</v>
      </c>
      <c r="D271" s="17" t="s">
        <v>61</v>
      </c>
      <c r="E271" s="17" t="s">
        <v>107</v>
      </c>
      <c r="F271" s="17" t="s">
        <v>347</v>
      </c>
      <c r="G271" s="17" t="s">
        <v>348</v>
      </c>
      <c r="H271" s="30">
        <v>2345</v>
      </c>
      <c r="I271" s="30">
        <v>11677</v>
      </c>
      <c r="J271" s="30">
        <v>36000</v>
      </c>
      <c r="K271" s="30">
        <v>36000</v>
      </c>
      <c r="L271" s="30">
        <v>36252</v>
      </c>
      <c r="M271" s="31">
        <f t="shared" si="20"/>
        <v>24323</v>
      </c>
      <c r="N271" s="32">
        <f t="shared" si="21"/>
        <v>2.0829836430590047</v>
      </c>
      <c r="O271" s="6" t="str">
        <f>IF(ABS(M271)&lt;Overview!$B$6,"OK",IF(I271=0,"REVIEW (zero base)",IF(ABS(M271/ABS(I271))&gt;=Overview!$B$5,"REVIEW","OK")))</f>
        <v>OK</v>
      </c>
      <c r="P271" s="31">
        <f t="shared" si="22"/>
        <v>0</v>
      </c>
      <c r="Q271" s="32">
        <f t="shared" si="23"/>
        <v>0</v>
      </c>
      <c r="R271" s="6" t="str">
        <f>IF(ABS(P271)&lt;Overview!$B$6,"OK",IF(J271=0,"REVIEW (zero base)",IF(ABS(P271/ABS(J271))&gt;=Overview!$B$5,"REVIEW","OK")))</f>
        <v>OK</v>
      </c>
      <c r="S271" s="33">
        <f t="shared" si="24"/>
        <v>24323.000271000001</v>
      </c>
    </row>
    <row r="272" spans="1:19" x14ac:dyDescent="0.2">
      <c r="A272" s="17">
        <v>270</v>
      </c>
      <c r="B272" s="17" t="s">
        <v>171</v>
      </c>
      <c r="C272" s="17" t="s">
        <v>338</v>
      </c>
      <c r="D272" s="17" t="s">
        <v>61</v>
      </c>
      <c r="E272" s="17" t="s">
        <v>107</v>
      </c>
      <c r="F272" s="17" t="s">
        <v>386</v>
      </c>
      <c r="G272" s="17" t="s">
        <v>387</v>
      </c>
      <c r="H272" s="30">
        <v>9716</v>
      </c>
      <c r="I272" s="30">
        <v>6232</v>
      </c>
      <c r="J272" s="30">
        <v>5460</v>
      </c>
      <c r="K272" s="30">
        <v>5460</v>
      </c>
      <c r="L272" s="30">
        <v>5498</v>
      </c>
      <c r="M272" s="31">
        <f t="shared" si="20"/>
        <v>-772</v>
      </c>
      <c r="N272" s="32">
        <f t="shared" si="21"/>
        <v>-0.12387676508344031</v>
      </c>
      <c r="O272" s="6" t="str">
        <f>IF(ABS(M272)&lt;Overview!$B$6,"OK",IF(I272=0,"REVIEW (zero base)",IF(ABS(M272/ABS(I272))&gt;=Overview!$B$5,"REVIEW","OK")))</f>
        <v>OK</v>
      </c>
      <c r="P272" s="31">
        <f t="shared" si="22"/>
        <v>0</v>
      </c>
      <c r="Q272" s="32">
        <f t="shared" si="23"/>
        <v>0</v>
      </c>
      <c r="R272" s="6" t="str">
        <f>IF(ABS(P272)&lt;Overview!$B$6,"OK",IF(J272=0,"REVIEW (zero base)",IF(ABS(P272/ABS(J272))&gt;=Overview!$B$5,"REVIEW","OK")))</f>
        <v>OK</v>
      </c>
      <c r="S272" s="33">
        <f t="shared" si="24"/>
        <v>772.000272</v>
      </c>
    </row>
    <row r="273" spans="1:19" x14ac:dyDescent="0.2">
      <c r="A273" s="17">
        <v>271</v>
      </c>
      <c r="B273" s="17" t="s">
        <v>171</v>
      </c>
      <c r="C273" s="17" t="s">
        <v>338</v>
      </c>
      <c r="D273" s="17" t="s">
        <v>61</v>
      </c>
      <c r="E273" s="17" t="s">
        <v>125</v>
      </c>
      <c r="F273" s="17" t="s">
        <v>339</v>
      </c>
      <c r="G273" s="17" t="s">
        <v>340</v>
      </c>
      <c r="H273" s="30">
        <v>307333</v>
      </c>
      <c r="I273" s="30">
        <v>328240</v>
      </c>
      <c r="J273" s="30">
        <v>385129</v>
      </c>
      <c r="K273" s="30">
        <v>437640</v>
      </c>
      <c r="L273" s="30">
        <v>442016</v>
      </c>
      <c r="M273" s="31">
        <f t="shared" si="20"/>
        <v>56889</v>
      </c>
      <c r="N273" s="32">
        <f t="shared" si="21"/>
        <v>0.17331525712893006</v>
      </c>
      <c r="O273" s="6" t="str">
        <f>IF(ABS(M273)&lt;Overview!$B$6,"OK",IF(I273=0,"REVIEW (zero base)",IF(ABS(M273/ABS(I273))&gt;=Overview!$B$5,"REVIEW","OK")))</f>
        <v>OK</v>
      </c>
      <c r="P273" s="31">
        <f t="shared" si="22"/>
        <v>52511</v>
      </c>
      <c r="Q273" s="32">
        <f t="shared" si="23"/>
        <v>0.13634652285338159</v>
      </c>
      <c r="R273" s="6" t="str">
        <f>IF(ABS(P273)&lt;Overview!$B$6,"OK",IF(J273=0,"REVIEW (zero base)",IF(ABS(P273/ABS(J273))&gt;=Overview!$B$5,"REVIEW","OK")))</f>
        <v>OK</v>
      </c>
      <c r="S273" s="33">
        <f t="shared" si="24"/>
        <v>56889.000272999998</v>
      </c>
    </row>
    <row r="274" spans="1:19" x14ac:dyDescent="0.2">
      <c r="A274" s="17">
        <v>272</v>
      </c>
      <c r="B274" s="17" t="s">
        <v>171</v>
      </c>
      <c r="C274" s="17" t="s">
        <v>338</v>
      </c>
      <c r="D274" s="17" t="s">
        <v>61</v>
      </c>
      <c r="E274" s="17" t="s">
        <v>125</v>
      </c>
      <c r="F274" s="17" t="s">
        <v>339</v>
      </c>
      <c r="G274" s="17" t="s">
        <v>390</v>
      </c>
      <c r="H274" s="30">
        <v>224</v>
      </c>
      <c r="I274" s="30">
        <v>0</v>
      </c>
      <c r="J274" s="30">
        <v>500</v>
      </c>
      <c r="K274" s="30">
        <v>600</v>
      </c>
      <c r="L274" s="30">
        <v>600</v>
      </c>
      <c r="M274" s="31">
        <f t="shared" si="20"/>
        <v>500</v>
      </c>
      <c r="N274" s="32" t="str">
        <f t="shared" si="21"/>
        <v>n/a</v>
      </c>
      <c r="O274" s="6" t="str">
        <f>IF(ABS(M274)&lt;Overview!$B$6,"OK",IF(I274=0,"REVIEW (zero base)",IF(ABS(M274/ABS(I274))&gt;=Overview!$B$5,"REVIEW","OK")))</f>
        <v>OK</v>
      </c>
      <c r="P274" s="31">
        <f t="shared" si="22"/>
        <v>100</v>
      </c>
      <c r="Q274" s="32">
        <f t="shared" si="23"/>
        <v>0.2</v>
      </c>
      <c r="R274" s="6" t="str">
        <f>IF(ABS(P274)&lt;Overview!$B$6,"OK",IF(J274=0,"REVIEW (zero base)",IF(ABS(P274/ABS(J274))&gt;=Overview!$B$5,"REVIEW","OK")))</f>
        <v>OK</v>
      </c>
      <c r="S274" s="33">
        <f t="shared" si="24"/>
        <v>500.00027399999999</v>
      </c>
    </row>
    <row r="275" spans="1:19" x14ac:dyDescent="0.2">
      <c r="A275" s="17">
        <v>273</v>
      </c>
      <c r="B275" s="17" t="s">
        <v>171</v>
      </c>
      <c r="C275" s="17" t="s">
        <v>338</v>
      </c>
      <c r="D275" s="17" t="s">
        <v>61</v>
      </c>
      <c r="E275" s="17" t="s">
        <v>125</v>
      </c>
      <c r="F275" s="17" t="s">
        <v>339</v>
      </c>
      <c r="G275" s="17" t="s">
        <v>391</v>
      </c>
      <c r="H275" s="30">
        <v>16226</v>
      </c>
      <c r="I275" s="30">
        <v>17160</v>
      </c>
      <c r="J275" s="30">
        <v>0</v>
      </c>
      <c r="K275" s="30">
        <v>0</v>
      </c>
      <c r="L275" s="30">
        <v>0</v>
      </c>
      <c r="M275" s="31">
        <f t="shared" si="20"/>
        <v>-17160</v>
      </c>
      <c r="N275" s="32">
        <f t="shared" si="21"/>
        <v>-1</v>
      </c>
      <c r="O275" s="6" t="str">
        <f>IF(ABS(M275)&lt;Overview!$B$6,"OK",IF(I275=0,"REVIEW (zero base)",IF(ABS(M275/ABS(I275))&gt;=Overview!$B$5,"REVIEW","OK")))</f>
        <v>OK</v>
      </c>
      <c r="P275" s="31">
        <f t="shared" si="22"/>
        <v>0</v>
      </c>
      <c r="Q275" s="32" t="str">
        <f t="shared" si="23"/>
        <v>n/a</v>
      </c>
      <c r="R275" s="6" t="str">
        <f>IF(ABS(P275)&lt;Overview!$B$6,"OK",IF(J275=0,"REVIEW (zero base)",IF(ABS(P275/ABS(J275))&gt;=Overview!$B$5,"REVIEW","OK")))</f>
        <v>OK</v>
      </c>
      <c r="S275" s="33">
        <f t="shared" si="24"/>
        <v>17160.000274999999</v>
      </c>
    </row>
    <row r="276" spans="1:19" x14ac:dyDescent="0.2">
      <c r="A276" s="17">
        <v>274</v>
      </c>
      <c r="B276" s="17" t="s">
        <v>171</v>
      </c>
      <c r="C276" s="17" t="s">
        <v>338</v>
      </c>
      <c r="D276" s="17" t="s">
        <v>61</v>
      </c>
      <c r="E276" s="17" t="s">
        <v>125</v>
      </c>
      <c r="F276" s="17" t="s">
        <v>339</v>
      </c>
      <c r="G276" s="17" t="s">
        <v>392</v>
      </c>
      <c r="H276" s="30">
        <v>36268</v>
      </c>
      <c r="I276" s="30">
        <v>32415</v>
      </c>
      <c r="J276" s="30">
        <v>0</v>
      </c>
      <c r="K276" s="30">
        <v>0</v>
      </c>
      <c r="L276" s="30">
        <v>0</v>
      </c>
      <c r="M276" s="31">
        <f t="shared" si="20"/>
        <v>-32415</v>
      </c>
      <c r="N276" s="32">
        <f t="shared" si="21"/>
        <v>-1</v>
      </c>
      <c r="O276" s="6" t="str">
        <f>IF(ABS(M276)&lt;Overview!$B$6,"OK",IF(I276=0,"REVIEW (zero base)",IF(ABS(M276/ABS(I276))&gt;=Overview!$B$5,"REVIEW","OK")))</f>
        <v>OK</v>
      </c>
      <c r="P276" s="31">
        <f t="shared" si="22"/>
        <v>0</v>
      </c>
      <c r="Q276" s="32" t="str">
        <f t="shared" si="23"/>
        <v>n/a</v>
      </c>
      <c r="R276" s="6" t="str">
        <f>IF(ABS(P276)&lt;Overview!$B$6,"OK",IF(J276=0,"REVIEW (zero base)",IF(ABS(P276/ABS(J276))&gt;=Overview!$B$5,"REVIEW","OK")))</f>
        <v>OK</v>
      </c>
      <c r="S276" s="33">
        <f t="shared" si="24"/>
        <v>32415.000275999999</v>
      </c>
    </row>
    <row r="277" spans="1:19" x14ac:dyDescent="0.2">
      <c r="A277" s="17">
        <v>275</v>
      </c>
      <c r="B277" s="17" t="s">
        <v>171</v>
      </c>
      <c r="C277" s="17" t="s">
        <v>338</v>
      </c>
      <c r="D277" s="17" t="s">
        <v>61</v>
      </c>
      <c r="E277" s="17" t="s">
        <v>125</v>
      </c>
      <c r="F277" s="17" t="s">
        <v>339</v>
      </c>
      <c r="G277" s="17" t="s">
        <v>394</v>
      </c>
      <c r="H277" s="30">
        <v>22476</v>
      </c>
      <c r="I277" s="30">
        <v>25364</v>
      </c>
      <c r="J277" s="30">
        <v>0</v>
      </c>
      <c r="K277" s="30">
        <v>0</v>
      </c>
      <c r="L277" s="30">
        <v>0</v>
      </c>
      <c r="M277" s="31">
        <f t="shared" si="20"/>
        <v>-25364</v>
      </c>
      <c r="N277" s="32">
        <f t="shared" si="21"/>
        <v>-1</v>
      </c>
      <c r="O277" s="6" t="str">
        <f>IF(ABS(M277)&lt;Overview!$B$6,"OK",IF(I277=0,"REVIEW (zero base)",IF(ABS(M277/ABS(I277))&gt;=Overview!$B$5,"REVIEW","OK")))</f>
        <v>OK</v>
      </c>
      <c r="P277" s="31">
        <f t="shared" si="22"/>
        <v>0</v>
      </c>
      <c r="Q277" s="32" t="str">
        <f t="shared" si="23"/>
        <v>n/a</v>
      </c>
      <c r="R277" s="6" t="str">
        <f>IF(ABS(P277)&lt;Overview!$B$6,"OK",IF(J277=0,"REVIEW (zero base)",IF(ABS(P277/ABS(J277))&gt;=Overview!$B$5,"REVIEW","OK")))</f>
        <v>OK</v>
      </c>
      <c r="S277" s="33">
        <f t="shared" si="24"/>
        <v>25364.000276999999</v>
      </c>
    </row>
    <row r="278" spans="1:19" x14ac:dyDescent="0.2">
      <c r="A278" s="17">
        <v>276</v>
      </c>
      <c r="B278" s="17" t="s">
        <v>171</v>
      </c>
      <c r="C278" s="17" t="s">
        <v>338</v>
      </c>
      <c r="D278" s="17" t="s">
        <v>61</v>
      </c>
      <c r="E278" s="17" t="s">
        <v>125</v>
      </c>
      <c r="F278" s="17" t="s">
        <v>339</v>
      </c>
      <c r="G278" s="17" t="s">
        <v>395</v>
      </c>
      <c r="H278" s="30">
        <v>19082</v>
      </c>
      <c r="I278" s="30">
        <v>21242</v>
      </c>
      <c r="J278" s="30">
        <v>23500</v>
      </c>
      <c r="K278" s="30">
        <v>22668</v>
      </c>
      <c r="L278" s="30">
        <v>22895</v>
      </c>
      <c r="M278" s="31">
        <f t="shared" si="20"/>
        <v>2258</v>
      </c>
      <c r="N278" s="32">
        <f t="shared" si="21"/>
        <v>0.10629884191695697</v>
      </c>
      <c r="O278" s="6" t="str">
        <f>IF(ABS(M278)&lt;Overview!$B$6,"OK",IF(I278=0,"REVIEW (zero base)",IF(ABS(M278/ABS(I278))&gt;=Overview!$B$5,"REVIEW","OK")))</f>
        <v>OK</v>
      </c>
      <c r="P278" s="31">
        <f t="shared" si="22"/>
        <v>-832</v>
      </c>
      <c r="Q278" s="32">
        <f t="shared" si="23"/>
        <v>-3.5404255319148939E-2</v>
      </c>
      <c r="R278" s="6" t="str">
        <f>IF(ABS(P278)&lt;Overview!$B$6,"OK",IF(J278=0,"REVIEW (zero base)",IF(ABS(P278/ABS(J278))&gt;=Overview!$B$5,"REVIEW","OK")))</f>
        <v>OK</v>
      </c>
      <c r="S278" s="33">
        <f t="shared" si="24"/>
        <v>2258.000278</v>
      </c>
    </row>
    <row r="279" spans="1:19" x14ac:dyDescent="0.2">
      <c r="A279" s="17">
        <v>277</v>
      </c>
      <c r="B279" s="17" t="s">
        <v>171</v>
      </c>
      <c r="C279" s="17" t="s">
        <v>338</v>
      </c>
      <c r="D279" s="17" t="s">
        <v>61</v>
      </c>
      <c r="E279" s="17" t="s">
        <v>125</v>
      </c>
      <c r="F279" s="17" t="s">
        <v>341</v>
      </c>
      <c r="G279" s="17" t="s">
        <v>342</v>
      </c>
      <c r="H279" s="30">
        <v>5955</v>
      </c>
      <c r="I279" s="30">
        <v>5675</v>
      </c>
      <c r="J279" s="30">
        <v>6828</v>
      </c>
      <c r="K279" s="30">
        <v>6828</v>
      </c>
      <c r="L279" s="30">
        <v>6828</v>
      </c>
      <c r="M279" s="31">
        <f t="shared" si="20"/>
        <v>1153</v>
      </c>
      <c r="N279" s="32">
        <f t="shared" si="21"/>
        <v>0.20317180616740088</v>
      </c>
      <c r="O279" s="6" t="str">
        <f>IF(ABS(M279)&lt;Overview!$B$6,"OK",IF(I279=0,"REVIEW (zero base)",IF(ABS(M279/ABS(I279))&gt;=Overview!$B$5,"REVIEW","OK")))</f>
        <v>OK</v>
      </c>
      <c r="P279" s="31">
        <f t="shared" si="22"/>
        <v>0</v>
      </c>
      <c r="Q279" s="32">
        <f t="shared" si="23"/>
        <v>0</v>
      </c>
      <c r="R279" s="6" t="str">
        <f>IF(ABS(P279)&lt;Overview!$B$6,"OK",IF(J279=0,"REVIEW (zero base)",IF(ABS(P279/ABS(J279))&gt;=Overview!$B$5,"REVIEW","OK")))</f>
        <v>OK</v>
      </c>
      <c r="S279" s="33">
        <f t="shared" si="24"/>
        <v>1153.0002790000001</v>
      </c>
    </row>
    <row r="280" spans="1:19" x14ac:dyDescent="0.2">
      <c r="A280" s="17">
        <v>278</v>
      </c>
      <c r="B280" s="17" t="s">
        <v>171</v>
      </c>
      <c r="C280" s="17" t="s">
        <v>338</v>
      </c>
      <c r="D280" s="17" t="s">
        <v>61</v>
      </c>
      <c r="E280" s="17" t="s">
        <v>125</v>
      </c>
      <c r="F280" s="17" t="s">
        <v>341</v>
      </c>
      <c r="G280" s="17" t="s">
        <v>375</v>
      </c>
      <c r="H280" s="30">
        <v>11123</v>
      </c>
      <c r="I280" s="30">
        <v>9067</v>
      </c>
      <c r="J280" s="30">
        <v>13650</v>
      </c>
      <c r="K280" s="30">
        <v>13650</v>
      </c>
      <c r="L280" s="30">
        <v>13650</v>
      </c>
      <c r="M280" s="31">
        <f t="shared" si="20"/>
        <v>4583</v>
      </c>
      <c r="N280" s="32">
        <f t="shared" si="21"/>
        <v>0.50545935811183418</v>
      </c>
      <c r="O280" s="6" t="str">
        <f>IF(ABS(M280)&lt;Overview!$B$6,"OK",IF(I280=0,"REVIEW (zero base)",IF(ABS(M280/ABS(I280))&gt;=Overview!$B$5,"REVIEW","OK")))</f>
        <v>OK</v>
      </c>
      <c r="P280" s="31">
        <f t="shared" si="22"/>
        <v>0</v>
      </c>
      <c r="Q280" s="32">
        <f t="shared" si="23"/>
        <v>0</v>
      </c>
      <c r="R280" s="6" t="str">
        <f>IF(ABS(P280)&lt;Overview!$B$6,"OK",IF(J280=0,"REVIEW (zero base)",IF(ABS(P280/ABS(J280))&gt;=Overview!$B$5,"REVIEW","OK")))</f>
        <v>OK</v>
      </c>
      <c r="S280" s="33">
        <f t="shared" si="24"/>
        <v>4583.0002800000002</v>
      </c>
    </row>
    <row r="281" spans="1:19" x14ac:dyDescent="0.2">
      <c r="A281" s="17">
        <v>279</v>
      </c>
      <c r="B281" s="17" t="s">
        <v>171</v>
      </c>
      <c r="C281" s="17" t="s">
        <v>338</v>
      </c>
      <c r="D281" s="17" t="s">
        <v>61</v>
      </c>
      <c r="E281" s="17" t="s">
        <v>125</v>
      </c>
      <c r="F281" s="17" t="s">
        <v>341</v>
      </c>
      <c r="G281" s="17" t="s">
        <v>376</v>
      </c>
      <c r="H281" s="30">
        <v>115770</v>
      </c>
      <c r="I281" s="30">
        <v>123829</v>
      </c>
      <c r="J281" s="30">
        <v>112604</v>
      </c>
      <c r="K281" s="30">
        <v>129024</v>
      </c>
      <c r="L281" s="30">
        <v>135772</v>
      </c>
      <c r="M281" s="31">
        <f t="shared" si="20"/>
        <v>-11225</v>
      </c>
      <c r="N281" s="32">
        <f t="shared" si="21"/>
        <v>-9.0649201721729161E-2</v>
      </c>
      <c r="O281" s="6" t="str">
        <f>IF(ABS(M281)&lt;Overview!$B$6,"OK",IF(I281=0,"REVIEW (zero base)",IF(ABS(M281/ABS(I281))&gt;=Overview!$B$5,"REVIEW","OK")))</f>
        <v>OK</v>
      </c>
      <c r="P281" s="31">
        <f t="shared" si="22"/>
        <v>16420</v>
      </c>
      <c r="Q281" s="32">
        <f t="shared" si="23"/>
        <v>0.14582075237114134</v>
      </c>
      <c r="R281" s="6" t="str">
        <f>IF(ABS(P281)&lt;Overview!$B$6,"OK",IF(J281=0,"REVIEW (zero base)",IF(ABS(P281/ABS(J281))&gt;=Overview!$B$5,"REVIEW","OK")))</f>
        <v>OK</v>
      </c>
      <c r="S281" s="33">
        <f t="shared" si="24"/>
        <v>11225.000281000001</v>
      </c>
    </row>
    <row r="282" spans="1:19" x14ac:dyDescent="0.2">
      <c r="A282" s="17">
        <v>280</v>
      </c>
      <c r="B282" s="17" t="s">
        <v>171</v>
      </c>
      <c r="C282" s="17" t="s">
        <v>338</v>
      </c>
      <c r="D282" s="17" t="s">
        <v>61</v>
      </c>
      <c r="E282" s="17" t="s">
        <v>125</v>
      </c>
      <c r="F282" s="17" t="s">
        <v>341</v>
      </c>
      <c r="G282" s="17" t="s">
        <v>343</v>
      </c>
      <c r="H282" s="30">
        <v>29151</v>
      </c>
      <c r="I282" s="30">
        <v>30532</v>
      </c>
      <c r="J282" s="30">
        <v>34043</v>
      </c>
      <c r="K282" s="30">
        <v>34124</v>
      </c>
      <c r="L282" s="30">
        <v>34465</v>
      </c>
      <c r="M282" s="31">
        <f t="shared" si="20"/>
        <v>3511</v>
      </c>
      <c r="N282" s="32">
        <f t="shared" si="21"/>
        <v>0.11499410454605005</v>
      </c>
      <c r="O282" s="6" t="str">
        <f>IF(ABS(M282)&lt;Overview!$B$6,"OK",IF(I282=0,"REVIEW (zero base)",IF(ABS(M282/ABS(I282))&gt;=Overview!$B$5,"REVIEW","OK")))</f>
        <v>OK</v>
      </c>
      <c r="P282" s="31">
        <f t="shared" si="22"/>
        <v>81</v>
      </c>
      <c r="Q282" s="32">
        <f t="shared" si="23"/>
        <v>2.3793437711130041E-3</v>
      </c>
      <c r="R282" s="6" t="str">
        <f>IF(ABS(P282)&lt;Overview!$B$6,"OK",IF(J282=0,"REVIEW (zero base)",IF(ABS(P282/ABS(J282))&gt;=Overview!$B$5,"REVIEW","OK")))</f>
        <v>OK</v>
      </c>
      <c r="S282" s="33">
        <f t="shared" si="24"/>
        <v>3511.000282</v>
      </c>
    </row>
    <row r="283" spans="1:19" x14ac:dyDescent="0.2">
      <c r="A283" s="17">
        <v>281</v>
      </c>
      <c r="B283" s="17" t="s">
        <v>171</v>
      </c>
      <c r="C283" s="17" t="s">
        <v>338</v>
      </c>
      <c r="D283" s="17" t="s">
        <v>61</v>
      </c>
      <c r="E283" s="17" t="s">
        <v>125</v>
      </c>
      <c r="F283" s="17" t="s">
        <v>341</v>
      </c>
      <c r="G283" s="17" t="s">
        <v>378</v>
      </c>
      <c r="H283" s="30">
        <v>9149</v>
      </c>
      <c r="I283" s="30">
        <v>6843</v>
      </c>
      <c r="J283" s="30">
        <v>10322</v>
      </c>
      <c r="K283" s="30">
        <v>10920</v>
      </c>
      <c r="L283" s="30">
        <v>11404</v>
      </c>
      <c r="M283" s="31">
        <f t="shared" si="20"/>
        <v>3479</v>
      </c>
      <c r="N283" s="32">
        <f t="shared" si="21"/>
        <v>0.50840274733304103</v>
      </c>
      <c r="O283" s="6" t="str">
        <f>IF(ABS(M283)&lt;Overview!$B$6,"OK",IF(I283=0,"REVIEW (zero base)",IF(ABS(M283/ABS(I283))&gt;=Overview!$B$5,"REVIEW","OK")))</f>
        <v>OK</v>
      </c>
      <c r="P283" s="31">
        <f t="shared" si="22"/>
        <v>598</v>
      </c>
      <c r="Q283" s="32">
        <f t="shared" si="23"/>
        <v>5.793450881612091E-2</v>
      </c>
      <c r="R283" s="6" t="str">
        <f>IF(ABS(P283)&lt;Overview!$B$6,"OK",IF(J283=0,"REVIEW (zero base)",IF(ABS(P283/ABS(J283))&gt;=Overview!$B$5,"REVIEW","OK")))</f>
        <v>OK</v>
      </c>
      <c r="S283" s="33">
        <f t="shared" si="24"/>
        <v>3479.0002829999999</v>
      </c>
    </row>
    <row r="284" spans="1:19" x14ac:dyDescent="0.2">
      <c r="A284" s="17">
        <v>282</v>
      </c>
      <c r="B284" s="17" t="s">
        <v>171</v>
      </c>
      <c r="C284" s="17" t="s">
        <v>338</v>
      </c>
      <c r="D284" s="17" t="s">
        <v>61</v>
      </c>
      <c r="E284" s="17" t="s">
        <v>125</v>
      </c>
      <c r="F284" s="17" t="s">
        <v>341</v>
      </c>
      <c r="G284" s="17" t="s">
        <v>344</v>
      </c>
      <c r="H284" s="30">
        <v>68906</v>
      </c>
      <c r="I284" s="30">
        <v>67063</v>
      </c>
      <c r="J284" s="30">
        <v>85230</v>
      </c>
      <c r="K284" s="30">
        <v>98640</v>
      </c>
      <c r="L284" s="30">
        <v>100613</v>
      </c>
      <c r="M284" s="31">
        <f t="shared" si="20"/>
        <v>18167</v>
      </c>
      <c r="N284" s="32">
        <f t="shared" si="21"/>
        <v>0.27089453200721708</v>
      </c>
      <c r="O284" s="6" t="str">
        <f>IF(ABS(M284)&lt;Overview!$B$6,"OK",IF(I284=0,"REVIEW (zero base)",IF(ABS(M284/ABS(I284))&gt;=Overview!$B$5,"REVIEW","OK")))</f>
        <v>OK</v>
      </c>
      <c r="P284" s="31">
        <f t="shared" si="22"/>
        <v>13410</v>
      </c>
      <c r="Q284" s="32">
        <f t="shared" si="23"/>
        <v>0.1573389651531151</v>
      </c>
      <c r="R284" s="6" t="str">
        <f>IF(ABS(P284)&lt;Overview!$B$6,"OK",IF(J284=0,"REVIEW (zero base)",IF(ABS(P284/ABS(J284))&gt;=Overview!$B$5,"REVIEW","OK")))</f>
        <v>OK</v>
      </c>
      <c r="S284" s="33">
        <f t="shared" si="24"/>
        <v>18167.000284000002</v>
      </c>
    </row>
    <row r="285" spans="1:19" x14ac:dyDescent="0.2">
      <c r="A285" s="17">
        <v>283</v>
      </c>
      <c r="B285" s="17" t="s">
        <v>171</v>
      </c>
      <c r="C285" s="17" t="s">
        <v>338</v>
      </c>
      <c r="D285" s="17" t="s">
        <v>61</v>
      </c>
      <c r="E285" s="17" t="s">
        <v>125</v>
      </c>
      <c r="F285" s="17" t="s">
        <v>364</v>
      </c>
      <c r="G285" s="17" t="s">
        <v>383</v>
      </c>
      <c r="H285" s="30">
        <v>20237</v>
      </c>
      <c r="I285" s="30">
        <v>21744</v>
      </c>
      <c r="J285" s="30">
        <v>24996</v>
      </c>
      <c r="K285" s="30">
        <v>26400</v>
      </c>
      <c r="L285" s="30">
        <v>26400</v>
      </c>
      <c r="M285" s="31">
        <f t="shared" si="20"/>
        <v>3252</v>
      </c>
      <c r="N285" s="32">
        <f t="shared" si="21"/>
        <v>0.14955849889624723</v>
      </c>
      <c r="O285" s="6" t="str">
        <f>IF(ABS(M285)&lt;Overview!$B$6,"OK",IF(I285=0,"REVIEW (zero base)",IF(ABS(M285/ABS(I285))&gt;=Overview!$B$5,"REVIEW","OK")))</f>
        <v>OK</v>
      </c>
      <c r="P285" s="31">
        <f t="shared" si="22"/>
        <v>1404</v>
      </c>
      <c r="Q285" s="32">
        <f t="shared" si="23"/>
        <v>5.6168987037926069E-2</v>
      </c>
      <c r="R285" s="6" t="str">
        <f>IF(ABS(P285)&lt;Overview!$B$6,"OK",IF(J285=0,"REVIEW (zero base)",IF(ABS(P285/ABS(J285))&gt;=Overview!$B$5,"REVIEW","OK")))</f>
        <v>OK</v>
      </c>
      <c r="S285" s="33">
        <f t="shared" si="24"/>
        <v>3252.0002850000001</v>
      </c>
    </row>
    <row r="286" spans="1:19" x14ac:dyDescent="0.2">
      <c r="A286" s="17">
        <v>284</v>
      </c>
      <c r="B286" s="17" t="s">
        <v>171</v>
      </c>
      <c r="C286" s="17" t="s">
        <v>338</v>
      </c>
      <c r="D286" s="17" t="s">
        <v>61</v>
      </c>
      <c r="E286" s="17" t="s">
        <v>125</v>
      </c>
      <c r="F286" s="17" t="s">
        <v>364</v>
      </c>
      <c r="G286" s="17" t="s">
        <v>398</v>
      </c>
      <c r="H286" s="30">
        <v>0</v>
      </c>
      <c r="I286" s="30">
        <v>0</v>
      </c>
      <c r="J286" s="30">
        <v>500</v>
      </c>
      <c r="K286" s="30">
        <v>600</v>
      </c>
      <c r="L286" s="30">
        <v>604</v>
      </c>
      <c r="M286" s="31">
        <f t="shared" si="20"/>
        <v>500</v>
      </c>
      <c r="N286" s="32" t="str">
        <f t="shared" si="21"/>
        <v>n/a</v>
      </c>
      <c r="O286" s="6" t="str">
        <f>IF(ABS(M286)&lt;Overview!$B$6,"OK",IF(I286=0,"REVIEW (zero base)",IF(ABS(M286/ABS(I286))&gt;=Overview!$B$5,"REVIEW","OK")))</f>
        <v>OK</v>
      </c>
      <c r="P286" s="31">
        <f t="shared" si="22"/>
        <v>100</v>
      </c>
      <c r="Q286" s="32">
        <f t="shared" si="23"/>
        <v>0.2</v>
      </c>
      <c r="R286" s="6" t="str">
        <f>IF(ABS(P286)&lt;Overview!$B$6,"OK",IF(J286=0,"REVIEW (zero base)",IF(ABS(P286/ABS(J286))&gt;=Overview!$B$5,"REVIEW","OK")))</f>
        <v>OK</v>
      </c>
      <c r="S286" s="33">
        <f t="shared" si="24"/>
        <v>500.00028600000002</v>
      </c>
    </row>
    <row r="287" spans="1:19" x14ac:dyDescent="0.2">
      <c r="A287" s="17">
        <v>285</v>
      </c>
      <c r="B287" s="17" t="s">
        <v>171</v>
      </c>
      <c r="C287" s="17" t="s">
        <v>338</v>
      </c>
      <c r="D287" s="17" t="s">
        <v>61</v>
      </c>
      <c r="E287" s="17" t="s">
        <v>125</v>
      </c>
      <c r="F287" s="17" t="s">
        <v>364</v>
      </c>
      <c r="G287" s="17" t="s">
        <v>370</v>
      </c>
      <c r="H287" s="30">
        <v>43568</v>
      </c>
      <c r="I287" s="30">
        <v>41509</v>
      </c>
      <c r="J287" s="30">
        <v>24000</v>
      </c>
      <c r="K287" s="30">
        <v>25000</v>
      </c>
      <c r="L287" s="30">
        <v>25175</v>
      </c>
      <c r="M287" s="31">
        <f t="shared" si="20"/>
        <v>-17509</v>
      </c>
      <c r="N287" s="32">
        <f t="shared" si="21"/>
        <v>-0.42181213712688814</v>
      </c>
      <c r="O287" s="6" t="str">
        <f>IF(ABS(M287)&lt;Overview!$B$6,"OK",IF(I287=0,"REVIEW (zero base)",IF(ABS(M287/ABS(I287))&gt;=Overview!$B$5,"REVIEW","OK")))</f>
        <v>OK</v>
      </c>
      <c r="P287" s="31">
        <f t="shared" si="22"/>
        <v>1000</v>
      </c>
      <c r="Q287" s="32">
        <f t="shared" si="23"/>
        <v>4.1666666666666664E-2</v>
      </c>
      <c r="R287" s="6" t="str">
        <f>IF(ABS(P287)&lt;Overview!$B$6,"OK",IF(J287=0,"REVIEW (zero base)",IF(ABS(P287/ABS(J287))&gt;=Overview!$B$5,"REVIEW","OK")))</f>
        <v>OK</v>
      </c>
      <c r="S287" s="33">
        <f t="shared" si="24"/>
        <v>17509.000286999999</v>
      </c>
    </row>
    <row r="288" spans="1:19" x14ac:dyDescent="0.2">
      <c r="A288" s="17">
        <v>286</v>
      </c>
      <c r="B288" s="17" t="s">
        <v>171</v>
      </c>
      <c r="C288" s="17" t="s">
        <v>338</v>
      </c>
      <c r="D288" s="17" t="s">
        <v>61</v>
      </c>
      <c r="E288" s="17" t="s">
        <v>125</v>
      </c>
      <c r="F288" s="17" t="s">
        <v>404</v>
      </c>
      <c r="G288" s="17" t="s">
        <v>405</v>
      </c>
      <c r="H288" s="30">
        <v>243</v>
      </c>
      <c r="I288" s="30">
        <v>147</v>
      </c>
      <c r="J288" s="30">
        <v>1000</v>
      </c>
      <c r="K288" s="30">
        <v>1200</v>
      </c>
      <c r="L288" s="30">
        <v>1208</v>
      </c>
      <c r="M288" s="31">
        <f t="shared" si="20"/>
        <v>853</v>
      </c>
      <c r="N288" s="32">
        <f t="shared" si="21"/>
        <v>5.8027210884353737</v>
      </c>
      <c r="O288" s="6" t="str">
        <f>IF(ABS(M288)&lt;Overview!$B$6,"OK",IF(I288=0,"REVIEW (zero base)",IF(ABS(M288/ABS(I288))&gt;=Overview!$B$5,"REVIEW","OK")))</f>
        <v>OK</v>
      </c>
      <c r="P288" s="31">
        <f t="shared" si="22"/>
        <v>200</v>
      </c>
      <c r="Q288" s="32">
        <f t="shared" si="23"/>
        <v>0.2</v>
      </c>
      <c r="R288" s="6" t="str">
        <f>IF(ABS(P288)&lt;Overview!$B$6,"OK",IF(J288=0,"REVIEW (zero base)",IF(ABS(P288/ABS(J288))&gt;=Overview!$B$5,"REVIEW","OK")))</f>
        <v>OK</v>
      </c>
      <c r="S288" s="33">
        <f t="shared" si="24"/>
        <v>853.00028799999995</v>
      </c>
    </row>
    <row r="289" spans="1:19" x14ac:dyDescent="0.2">
      <c r="A289" s="17">
        <v>287</v>
      </c>
      <c r="B289" s="17" t="s">
        <v>171</v>
      </c>
      <c r="C289" s="17" t="s">
        <v>338</v>
      </c>
      <c r="D289" s="17" t="s">
        <v>61</v>
      </c>
      <c r="E289" s="17" t="s">
        <v>125</v>
      </c>
      <c r="F289" s="17" t="s">
        <v>347</v>
      </c>
      <c r="G289" s="17" t="s">
        <v>348</v>
      </c>
      <c r="H289" s="30">
        <v>12149</v>
      </c>
      <c r="I289" s="30">
        <v>169</v>
      </c>
      <c r="J289" s="30">
        <v>12000</v>
      </c>
      <c r="K289" s="30">
        <v>14400</v>
      </c>
      <c r="L289" s="30">
        <v>14501</v>
      </c>
      <c r="M289" s="31">
        <f t="shared" si="20"/>
        <v>11831</v>
      </c>
      <c r="N289" s="32">
        <f t="shared" si="21"/>
        <v>70.005917159763314</v>
      </c>
      <c r="O289" s="6" t="str">
        <f>IF(ABS(M289)&lt;Overview!$B$6,"OK",IF(I289=0,"REVIEW (zero base)",IF(ABS(M289/ABS(I289))&gt;=Overview!$B$5,"REVIEW","OK")))</f>
        <v>OK</v>
      </c>
      <c r="P289" s="31">
        <f t="shared" si="22"/>
        <v>2400</v>
      </c>
      <c r="Q289" s="32">
        <f t="shared" si="23"/>
        <v>0.2</v>
      </c>
      <c r="R289" s="6" t="str">
        <f>IF(ABS(P289)&lt;Overview!$B$6,"OK",IF(J289=0,"REVIEW (zero base)",IF(ABS(P289/ABS(J289))&gt;=Overview!$B$5,"REVIEW","OK")))</f>
        <v>OK</v>
      </c>
      <c r="S289" s="33">
        <f t="shared" si="24"/>
        <v>11831.000289</v>
      </c>
    </row>
    <row r="290" spans="1:19" x14ac:dyDescent="0.2">
      <c r="A290" s="17">
        <v>288</v>
      </c>
      <c r="B290" s="17" t="s">
        <v>171</v>
      </c>
      <c r="C290" s="17" t="s">
        <v>338</v>
      </c>
      <c r="D290" s="17" t="s">
        <v>61</v>
      </c>
      <c r="E290" s="17" t="s">
        <v>125</v>
      </c>
      <c r="F290" s="17" t="s">
        <v>386</v>
      </c>
      <c r="G290" s="17" t="s">
        <v>387</v>
      </c>
      <c r="H290" s="30">
        <v>1209</v>
      </c>
      <c r="I290" s="30">
        <v>1755</v>
      </c>
      <c r="J290" s="30">
        <v>2100</v>
      </c>
      <c r="K290" s="30">
        <v>2100</v>
      </c>
      <c r="L290" s="30">
        <v>2115</v>
      </c>
      <c r="M290" s="31">
        <f t="shared" si="20"/>
        <v>345</v>
      </c>
      <c r="N290" s="32">
        <f t="shared" si="21"/>
        <v>0.19658119658119658</v>
      </c>
      <c r="O290" s="6" t="str">
        <f>IF(ABS(M290)&lt;Overview!$B$6,"OK",IF(I290=0,"REVIEW (zero base)",IF(ABS(M290/ABS(I290))&gt;=Overview!$B$5,"REVIEW","OK")))</f>
        <v>OK</v>
      </c>
      <c r="P290" s="31">
        <f t="shared" si="22"/>
        <v>0</v>
      </c>
      <c r="Q290" s="32">
        <f t="shared" si="23"/>
        <v>0</v>
      </c>
      <c r="R290" s="6" t="str">
        <f>IF(ABS(P290)&lt;Overview!$B$6,"OK",IF(J290=0,"REVIEW (zero base)",IF(ABS(P290/ABS(J290))&gt;=Overview!$B$5,"REVIEW","OK")))</f>
        <v>OK</v>
      </c>
      <c r="S290" s="33">
        <f t="shared" si="24"/>
        <v>345.00029000000001</v>
      </c>
    </row>
    <row r="291" spans="1:19" x14ac:dyDescent="0.2">
      <c r="A291" s="17">
        <v>289</v>
      </c>
      <c r="B291" s="17" t="s">
        <v>171</v>
      </c>
      <c r="C291" s="17" t="s">
        <v>338</v>
      </c>
      <c r="D291" s="17" t="s">
        <v>61</v>
      </c>
      <c r="E291" s="17" t="s">
        <v>111</v>
      </c>
      <c r="F291" s="17" t="s">
        <v>339</v>
      </c>
      <c r="G291" s="17" t="s">
        <v>340</v>
      </c>
      <c r="H291" s="30">
        <v>506706</v>
      </c>
      <c r="I291" s="30">
        <v>647471</v>
      </c>
      <c r="J291" s="30">
        <v>845093</v>
      </c>
      <c r="K291" s="30">
        <v>1150057</v>
      </c>
      <c r="L291" s="30">
        <v>1161558</v>
      </c>
      <c r="M291" s="31">
        <f t="shared" si="20"/>
        <v>197622</v>
      </c>
      <c r="N291" s="32">
        <f t="shared" si="21"/>
        <v>0.30522139215501543</v>
      </c>
      <c r="O291" s="6" t="str">
        <f>IF(ABS(M291)&lt;Overview!$B$6,"OK",IF(I291=0,"REVIEW (zero base)",IF(ABS(M291/ABS(I291))&gt;=Overview!$B$5,"REVIEW","OK")))</f>
        <v>OK</v>
      </c>
      <c r="P291" s="31">
        <f t="shared" si="22"/>
        <v>304964</v>
      </c>
      <c r="Q291" s="32">
        <f t="shared" si="23"/>
        <v>0.3608644255720968</v>
      </c>
      <c r="R291" s="6" t="str">
        <f>IF(ABS(P291)&lt;Overview!$B$6,"OK",IF(J291=0,"REVIEW (zero base)",IF(ABS(P291/ABS(J291))&gt;=Overview!$B$5,"REVIEW","OK")))</f>
        <v>REVIEW</v>
      </c>
      <c r="S291" s="33">
        <f t="shared" si="24"/>
        <v>197622.000291</v>
      </c>
    </row>
    <row r="292" spans="1:19" x14ac:dyDescent="0.2">
      <c r="A292" s="17">
        <v>290</v>
      </c>
      <c r="B292" s="17" t="s">
        <v>171</v>
      </c>
      <c r="C292" s="17" t="s">
        <v>338</v>
      </c>
      <c r="D292" s="17" t="s">
        <v>61</v>
      </c>
      <c r="E292" s="17" t="s">
        <v>111</v>
      </c>
      <c r="F292" s="17" t="s">
        <v>339</v>
      </c>
      <c r="G292" s="17" t="s">
        <v>389</v>
      </c>
      <c r="H292" s="30">
        <v>6363</v>
      </c>
      <c r="I292" s="30">
        <v>9060</v>
      </c>
      <c r="J292" s="30">
        <v>25000</v>
      </c>
      <c r="K292" s="30">
        <v>20834</v>
      </c>
      <c r="L292" s="30">
        <v>20834</v>
      </c>
      <c r="M292" s="31">
        <f t="shared" si="20"/>
        <v>15940</v>
      </c>
      <c r="N292" s="32">
        <f t="shared" si="21"/>
        <v>1.7593818984547462</v>
      </c>
      <c r="O292" s="6" t="str">
        <f>IF(ABS(M292)&lt;Overview!$B$6,"OK",IF(I292=0,"REVIEW (zero base)",IF(ABS(M292/ABS(I292))&gt;=Overview!$B$5,"REVIEW","OK")))</f>
        <v>OK</v>
      </c>
      <c r="P292" s="31">
        <f t="shared" si="22"/>
        <v>-4166</v>
      </c>
      <c r="Q292" s="32">
        <f t="shared" si="23"/>
        <v>-0.16664000000000001</v>
      </c>
      <c r="R292" s="6" t="str">
        <f>IF(ABS(P292)&lt;Overview!$B$6,"OK",IF(J292=0,"REVIEW (zero base)",IF(ABS(P292/ABS(J292))&gt;=Overview!$B$5,"REVIEW","OK")))</f>
        <v>OK</v>
      </c>
      <c r="S292" s="33">
        <f t="shared" si="24"/>
        <v>15940.000292000001</v>
      </c>
    </row>
    <row r="293" spans="1:19" x14ac:dyDescent="0.2">
      <c r="A293" s="17">
        <v>291</v>
      </c>
      <c r="B293" s="17" t="s">
        <v>171</v>
      </c>
      <c r="C293" s="17" t="s">
        <v>338</v>
      </c>
      <c r="D293" s="17" t="s">
        <v>61</v>
      </c>
      <c r="E293" s="17" t="s">
        <v>111</v>
      </c>
      <c r="F293" s="17" t="s">
        <v>339</v>
      </c>
      <c r="G293" s="17" t="s">
        <v>390</v>
      </c>
      <c r="H293" s="30">
        <v>996</v>
      </c>
      <c r="I293" s="30">
        <v>1815</v>
      </c>
      <c r="J293" s="30">
        <v>0</v>
      </c>
      <c r="K293" s="30">
        <v>0</v>
      </c>
      <c r="L293" s="30">
        <v>0</v>
      </c>
      <c r="M293" s="31">
        <f t="shared" si="20"/>
        <v>-1815</v>
      </c>
      <c r="N293" s="32">
        <f t="shared" si="21"/>
        <v>-1</v>
      </c>
      <c r="O293" s="6" t="str">
        <f>IF(ABS(M293)&lt;Overview!$B$6,"OK",IF(I293=0,"REVIEW (zero base)",IF(ABS(M293/ABS(I293))&gt;=Overview!$B$5,"REVIEW","OK")))</f>
        <v>OK</v>
      </c>
      <c r="P293" s="31">
        <f t="shared" si="22"/>
        <v>0</v>
      </c>
      <c r="Q293" s="32" t="str">
        <f t="shared" si="23"/>
        <v>n/a</v>
      </c>
      <c r="R293" s="6" t="str">
        <f>IF(ABS(P293)&lt;Overview!$B$6,"OK",IF(J293=0,"REVIEW (zero base)",IF(ABS(P293/ABS(J293))&gt;=Overview!$B$5,"REVIEW","OK")))</f>
        <v>OK</v>
      </c>
      <c r="S293" s="33">
        <f t="shared" si="24"/>
        <v>1815.0002930000001</v>
      </c>
    </row>
    <row r="294" spans="1:19" x14ac:dyDescent="0.2">
      <c r="A294" s="17">
        <v>292</v>
      </c>
      <c r="B294" s="17" t="s">
        <v>171</v>
      </c>
      <c r="C294" s="17" t="s">
        <v>338</v>
      </c>
      <c r="D294" s="17" t="s">
        <v>61</v>
      </c>
      <c r="E294" s="17" t="s">
        <v>111</v>
      </c>
      <c r="F294" s="17" t="s">
        <v>339</v>
      </c>
      <c r="G294" s="17" t="s">
        <v>391</v>
      </c>
      <c r="H294" s="30">
        <v>15269</v>
      </c>
      <c r="I294" s="30">
        <v>29440</v>
      </c>
      <c r="J294" s="30">
        <v>0</v>
      </c>
      <c r="K294" s="30">
        <v>0</v>
      </c>
      <c r="L294" s="30">
        <v>0</v>
      </c>
      <c r="M294" s="31">
        <f t="shared" si="20"/>
        <v>-29440</v>
      </c>
      <c r="N294" s="32">
        <f t="shared" si="21"/>
        <v>-1</v>
      </c>
      <c r="O294" s="6" t="str">
        <f>IF(ABS(M294)&lt;Overview!$B$6,"OK",IF(I294=0,"REVIEW (zero base)",IF(ABS(M294/ABS(I294))&gt;=Overview!$B$5,"REVIEW","OK")))</f>
        <v>OK</v>
      </c>
      <c r="P294" s="31">
        <f t="shared" si="22"/>
        <v>0</v>
      </c>
      <c r="Q294" s="32" t="str">
        <f t="shared" si="23"/>
        <v>n/a</v>
      </c>
      <c r="R294" s="6" t="str">
        <f>IF(ABS(P294)&lt;Overview!$B$6,"OK",IF(J294=0,"REVIEW (zero base)",IF(ABS(P294/ABS(J294))&gt;=Overview!$B$5,"REVIEW","OK")))</f>
        <v>OK</v>
      </c>
      <c r="S294" s="33">
        <f t="shared" si="24"/>
        <v>29440.000294000001</v>
      </c>
    </row>
    <row r="295" spans="1:19" x14ac:dyDescent="0.2">
      <c r="A295" s="17">
        <v>293</v>
      </c>
      <c r="B295" s="17" t="s">
        <v>171</v>
      </c>
      <c r="C295" s="17" t="s">
        <v>338</v>
      </c>
      <c r="D295" s="17" t="s">
        <v>61</v>
      </c>
      <c r="E295" s="17" t="s">
        <v>111</v>
      </c>
      <c r="F295" s="17" t="s">
        <v>339</v>
      </c>
      <c r="G295" s="17" t="s">
        <v>392</v>
      </c>
      <c r="H295" s="30">
        <v>38637</v>
      </c>
      <c r="I295" s="30">
        <v>35186</v>
      </c>
      <c r="J295" s="30">
        <v>0</v>
      </c>
      <c r="K295" s="30">
        <v>0</v>
      </c>
      <c r="L295" s="30">
        <v>0</v>
      </c>
      <c r="M295" s="31">
        <f t="shared" si="20"/>
        <v>-35186</v>
      </c>
      <c r="N295" s="32">
        <f t="shared" si="21"/>
        <v>-1</v>
      </c>
      <c r="O295" s="6" t="str">
        <f>IF(ABS(M295)&lt;Overview!$B$6,"OK",IF(I295=0,"REVIEW (zero base)",IF(ABS(M295/ABS(I295))&gt;=Overview!$B$5,"REVIEW","OK")))</f>
        <v>OK</v>
      </c>
      <c r="P295" s="31">
        <f t="shared" si="22"/>
        <v>0</v>
      </c>
      <c r="Q295" s="32" t="str">
        <f t="shared" si="23"/>
        <v>n/a</v>
      </c>
      <c r="R295" s="6" t="str">
        <f>IF(ABS(P295)&lt;Overview!$B$6,"OK",IF(J295=0,"REVIEW (zero base)",IF(ABS(P295/ABS(J295))&gt;=Overview!$B$5,"REVIEW","OK")))</f>
        <v>OK</v>
      </c>
      <c r="S295" s="33">
        <f t="shared" si="24"/>
        <v>35186.000294999998</v>
      </c>
    </row>
    <row r="296" spans="1:19" x14ac:dyDescent="0.2">
      <c r="A296" s="17">
        <v>294</v>
      </c>
      <c r="B296" s="17" t="s">
        <v>171</v>
      </c>
      <c r="C296" s="17" t="s">
        <v>338</v>
      </c>
      <c r="D296" s="17" t="s">
        <v>61</v>
      </c>
      <c r="E296" s="17" t="s">
        <v>111</v>
      </c>
      <c r="F296" s="17" t="s">
        <v>339</v>
      </c>
      <c r="G296" s="17" t="s">
        <v>394</v>
      </c>
      <c r="H296" s="30">
        <v>37278</v>
      </c>
      <c r="I296" s="30">
        <v>42629</v>
      </c>
      <c r="J296" s="30">
        <v>0</v>
      </c>
      <c r="K296" s="30">
        <v>0</v>
      </c>
      <c r="L296" s="30">
        <v>0</v>
      </c>
      <c r="M296" s="31">
        <f t="shared" si="20"/>
        <v>-42629</v>
      </c>
      <c r="N296" s="32">
        <f t="shared" si="21"/>
        <v>-1</v>
      </c>
      <c r="O296" s="6" t="str">
        <f>IF(ABS(M296)&lt;Overview!$B$6,"OK",IF(I296=0,"REVIEW (zero base)",IF(ABS(M296/ABS(I296))&gt;=Overview!$B$5,"REVIEW","OK")))</f>
        <v>OK</v>
      </c>
      <c r="P296" s="31">
        <f t="shared" si="22"/>
        <v>0</v>
      </c>
      <c r="Q296" s="32" t="str">
        <f t="shared" si="23"/>
        <v>n/a</v>
      </c>
      <c r="R296" s="6" t="str">
        <f>IF(ABS(P296)&lt;Overview!$B$6,"OK",IF(J296=0,"REVIEW (zero base)",IF(ABS(P296/ABS(J296))&gt;=Overview!$B$5,"REVIEW","OK")))</f>
        <v>OK</v>
      </c>
      <c r="S296" s="33">
        <f t="shared" si="24"/>
        <v>42629.000295999998</v>
      </c>
    </row>
    <row r="297" spans="1:19" x14ac:dyDescent="0.2">
      <c r="A297" s="17">
        <v>295</v>
      </c>
      <c r="B297" s="17" t="s">
        <v>171</v>
      </c>
      <c r="C297" s="17" t="s">
        <v>338</v>
      </c>
      <c r="D297" s="17" t="s">
        <v>61</v>
      </c>
      <c r="E297" s="17" t="s">
        <v>111</v>
      </c>
      <c r="F297" s="17" t="s">
        <v>339</v>
      </c>
      <c r="G297" s="17" t="s">
        <v>395</v>
      </c>
      <c r="H297" s="30">
        <v>12743</v>
      </c>
      <c r="I297" s="30">
        <v>11036</v>
      </c>
      <c r="J297" s="30">
        <v>10978</v>
      </c>
      <c r="K297" s="30">
        <v>11500</v>
      </c>
      <c r="L297" s="30">
        <v>11615</v>
      </c>
      <c r="M297" s="31">
        <f t="shared" si="20"/>
        <v>-58</v>
      </c>
      <c r="N297" s="32">
        <f t="shared" si="21"/>
        <v>-5.2555273649873141E-3</v>
      </c>
      <c r="O297" s="6" t="str">
        <f>IF(ABS(M297)&lt;Overview!$B$6,"OK",IF(I297=0,"REVIEW (zero base)",IF(ABS(M297/ABS(I297))&gt;=Overview!$B$5,"REVIEW","OK")))</f>
        <v>OK</v>
      </c>
      <c r="P297" s="31">
        <f t="shared" si="22"/>
        <v>522</v>
      </c>
      <c r="Q297" s="32">
        <f t="shared" si="23"/>
        <v>4.7549644744033524E-2</v>
      </c>
      <c r="R297" s="6" t="str">
        <f>IF(ABS(P297)&lt;Overview!$B$6,"OK",IF(J297=0,"REVIEW (zero base)",IF(ABS(P297/ABS(J297))&gt;=Overview!$B$5,"REVIEW","OK")))</f>
        <v>OK</v>
      </c>
      <c r="S297" s="33">
        <f t="shared" si="24"/>
        <v>58.000297000000003</v>
      </c>
    </row>
    <row r="298" spans="1:19" x14ac:dyDescent="0.2">
      <c r="A298" s="17">
        <v>296</v>
      </c>
      <c r="B298" s="17" t="s">
        <v>171</v>
      </c>
      <c r="C298" s="17" t="s">
        <v>338</v>
      </c>
      <c r="D298" s="17" t="s">
        <v>61</v>
      </c>
      <c r="E298" s="17" t="s">
        <v>111</v>
      </c>
      <c r="F298" s="17" t="s">
        <v>341</v>
      </c>
      <c r="G298" s="17" t="s">
        <v>342</v>
      </c>
      <c r="H298" s="30">
        <v>6008</v>
      </c>
      <c r="I298" s="30">
        <v>7536</v>
      </c>
      <c r="J298" s="30">
        <v>9240</v>
      </c>
      <c r="K298" s="30">
        <v>9240</v>
      </c>
      <c r="L298" s="30">
        <v>9240</v>
      </c>
      <c r="M298" s="31">
        <f t="shared" si="20"/>
        <v>1704</v>
      </c>
      <c r="N298" s="32">
        <f t="shared" si="21"/>
        <v>0.22611464968152867</v>
      </c>
      <c r="O298" s="6" t="str">
        <f>IF(ABS(M298)&lt;Overview!$B$6,"OK",IF(I298=0,"REVIEW (zero base)",IF(ABS(M298/ABS(I298))&gt;=Overview!$B$5,"REVIEW","OK")))</f>
        <v>OK</v>
      </c>
      <c r="P298" s="31">
        <f t="shared" si="22"/>
        <v>0</v>
      </c>
      <c r="Q298" s="32">
        <f t="shared" si="23"/>
        <v>0</v>
      </c>
      <c r="R298" s="6" t="str">
        <f>IF(ABS(P298)&lt;Overview!$B$6,"OK",IF(J298=0,"REVIEW (zero base)",IF(ABS(P298/ABS(J298))&gt;=Overview!$B$5,"REVIEW","OK")))</f>
        <v>OK</v>
      </c>
      <c r="S298" s="33">
        <f t="shared" si="24"/>
        <v>1704.0002979999999</v>
      </c>
    </row>
    <row r="299" spans="1:19" x14ac:dyDescent="0.2">
      <c r="A299" s="17">
        <v>297</v>
      </c>
      <c r="B299" s="17" t="s">
        <v>171</v>
      </c>
      <c r="C299" s="17" t="s">
        <v>338</v>
      </c>
      <c r="D299" s="17" t="s">
        <v>61</v>
      </c>
      <c r="E299" s="17" t="s">
        <v>111</v>
      </c>
      <c r="F299" s="17" t="s">
        <v>341</v>
      </c>
      <c r="G299" s="17" t="s">
        <v>406</v>
      </c>
      <c r="H299" s="30">
        <v>750</v>
      </c>
      <c r="I299" s="30">
        <v>4750</v>
      </c>
      <c r="J299" s="30">
        <v>0</v>
      </c>
      <c r="K299" s="30">
        <v>0</v>
      </c>
      <c r="L299" s="30">
        <v>0</v>
      </c>
      <c r="M299" s="31">
        <f t="shared" si="20"/>
        <v>-4750</v>
      </c>
      <c r="N299" s="32">
        <f t="shared" si="21"/>
        <v>-1</v>
      </c>
      <c r="O299" s="6" t="str">
        <f>IF(ABS(M299)&lt;Overview!$B$6,"OK",IF(I299=0,"REVIEW (zero base)",IF(ABS(M299/ABS(I299))&gt;=Overview!$B$5,"REVIEW","OK")))</f>
        <v>OK</v>
      </c>
      <c r="P299" s="31">
        <f t="shared" si="22"/>
        <v>0</v>
      </c>
      <c r="Q299" s="32" t="str">
        <f t="shared" si="23"/>
        <v>n/a</v>
      </c>
      <c r="R299" s="6" t="str">
        <f>IF(ABS(P299)&lt;Overview!$B$6,"OK",IF(J299=0,"REVIEW (zero base)",IF(ABS(P299/ABS(J299))&gt;=Overview!$B$5,"REVIEW","OK")))</f>
        <v>OK</v>
      </c>
      <c r="S299" s="33">
        <f t="shared" si="24"/>
        <v>4750.0002990000003</v>
      </c>
    </row>
    <row r="300" spans="1:19" x14ac:dyDescent="0.2">
      <c r="A300" s="17">
        <v>298</v>
      </c>
      <c r="B300" s="17" t="s">
        <v>171</v>
      </c>
      <c r="C300" s="17" t="s">
        <v>338</v>
      </c>
      <c r="D300" s="17" t="s">
        <v>61</v>
      </c>
      <c r="E300" s="17" t="s">
        <v>111</v>
      </c>
      <c r="F300" s="17" t="s">
        <v>341</v>
      </c>
      <c r="G300" s="17" t="s">
        <v>375</v>
      </c>
      <c r="H300" s="30">
        <v>10090</v>
      </c>
      <c r="I300" s="30">
        <v>15692</v>
      </c>
      <c r="J300" s="30">
        <v>9100</v>
      </c>
      <c r="K300" s="30">
        <v>9100</v>
      </c>
      <c r="L300" s="30">
        <v>9100</v>
      </c>
      <c r="M300" s="31">
        <f t="shared" si="20"/>
        <v>-6592</v>
      </c>
      <c r="N300" s="32">
        <f t="shared" si="21"/>
        <v>-0.42008666836604641</v>
      </c>
      <c r="O300" s="6" t="str">
        <f>IF(ABS(M300)&lt;Overview!$B$6,"OK",IF(I300=0,"REVIEW (zero base)",IF(ABS(M300/ABS(I300))&gt;=Overview!$B$5,"REVIEW","OK")))</f>
        <v>OK</v>
      </c>
      <c r="P300" s="31">
        <f t="shared" si="22"/>
        <v>0</v>
      </c>
      <c r="Q300" s="32">
        <f t="shared" si="23"/>
        <v>0</v>
      </c>
      <c r="R300" s="6" t="str">
        <f>IF(ABS(P300)&lt;Overview!$B$6,"OK",IF(J300=0,"REVIEW (zero base)",IF(ABS(P300/ABS(J300))&gt;=Overview!$B$5,"REVIEW","OK")))</f>
        <v>OK</v>
      </c>
      <c r="S300" s="33">
        <f t="shared" si="24"/>
        <v>6592.0002999999997</v>
      </c>
    </row>
    <row r="301" spans="1:19" x14ac:dyDescent="0.2">
      <c r="A301" s="17">
        <v>299</v>
      </c>
      <c r="B301" s="17" t="s">
        <v>171</v>
      </c>
      <c r="C301" s="17" t="s">
        <v>338</v>
      </c>
      <c r="D301" s="17" t="s">
        <v>61</v>
      </c>
      <c r="E301" s="17" t="s">
        <v>111</v>
      </c>
      <c r="F301" s="17" t="s">
        <v>341</v>
      </c>
      <c r="G301" s="17" t="s">
        <v>376</v>
      </c>
      <c r="H301" s="30">
        <v>157885</v>
      </c>
      <c r="I301" s="30">
        <v>221527</v>
      </c>
      <c r="J301" s="30">
        <v>239594</v>
      </c>
      <c r="K301" s="30">
        <v>230832</v>
      </c>
      <c r="L301" s="30">
        <v>242905</v>
      </c>
      <c r="M301" s="31">
        <f t="shared" si="20"/>
        <v>18067</v>
      </c>
      <c r="N301" s="32">
        <f t="shared" si="21"/>
        <v>8.1556649979460744E-2</v>
      </c>
      <c r="O301" s="6" t="str">
        <f>IF(ABS(M301)&lt;Overview!$B$6,"OK",IF(I301=0,"REVIEW (zero base)",IF(ABS(M301/ABS(I301))&gt;=Overview!$B$5,"REVIEW","OK")))</f>
        <v>OK</v>
      </c>
      <c r="P301" s="31">
        <f t="shared" si="22"/>
        <v>-8762</v>
      </c>
      <c r="Q301" s="32">
        <f t="shared" si="23"/>
        <v>-3.6570197918144864E-2</v>
      </c>
      <c r="R301" s="6" t="str">
        <f>IF(ABS(P301)&lt;Overview!$B$6,"OK",IF(J301=0,"REVIEW (zero base)",IF(ABS(P301/ABS(J301))&gt;=Overview!$B$5,"REVIEW","OK")))</f>
        <v>OK</v>
      </c>
      <c r="S301" s="33">
        <f t="shared" si="24"/>
        <v>18067.000301</v>
      </c>
    </row>
    <row r="302" spans="1:19" x14ac:dyDescent="0.2">
      <c r="A302" s="17">
        <v>300</v>
      </c>
      <c r="B302" s="17" t="s">
        <v>171</v>
      </c>
      <c r="C302" s="17" t="s">
        <v>338</v>
      </c>
      <c r="D302" s="17" t="s">
        <v>61</v>
      </c>
      <c r="E302" s="17" t="s">
        <v>111</v>
      </c>
      <c r="F302" s="17" t="s">
        <v>341</v>
      </c>
      <c r="G302" s="17" t="s">
        <v>343</v>
      </c>
      <c r="H302" s="30">
        <v>46189</v>
      </c>
      <c r="I302" s="30">
        <v>58294</v>
      </c>
      <c r="J302" s="30">
        <v>70659</v>
      </c>
      <c r="K302" s="30">
        <v>94534</v>
      </c>
      <c r="L302" s="30">
        <v>95479</v>
      </c>
      <c r="M302" s="31">
        <f t="shared" si="20"/>
        <v>12365</v>
      </c>
      <c r="N302" s="32">
        <f t="shared" si="21"/>
        <v>0.21211445431776854</v>
      </c>
      <c r="O302" s="6" t="str">
        <f>IF(ABS(M302)&lt;Overview!$B$6,"OK",IF(I302=0,"REVIEW (zero base)",IF(ABS(M302/ABS(I302))&gt;=Overview!$B$5,"REVIEW","OK")))</f>
        <v>OK</v>
      </c>
      <c r="P302" s="31">
        <f t="shared" si="22"/>
        <v>23875</v>
      </c>
      <c r="Q302" s="32">
        <f t="shared" si="23"/>
        <v>0.33789043150907883</v>
      </c>
      <c r="R302" s="6" t="str">
        <f>IF(ABS(P302)&lt;Overview!$B$6,"OK",IF(J302=0,"REVIEW (zero base)",IF(ABS(P302/ABS(J302))&gt;=Overview!$B$5,"REVIEW","OK")))</f>
        <v>OK</v>
      </c>
      <c r="S302" s="33">
        <f t="shared" si="24"/>
        <v>12365.000302</v>
      </c>
    </row>
    <row r="303" spans="1:19" x14ac:dyDescent="0.2">
      <c r="A303" s="17">
        <v>301</v>
      </c>
      <c r="B303" s="17" t="s">
        <v>171</v>
      </c>
      <c r="C303" s="17" t="s">
        <v>338</v>
      </c>
      <c r="D303" s="17" t="s">
        <v>61</v>
      </c>
      <c r="E303" s="17" t="s">
        <v>111</v>
      </c>
      <c r="F303" s="17" t="s">
        <v>341</v>
      </c>
      <c r="G303" s="17" t="s">
        <v>378</v>
      </c>
      <c r="H303" s="30">
        <v>8310</v>
      </c>
      <c r="I303" s="30">
        <v>11844</v>
      </c>
      <c r="J303" s="30">
        <v>6878</v>
      </c>
      <c r="K303" s="30">
        <v>7280</v>
      </c>
      <c r="L303" s="30">
        <v>7603</v>
      </c>
      <c r="M303" s="31">
        <f t="shared" si="20"/>
        <v>-4966</v>
      </c>
      <c r="N303" s="32">
        <f t="shared" si="21"/>
        <v>-0.4192840256670044</v>
      </c>
      <c r="O303" s="6" t="str">
        <f>IF(ABS(M303)&lt;Overview!$B$6,"OK",IF(I303=0,"REVIEW (zero base)",IF(ABS(M303/ABS(I303))&gt;=Overview!$B$5,"REVIEW","OK")))</f>
        <v>OK</v>
      </c>
      <c r="P303" s="31">
        <f t="shared" si="22"/>
        <v>402</v>
      </c>
      <c r="Q303" s="32">
        <f t="shared" si="23"/>
        <v>5.8447223029950569E-2</v>
      </c>
      <c r="R303" s="6" t="str">
        <f>IF(ABS(P303)&lt;Overview!$B$6,"OK",IF(J303=0,"REVIEW (zero base)",IF(ABS(P303/ABS(J303))&gt;=Overview!$B$5,"REVIEW","OK")))</f>
        <v>OK</v>
      </c>
      <c r="S303" s="33">
        <f t="shared" si="24"/>
        <v>4966.0003029999998</v>
      </c>
    </row>
    <row r="304" spans="1:19" x14ac:dyDescent="0.2">
      <c r="A304" s="17">
        <v>302</v>
      </c>
      <c r="B304" s="17" t="s">
        <v>171</v>
      </c>
      <c r="C304" s="17" t="s">
        <v>338</v>
      </c>
      <c r="D304" s="17" t="s">
        <v>61</v>
      </c>
      <c r="E304" s="17" t="s">
        <v>111</v>
      </c>
      <c r="F304" s="17" t="s">
        <v>341</v>
      </c>
      <c r="G304" s="17" t="s">
        <v>344</v>
      </c>
      <c r="H304" s="30">
        <v>67546</v>
      </c>
      <c r="I304" s="30">
        <v>80287</v>
      </c>
      <c r="J304" s="30">
        <v>91296</v>
      </c>
      <c r="K304" s="30">
        <v>118080</v>
      </c>
      <c r="L304" s="30">
        <v>120442</v>
      </c>
      <c r="M304" s="31">
        <f t="shared" si="20"/>
        <v>11009</v>
      </c>
      <c r="N304" s="32">
        <f t="shared" si="21"/>
        <v>0.13712057991953866</v>
      </c>
      <c r="O304" s="6" t="str">
        <f>IF(ABS(M304)&lt;Overview!$B$6,"OK",IF(I304=0,"REVIEW (zero base)",IF(ABS(M304/ABS(I304))&gt;=Overview!$B$5,"REVIEW","OK")))</f>
        <v>OK</v>
      </c>
      <c r="P304" s="31">
        <f t="shared" si="22"/>
        <v>26784</v>
      </c>
      <c r="Q304" s="32">
        <f t="shared" si="23"/>
        <v>0.29337539432176657</v>
      </c>
      <c r="R304" s="6" t="str">
        <f>IF(ABS(P304)&lt;Overview!$B$6,"OK",IF(J304=0,"REVIEW (zero base)",IF(ABS(P304/ABS(J304))&gt;=Overview!$B$5,"REVIEW","OK")))</f>
        <v>OK</v>
      </c>
      <c r="S304" s="33">
        <f t="shared" si="24"/>
        <v>11009.000303999999</v>
      </c>
    </row>
    <row r="305" spans="1:19" x14ac:dyDescent="0.2">
      <c r="A305" s="17">
        <v>303</v>
      </c>
      <c r="B305" s="17" t="s">
        <v>171</v>
      </c>
      <c r="C305" s="17" t="s">
        <v>338</v>
      </c>
      <c r="D305" s="17" t="s">
        <v>61</v>
      </c>
      <c r="E305" s="17" t="s">
        <v>111</v>
      </c>
      <c r="F305" s="17" t="s">
        <v>364</v>
      </c>
      <c r="G305" s="17" t="s">
        <v>383</v>
      </c>
      <c r="H305" s="30">
        <v>0</v>
      </c>
      <c r="I305" s="30">
        <v>0</v>
      </c>
      <c r="J305" s="30">
        <v>1200</v>
      </c>
      <c r="K305" s="30">
        <v>1200</v>
      </c>
      <c r="L305" s="30">
        <v>1200</v>
      </c>
      <c r="M305" s="31">
        <f t="shared" si="20"/>
        <v>1200</v>
      </c>
      <c r="N305" s="32" t="str">
        <f t="shared" si="21"/>
        <v>n/a</v>
      </c>
      <c r="O305" s="6" t="str">
        <f>IF(ABS(M305)&lt;Overview!$B$6,"OK",IF(I305=0,"REVIEW (zero base)",IF(ABS(M305/ABS(I305))&gt;=Overview!$B$5,"REVIEW","OK")))</f>
        <v>OK</v>
      </c>
      <c r="P305" s="31">
        <f t="shared" si="22"/>
        <v>0</v>
      </c>
      <c r="Q305" s="32">
        <f t="shared" si="23"/>
        <v>0</v>
      </c>
      <c r="R305" s="6" t="str">
        <f>IF(ABS(P305)&lt;Overview!$B$6,"OK",IF(J305=0,"REVIEW (zero base)",IF(ABS(P305/ABS(J305))&gt;=Overview!$B$5,"REVIEW","OK")))</f>
        <v>OK</v>
      </c>
      <c r="S305" s="33">
        <f t="shared" si="24"/>
        <v>1200.000305</v>
      </c>
    </row>
    <row r="306" spans="1:19" x14ac:dyDescent="0.2">
      <c r="A306" s="17">
        <v>304</v>
      </c>
      <c r="B306" s="17" t="s">
        <v>171</v>
      </c>
      <c r="C306" s="17" t="s">
        <v>338</v>
      </c>
      <c r="D306" s="17" t="s">
        <v>61</v>
      </c>
      <c r="E306" s="17" t="s">
        <v>111</v>
      </c>
      <c r="F306" s="17" t="s">
        <v>364</v>
      </c>
      <c r="G306" s="17" t="s">
        <v>398</v>
      </c>
      <c r="H306" s="30">
        <v>289</v>
      </c>
      <c r="I306" s="30">
        <v>3127</v>
      </c>
      <c r="J306" s="30">
        <v>5700</v>
      </c>
      <c r="K306" s="30">
        <v>7000</v>
      </c>
      <c r="L306" s="30">
        <v>7049</v>
      </c>
      <c r="M306" s="31">
        <f t="shared" si="20"/>
        <v>2573</v>
      </c>
      <c r="N306" s="32">
        <f t="shared" si="21"/>
        <v>0.82283338663255512</v>
      </c>
      <c r="O306" s="6" t="str">
        <f>IF(ABS(M306)&lt;Overview!$B$6,"OK",IF(I306=0,"REVIEW (zero base)",IF(ABS(M306/ABS(I306))&gt;=Overview!$B$5,"REVIEW","OK")))</f>
        <v>OK</v>
      </c>
      <c r="P306" s="31">
        <f t="shared" si="22"/>
        <v>1300</v>
      </c>
      <c r="Q306" s="32">
        <f t="shared" si="23"/>
        <v>0.22807017543859648</v>
      </c>
      <c r="R306" s="6" t="str">
        <f>IF(ABS(P306)&lt;Overview!$B$6,"OK",IF(J306=0,"REVIEW (zero base)",IF(ABS(P306/ABS(J306))&gt;=Overview!$B$5,"REVIEW","OK")))</f>
        <v>OK</v>
      </c>
      <c r="S306" s="33">
        <f t="shared" si="24"/>
        <v>2573.0003059999999</v>
      </c>
    </row>
    <row r="307" spans="1:19" x14ac:dyDescent="0.2">
      <c r="A307" s="17">
        <v>305</v>
      </c>
      <c r="B307" s="17" t="s">
        <v>171</v>
      </c>
      <c r="C307" s="17" t="s">
        <v>338</v>
      </c>
      <c r="D307" s="17" t="s">
        <v>61</v>
      </c>
      <c r="E307" s="17" t="s">
        <v>111</v>
      </c>
      <c r="F307" s="17" t="s">
        <v>364</v>
      </c>
      <c r="G307" s="17" t="s">
        <v>399</v>
      </c>
      <c r="H307" s="30">
        <v>0</v>
      </c>
      <c r="I307" s="30">
        <v>0</v>
      </c>
      <c r="J307" s="30">
        <v>8000</v>
      </c>
      <c r="K307" s="30">
        <v>6000</v>
      </c>
      <c r="L307" s="30">
        <v>6042</v>
      </c>
      <c r="M307" s="31">
        <f t="shared" si="20"/>
        <v>8000</v>
      </c>
      <c r="N307" s="32" t="str">
        <f t="shared" si="21"/>
        <v>n/a</v>
      </c>
      <c r="O307" s="6" t="str">
        <f>IF(ABS(M307)&lt;Overview!$B$6,"OK",IF(I307=0,"REVIEW (zero base)",IF(ABS(M307/ABS(I307))&gt;=Overview!$B$5,"REVIEW","OK")))</f>
        <v>OK</v>
      </c>
      <c r="P307" s="31">
        <f t="shared" si="22"/>
        <v>-2000</v>
      </c>
      <c r="Q307" s="32">
        <f t="shared" si="23"/>
        <v>-0.25</v>
      </c>
      <c r="R307" s="6" t="str">
        <f>IF(ABS(P307)&lt;Overview!$B$6,"OK",IF(J307=0,"REVIEW (zero base)",IF(ABS(P307/ABS(J307))&gt;=Overview!$B$5,"REVIEW","OK")))</f>
        <v>OK</v>
      </c>
      <c r="S307" s="33">
        <f t="shared" si="24"/>
        <v>8000.0003070000002</v>
      </c>
    </row>
    <row r="308" spans="1:19" x14ac:dyDescent="0.2">
      <c r="A308" s="17">
        <v>306</v>
      </c>
      <c r="B308" s="17" t="s">
        <v>171</v>
      </c>
      <c r="C308" s="17" t="s">
        <v>338</v>
      </c>
      <c r="D308" s="17" t="s">
        <v>61</v>
      </c>
      <c r="E308" s="17" t="s">
        <v>111</v>
      </c>
      <c r="F308" s="17" t="s">
        <v>407</v>
      </c>
      <c r="G308" s="17" t="s">
        <v>408</v>
      </c>
      <c r="H308" s="30">
        <v>0</v>
      </c>
      <c r="I308" s="30">
        <v>0</v>
      </c>
      <c r="J308" s="30">
        <v>10000</v>
      </c>
      <c r="K308" s="30">
        <v>15000</v>
      </c>
      <c r="L308" s="30">
        <v>15000</v>
      </c>
      <c r="M308" s="31">
        <f t="shared" si="20"/>
        <v>10000</v>
      </c>
      <c r="N308" s="32" t="str">
        <f t="shared" si="21"/>
        <v>n/a</v>
      </c>
      <c r="O308" s="6" t="str">
        <f>IF(ABS(M308)&lt;Overview!$B$6,"OK",IF(I308=0,"REVIEW (zero base)",IF(ABS(M308/ABS(I308))&gt;=Overview!$B$5,"REVIEW","OK")))</f>
        <v>OK</v>
      </c>
      <c r="P308" s="31">
        <f t="shared" si="22"/>
        <v>5000</v>
      </c>
      <c r="Q308" s="32">
        <f t="shared" si="23"/>
        <v>0.5</v>
      </c>
      <c r="R308" s="6" t="str">
        <f>IF(ABS(P308)&lt;Overview!$B$6,"OK",IF(J308=0,"REVIEW (zero base)",IF(ABS(P308/ABS(J308))&gt;=Overview!$B$5,"REVIEW","OK")))</f>
        <v>OK</v>
      </c>
      <c r="S308" s="33">
        <f t="shared" si="24"/>
        <v>10000.000308000001</v>
      </c>
    </row>
    <row r="309" spans="1:19" x14ac:dyDescent="0.2">
      <c r="A309" s="17">
        <v>307</v>
      </c>
      <c r="B309" s="17" t="s">
        <v>171</v>
      </c>
      <c r="C309" s="17" t="s">
        <v>338</v>
      </c>
      <c r="D309" s="17" t="s">
        <v>61</v>
      </c>
      <c r="E309" s="17" t="s">
        <v>111</v>
      </c>
      <c r="F309" s="17" t="s">
        <v>409</v>
      </c>
      <c r="G309" s="17" t="s">
        <v>410</v>
      </c>
      <c r="H309" s="30">
        <v>0</v>
      </c>
      <c r="I309" s="30">
        <v>0</v>
      </c>
      <c r="J309" s="30">
        <v>0</v>
      </c>
      <c r="K309" s="30">
        <v>50000</v>
      </c>
      <c r="L309" s="30">
        <v>50350</v>
      </c>
      <c r="M309" s="31">
        <f t="shared" si="20"/>
        <v>0</v>
      </c>
      <c r="N309" s="32" t="str">
        <f t="shared" si="21"/>
        <v>n/a</v>
      </c>
      <c r="O309" s="6" t="str">
        <f>IF(ABS(M309)&lt;Overview!$B$6,"OK",IF(I309=0,"REVIEW (zero base)",IF(ABS(M309/ABS(I309))&gt;=Overview!$B$5,"REVIEW","OK")))</f>
        <v>OK</v>
      </c>
      <c r="P309" s="31">
        <f t="shared" si="22"/>
        <v>50000</v>
      </c>
      <c r="Q309" s="32" t="str">
        <f t="shared" si="23"/>
        <v>n/a</v>
      </c>
      <c r="R309" s="6" t="str">
        <f>IF(ABS(P309)&lt;Overview!$B$6,"OK",IF(J309=0,"REVIEW (zero base)",IF(ABS(P309/ABS(J309))&gt;=Overview!$B$5,"REVIEW","OK")))</f>
        <v>OK</v>
      </c>
      <c r="S309" s="33">
        <f t="shared" si="24"/>
        <v>3.0899999999999998E-4</v>
      </c>
    </row>
    <row r="310" spans="1:19" x14ac:dyDescent="0.2">
      <c r="A310" s="17">
        <v>308</v>
      </c>
      <c r="B310" s="17" t="s">
        <v>171</v>
      </c>
      <c r="C310" s="17" t="s">
        <v>338</v>
      </c>
      <c r="D310" s="17" t="s">
        <v>61</v>
      </c>
      <c r="E310" s="17" t="s">
        <v>111</v>
      </c>
      <c r="F310" s="17" t="s">
        <v>347</v>
      </c>
      <c r="G310" s="17" t="s">
        <v>348</v>
      </c>
      <c r="H310" s="30">
        <v>15741</v>
      </c>
      <c r="I310" s="30">
        <v>13660</v>
      </c>
      <c r="J310" s="30">
        <v>30000</v>
      </c>
      <c r="K310" s="30">
        <v>25000</v>
      </c>
      <c r="L310" s="30">
        <v>25175</v>
      </c>
      <c r="M310" s="31">
        <f t="shared" si="20"/>
        <v>16340</v>
      </c>
      <c r="N310" s="32">
        <f t="shared" si="21"/>
        <v>1.1961932650073206</v>
      </c>
      <c r="O310" s="6" t="str">
        <f>IF(ABS(M310)&lt;Overview!$B$6,"OK",IF(I310=0,"REVIEW (zero base)",IF(ABS(M310/ABS(I310))&gt;=Overview!$B$5,"REVIEW","OK")))</f>
        <v>OK</v>
      </c>
      <c r="P310" s="31">
        <f t="shared" si="22"/>
        <v>-5000</v>
      </c>
      <c r="Q310" s="32">
        <f t="shared" si="23"/>
        <v>-0.16666666666666666</v>
      </c>
      <c r="R310" s="6" t="str">
        <f>IF(ABS(P310)&lt;Overview!$B$6,"OK",IF(J310=0,"REVIEW (zero base)",IF(ABS(P310/ABS(J310))&gt;=Overview!$B$5,"REVIEW","OK")))</f>
        <v>OK</v>
      </c>
      <c r="S310" s="33">
        <f t="shared" si="24"/>
        <v>16340.000309999999</v>
      </c>
    </row>
    <row r="311" spans="1:19" x14ac:dyDescent="0.2">
      <c r="A311" s="17">
        <v>309</v>
      </c>
      <c r="B311" s="17" t="s">
        <v>171</v>
      </c>
      <c r="C311" s="17" t="s">
        <v>338</v>
      </c>
      <c r="D311" s="17" t="s">
        <v>61</v>
      </c>
      <c r="E311" s="17" t="s">
        <v>111</v>
      </c>
      <c r="F311" s="17" t="s">
        <v>386</v>
      </c>
      <c r="G311" s="17" t="s">
        <v>387</v>
      </c>
      <c r="H311" s="30">
        <v>0</v>
      </c>
      <c r="I311" s="30">
        <v>0</v>
      </c>
      <c r="J311" s="30">
        <v>840</v>
      </c>
      <c r="K311" s="30">
        <v>1200</v>
      </c>
      <c r="L311" s="30">
        <v>1208</v>
      </c>
      <c r="M311" s="31">
        <f t="shared" si="20"/>
        <v>840</v>
      </c>
      <c r="N311" s="32" t="str">
        <f t="shared" si="21"/>
        <v>n/a</v>
      </c>
      <c r="O311" s="6" t="str">
        <f>IF(ABS(M311)&lt;Overview!$B$6,"OK",IF(I311=0,"REVIEW (zero base)",IF(ABS(M311/ABS(I311))&gt;=Overview!$B$5,"REVIEW","OK")))</f>
        <v>OK</v>
      </c>
      <c r="P311" s="31">
        <f t="shared" si="22"/>
        <v>360</v>
      </c>
      <c r="Q311" s="32">
        <f t="shared" si="23"/>
        <v>0.42857142857142855</v>
      </c>
      <c r="R311" s="6" t="str">
        <f>IF(ABS(P311)&lt;Overview!$B$6,"OK",IF(J311=0,"REVIEW (zero base)",IF(ABS(P311/ABS(J311))&gt;=Overview!$B$5,"REVIEW","OK")))</f>
        <v>OK</v>
      </c>
      <c r="S311" s="33">
        <f t="shared" si="24"/>
        <v>840.00031100000001</v>
      </c>
    </row>
    <row r="312" spans="1:19" x14ac:dyDescent="0.2">
      <c r="A312" s="17">
        <v>310</v>
      </c>
      <c r="B312" s="17" t="s">
        <v>171</v>
      </c>
      <c r="C312" s="17" t="s">
        <v>338</v>
      </c>
      <c r="D312" s="17" t="s">
        <v>61</v>
      </c>
      <c r="E312" s="17" t="s">
        <v>111</v>
      </c>
      <c r="F312" s="17" t="s">
        <v>411</v>
      </c>
      <c r="G312" s="17" t="s">
        <v>412</v>
      </c>
      <c r="H312" s="30">
        <v>13428</v>
      </c>
      <c r="I312" s="30">
        <v>10849</v>
      </c>
      <c r="J312" s="30">
        <v>20000</v>
      </c>
      <c r="K312" s="30">
        <v>20000</v>
      </c>
      <c r="L312" s="30">
        <v>20140</v>
      </c>
      <c r="M312" s="31">
        <f t="shared" si="20"/>
        <v>9151</v>
      </c>
      <c r="N312" s="32">
        <f t="shared" si="21"/>
        <v>0.84348787906719513</v>
      </c>
      <c r="O312" s="6" t="str">
        <f>IF(ABS(M312)&lt;Overview!$B$6,"OK",IF(I312=0,"REVIEW (zero base)",IF(ABS(M312/ABS(I312))&gt;=Overview!$B$5,"REVIEW","OK")))</f>
        <v>OK</v>
      </c>
      <c r="P312" s="31">
        <f t="shared" si="22"/>
        <v>0</v>
      </c>
      <c r="Q312" s="32">
        <f t="shared" si="23"/>
        <v>0</v>
      </c>
      <c r="R312" s="6" t="str">
        <f>IF(ABS(P312)&lt;Overview!$B$6,"OK",IF(J312=0,"REVIEW (zero base)",IF(ABS(P312/ABS(J312))&gt;=Overview!$B$5,"REVIEW","OK")))</f>
        <v>OK</v>
      </c>
      <c r="S312" s="33">
        <f t="shared" si="24"/>
        <v>9151.0003120000001</v>
      </c>
    </row>
    <row r="313" spans="1:19" x14ac:dyDescent="0.2">
      <c r="A313" s="17">
        <v>311</v>
      </c>
      <c r="B313" s="17" t="s">
        <v>171</v>
      </c>
      <c r="C313" s="17" t="s">
        <v>338</v>
      </c>
      <c r="D313" s="17" t="s">
        <v>61</v>
      </c>
      <c r="E313" s="17" t="s">
        <v>121</v>
      </c>
      <c r="F313" s="17" t="s">
        <v>339</v>
      </c>
      <c r="G313" s="17" t="s">
        <v>340</v>
      </c>
      <c r="H313" s="30">
        <v>116494</v>
      </c>
      <c r="I313" s="30">
        <v>174308</v>
      </c>
      <c r="J313" s="30">
        <v>272144</v>
      </c>
      <c r="K313" s="30">
        <v>303923</v>
      </c>
      <c r="L313" s="30">
        <v>306962</v>
      </c>
      <c r="M313" s="31">
        <f t="shared" si="20"/>
        <v>97836</v>
      </c>
      <c r="N313" s="32">
        <f t="shared" si="21"/>
        <v>0.56128232783349019</v>
      </c>
      <c r="O313" s="6" t="str">
        <f>IF(ABS(M313)&lt;Overview!$B$6,"OK",IF(I313=0,"REVIEW (zero base)",IF(ABS(M313/ABS(I313))&gt;=Overview!$B$5,"REVIEW","OK")))</f>
        <v>OK</v>
      </c>
      <c r="P313" s="31">
        <f t="shared" si="22"/>
        <v>31779</v>
      </c>
      <c r="Q313" s="32">
        <f t="shared" si="23"/>
        <v>0.11677273796225528</v>
      </c>
      <c r="R313" s="6" t="str">
        <f>IF(ABS(P313)&lt;Overview!$B$6,"OK",IF(J313=0,"REVIEW (zero base)",IF(ABS(P313/ABS(J313))&gt;=Overview!$B$5,"REVIEW","OK")))</f>
        <v>OK</v>
      </c>
      <c r="S313" s="33">
        <f t="shared" si="24"/>
        <v>97836.000312999997</v>
      </c>
    </row>
    <row r="314" spans="1:19" x14ac:dyDescent="0.2">
      <c r="A314" s="17">
        <v>312</v>
      </c>
      <c r="B314" s="17" t="s">
        <v>171</v>
      </c>
      <c r="C314" s="17" t="s">
        <v>338</v>
      </c>
      <c r="D314" s="17" t="s">
        <v>61</v>
      </c>
      <c r="E314" s="17" t="s">
        <v>121</v>
      </c>
      <c r="F314" s="17" t="s">
        <v>339</v>
      </c>
      <c r="G314" s="17" t="s">
        <v>391</v>
      </c>
      <c r="H314" s="30">
        <v>9735</v>
      </c>
      <c r="I314" s="30">
        <v>7883</v>
      </c>
      <c r="J314" s="30">
        <v>0</v>
      </c>
      <c r="K314" s="30">
        <v>0</v>
      </c>
      <c r="L314" s="30">
        <v>0</v>
      </c>
      <c r="M314" s="31">
        <f t="shared" si="20"/>
        <v>-7883</v>
      </c>
      <c r="N314" s="32">
        <f t="shared" si="21"/>
        <v>-1</v>
      </c>
      <c r="O314" s="6" t="str">
        <f>IF(ABS(M314)&lt;Overview!$B$6,"OK",IF(I314=0,"REVIEW (zero base)",IF(ABS(M314/ABS(I314))&gt;=Overview!$B$5,"REVIEW","OK")))</f>
        <v>OK</v>
      </c>
      <c r="P314" s="31">
        <f t="shared" si="22"/>
        <v>0</v>
      </c>
      <c r="Q314" s="32" t="str">
        <f t="shared" si="23"/>
        <v>n/a</v>
      </c>
      <c r="R314" s="6" t="str">
        <f>IF(ABS(P314)&lt;Overview!$B$6,"OK",IF(J314=0,"REVIEW (zero base)",IF(ABS(P314/ABS(J314))&gt;=Overview!$B$5,"REVIEW","OK")))</f>
        <v>OK</v>
      </c>
      <c r="S314" s="33">
        <f t="shared" si="24"/>
        <v>7883.0003139999999</v>
      </c>
    </row>
    <row r="315" spans="1:19" x14ac:dyDescent="0.2">
      <c r="A315" s="17">
        <v>313</v>
      </c>
      <c r="B315" s="17" t="s">
        <v>171</v>
      </c>
      <c r="C315" s="17" t="s">
        <v>338</v>
      </c>
      <c r="D315" s="17" t="s">
        <v>61</v>
      </c>
      <c r="E315" s="17" t="s">
        <v>121</v>
      </c>
      <c r="F315" s="17" t="s">
        <v>339</v>
      </c>
      <c r="G315" s="17" t="s">
        <v>392</v>
      </c>
      <c r="H315" s="30">
        <v>11279</v>
      </c>
      <c r="I315" s="30">
        <v>9633</v>
      </c>
      <c r="J315" s="30">
        <v>0</v>
      </c>
      <c r="K315" s="30">
        <v>0</v>
      </c>
      <c r="L315" s="30">
        <v>0</v>
      </c>
      <c r="M315" s="31">
        <f t="shared" si="20"/>
        <v>-9633</v>
      </c>
      <c r="N315" s="32">
        <f t="shared" si="21"/>
        <v>-1</v>
      </c>
      <c r="O315" s="6" t="str">
        <f>IF(ABS(M315)&lt;Overview!$B$6,"OK",IF(I315=0,"REVIEW (zero base)",IF(ABS(M315/ABS(I315))&gt;=Overview!$B$5,"REVIEW","OK")))</f>
        <v>OK</v>
      </c>
      <c r="P315" s="31">
        <f t="shared" si="22"/>
        <v>0</v>
      </c>
      <c r="Q315" s="32" t="str">
        <f t="shared" si="23"/>
        <v>n/a</v>
      </c>
      <c r="R315" s="6" t="str">
        <f>IF(ABS(P315)&lt;Overview!$B$6,"OK",IF(J315=0,"REVIEW (zero base)",IF(ABS(P315/ABS(J315))&gt;=Overview!$B$5,"REVIEW","OK")))</f>
        <v>OK</v>
      </c>
      <c r="S315" s="33">
        <f t="shared" si="24"/>
        <v>9633.0003149999993</v>
      </c>
    </row>
    <row r="316" spans="1:19" x14ac:dyDescent="0.2">
      <c r="A316" s="17">
        <v>314</v>
      </c>
      <c r="B316" s="17" t="s">
        <v>171</v>
      </c>
      <c r="C316" s="17" t="s">
        <v>338</v>
      </c>
      <c r="D316" s="17" t="s">
        <v>61</v>
      </c>
      <c r="E316" s="17" t="s">
        <v>121</v>
      </c>
      <c r="F316" s="17" t="s">
        <v>339</v>
      </c>
      <c r="G316" s="17" t="s">
        <v>394</v>
      </c>
      <c r="H316" s="30">
        <v>9846</v>
      </c>
      <c r="I316" s="30">
        <v>11997</v>
      </c>
      <c r="J316" s="30">
        <v>0</v>
      </c>
      <c r="K316" s="30">
        <v>0</v>
      </c>
      <c r="L316" s="30">
        <v>0</v>
      </c>
      <c r="M316" s="31">
        <f t="shared" si="20"/>
        <v>-11997</v>
      </c>
      <c r="N316" s="32">
        <f t="shared" si="21"/>
        <v>-1</v>
      </c>
      <c r="O316" s="6" t="str">
        <f>IF(ABS(M316)&lt;Overview!$B$6,"OK",IF(I316=0,"REVIEW (zero base)",IF(ABS(M316/ABS(I316))&gt;=Overview!$B$5,"REVIEW","OK")))</f>
        <v>OK</v>
      </c>
      <c r="P316" s="31">
        <f t="shared" si="22"/>
        <v>0</v>
      </c>
      <c r="Q316" s="32" t="str">
        <f t="shared" si="23"/>
        <v>n/a</v>
      </c>
      <c r="R316" s="6" t="str">
        <f>IF(ABS(P316)&lt;Overview!$B$6,"OK",IF(J316=0,"REVIEW (zero base)",IF(ABS(P316/ABS(J316))&gt;=Overview!$B$5,"REVIEW","OK")))</f>
        <v>OK</v>
      </c>
      <c r="S316" s="33">
        <f t="shared" si="24"/>
        <v>11997.000316</v>
      </c>
    </row>
    <row r="317" spans="1:19" x14ac:dyDescent="0.2">
      <c r="A317" s="17">
        <v>315</v>
      </c>
      <c r="B317" s="17" t="s">
        <v>171</v>
      </c>
      <c r="C317" s="17" t="s">
        <v>338</v>
      </c>
      <c r="D317" s="17" t="s">
        <v>61</v>
      </c>
      <c r="E317" s="17" t="s">
        <v>121</v>
      </c>
      <c r="F317" s="17" t="s">
        <v>339</v>
      </c>
      <c r="G317" s="17" t="s">
        <v>395</v>
      </c>
      <c r="H317" s="30">
        <v>5926</v>
      </c>
      <c r="I317" s="30">
        <v>6165</v>
      </c>
      <c r="J317" s="30">
        <v>6736</v>
      </c>
      <c r="K317" s="30">
        <v>12887</v>
      </c>
      <c r="L317" s="30">
        <v>13016</v>
      </c>
      <c r="M317" s="31">
        <f t="shared" si="20"/>
        <v>571</v>
      </c>
      <c r="N317" s="32">
        <f t="shared" si="21"/>
        <v>9.2619626926196269E-2</v>
      </c>
      <c r="O317" s="6" t="str">
        <f>IF(ABS(M317)&lt;Overview!$B$6,"OK",IF(I317=0,"REVIEW (zero base)",IF(ABS(M317/ABS(I317))&gt;=Overview!$B$5,"REVIEW","OK")))</f>
        <v>OK</v>
      </c>
      <c r="P317" s="31">
        <f t="shared" si="22"/>
        <v>6151</v>
      </c>
      <c r="Q317" s="32">
        <f t="shared" si="23"/>
        <v>0.91315320665083133</v>
      </c>
      <c r="R317" s="6" t="str">
        <f>IF(ABS(P317)&lt;Overview!$B$6,"OK",IF(J317=0,"REVIEW (zero base)",IF(ABS(P317/ABS(J317))&gt;=Overview!$B$5,"REVIEW","OK")))</f>
        <v>OK</v>
      </c>
      <c r="S317" s="33">
        <f t="shared" si="24"/>
        <v>571.000317</v>
      </c>
    </row>
    <row r="318" spans="1:19" x14ac:dyDescent="0.2">
      <c r="A318" s="17">
        <v>316</v>
      </c>
      <c r="B318" s="17" t="s">
        <v>171</v>
      </c>
      <c r="C318" s="17" t="s">
        <v>338</v>
      </c>
      <c r="D318" s="17" t="s">
        <v>61</v>
      </c>
      <c r="E318" s="17" t="s">
        <v>121</v>
      </c>
      <c r="F318" s="17" t="s">
        <v>341</v>
      </c>
      <c r="G318" s="17" t="s">
        <v>342</v>
      </c>
      <c r="H318" s="30">
        <v>1436</v>
      </c>
      <c r="I318" s="30">
        <v>1575</v>
      </c>
      <c r="J318" s="30">
        <v>2280</v>
      </c>
      <c r="K318" s="30">
        <v>2280</v>
      </c>
      <c r="L318" s="30">
        <v>2280</v>
      </c>
      <c r="M318" s="31">
        <f t="shared" si="20"/>
        <v>705</v>
      </c>
      <c r="N318" s="32">
        <f t="shared" si="21"/>
        <v>0.44761904761904764</v>
      </c>
      <c r="O318" s="6" t="str">
        <f>IF(ABS(M318)&lt;Overview!$B$6,"OK",IF(I318=0,"REVIEW (zero base)",IF(ABS(M318/ABS(I318))&gt;=Overview!$B$5,"REVIEW","OK")))</f>
        <v>OK</v>
      </c>
      <c r="P318" s="31">
        <f t="shared" si="22"/>
        <v>0</v>
      </c>
      <c r="Q318" s="32">
        <f t="shared" si="23"/>
        <v>0</v>
      </c>
      <c r="R318" s="6" t="str">
        <f>IF(ABS(P318)&lt;Overview!$B$6,"OK",IF(J318=0,"REVIEW (zero base)",IF(ABS(P318/ABS(J318))&gt;=Overview!$B$5,"REVIEW","OK")))</f>
        <v>OK</v>
      </c>
      <c r="S318" s="33">
        <f t="shared" si="24"/>
        <v>705.00031799999999</v>
      </c>
    </row>
    <row r="319" spans="1:19" x14ac:dyDescent="0.2">
      <c r="A319" s="17">
        <v>317</v>
      </c>
      <c r="B319" s="17" t="s">
        <v>171</v>
      </c>
      <c r="C319" s="17" t="s">
        <v>338</v>
      </c>
      <c r="D319" s="17" t="s">
        <v>61</v>
      </c>
      <c r="E319" s="17" t="s">
        <v>121</v>
      </c>
      <c r="F319" s="17" t="s">
        <v>341</v>
      </c>
      <c r="G319" s="17" t="s">
        <v>376</v>
      </c>
      <c r="H319" s="30">
        <v>44225</v>
      </c>
      <c r="I319" s="30">
        <v>61136</v>
      </c>
      <c r="J319" s="30">
        <v>76542</v>
      </c>
      <c r="K319" s="30">
        <v>63708</v>
      </c>
      <c r="L319" s="30">
        <v>67040</v>
      </c>
      <c r="M319" s="31">
        <f t="shared" si="20"/>
        <v>15406</v>
      </c>
      <c r="N319" s="32">
        <f t="shared" si="21"/>
        <v>0.25199555090290499</v>
      </c>
      <c r="O319" s="6" t="str">
        <f>IF(ABS(M319)&lt;Overview!$B$6,"OK",IF(I319=0,"REVIEW (zero base)",IF(ABS(M319/ABS(I319))&gt;=Overview!$B$5,"REVIEW","OK")))</f>
        <v>OK</v>
      </c>
      <c r="P319" s="31">
        <f t="shared" si="22"/>
        <v>-12834</v>
      </c>
      <c r="Q319" s="32">
        <f t="shared" si="23"/>
        <v>-0.16767265030963394</v>
      </c>
      <c r="R319" s="6" t="str">
        <f>IF(ABS(P319)&lt;Overview!$B$6,"OK",IF(J319=0,"REVIEW (zero base)",IF(ABS(P319/ABS(J319))&gt;=Overview!$B$5,"REVIEW","OK")))</f>
        <v>OK</v>
      </c>
      <c r="S319" s="33">
        <f t="shared" si="24"/>
        <v>15406.000319000001</v>
      </c>
    </row>
    <row r="320" spans="1:19" x14ac:dyDescent="0.2">
      <c r="A320" s="17">
        <v>318</v>
      </c>
      <c r="B320" s="17" t="s">
        <v>171</v>
      </c>
      <c r="C320" s="17" t="s">
        <v>338</v>
      </c>
      <c r="D320" s="17" t="s">
        <v>61</v>
      </c>
      <c r="E320" s="17" t="s">
        <v>121</v>
      </c>
      <c r="F320" s="17" t="s">
        <v>341</v>
      </c>
      <c r="G320" s="17" t="s">
        <v>343</v>
      </c>
      <c r="H320" s="30">
        <v>11337</v>
      </c>
      <c r="I320" s="30">
        <v>15496</v>
      </c>
      <c r="J320" s="30">
        <v>22403</v>
      </c>
      <c r="K320" s="30">
        <v>23457</v>
      </c>
      <c r="L320" s="30">
        <v>23692</v>
      </c>
      <c r="M320" s="31">
        <f t="shared" si="20"/>
        <v>6907</v>
      </c>
      <c r="N320" s="32">
        <f t="shared" si="21"/>
        <v>0.44572792978833248</v>
      </c>
      <c r="O320" s="6" t="str">
        <f>IF(ABS(M320)&lt;Overview!$B$6,"OK",IF(I320=0,"REVIEW (zero base)",IF(ABS(M320/ABS(I320))&gt;=Overview!$B$5,"REVIEW","OK")))</f>
        <v>OK</v>
      </c>
      <c r="P320" s="31">
        <f t="shared" si="22"/>
        <v>1054</v>
      </c>
      <c r="Q320" s="32">
        <f t="shared" si="23"/>
        <v>4.7047270454849799E-2</v>
      </c>
      <c r="R320" s="6" t="str">
        <f>IF(ABS(P320)&lt;Overview!$B$6,"OK",IF(J320=0,"REVIEW (zero base)",IF(ABS(P320/ABS(J320))&gt;=Overview!$B$5,"REVIEW","OK")))</f>
        <v>OK</v>
      </c>
      <c r="S320" s="33">
        <f t="shared" si="24"/>
        <v>6907.0003200000001</v>
      </c>
    </row>
    <row r="321" spans="1:19" x14ac:dyDescent="0.2">
      <c r="A321" s="17">
        <v>319</v>
      </c>
      <c r="B321" s="17" t="s">
        <v>171</v>
      </c>
      <c r="C321" s="17" t="s">
        <v>338</v>
      </c>
      <c r="D321" s="17" t="s">
        <v>61</v>
      </c>
      <c r="E321" s="17" t="s">
        <v>121</v>
      </c>
      <c r="F321" s="17" t="s">
        <v>341</v>
      </c>
      <c r="G321" s="17" t="s">
        <v>344</v>
      </c>
      <c r="H321" s="30">
        <v>22509</v>
      </c>
      <c r="I321" s="30">
        <v>25711</v>
      </c>
      <c r="J321" s="30">
        <v>32678</v>
      </c>
      <c r="K321" s="30">
        <v>37812</v>
      </c>
      <c r="L321" s="30">
        <v>38568</v>
      </c>
      <c r="M321" s="31">
        <f t="shared" si="20"/>
        <v>6967</v>
      </c>
      <c r="N321" s="32">
        <f t="shared" si="21"/>
        <v>0.27097351328225272</v>
      </c>
      <c r="O321" s="6" t="str">
        <f>IF(ABS(M321)&lt;Overview!$B$6,"OK",IF(I321=0,"REVIEW (zero base)",IF(ABS(M321/ABS(I321))&gt;=Overview!$B$5,"REVIEW","OK")))</f>
        <v>OK</v>
      </c>
      <c r="P321" s="31">
        <f t="shared" si="22"/>
        <v>5134</v>
      </c>
      <c r="Q321" s="32">
        <f t="shared" si="23"/>
        <v>0.1571087581859355</v>
      </c>
      <c r="R321" s="6" t="str">
        <f>IF(ABS(P321)&lt;Overview!$B$6,"OK",IF(J321=0,"REVIEW (zero base)",IF(ABS(P321/ABS(J321))&gt;=Overview!$B$5,"REVIEW","OK")))</f>
        <v>OK</v>
      </c>
      <c r="S321" s="33">
        <f t="shared" si="24"/>
        <v>6967.0003210000004</v>
      </c>
    </row>
    <row r="322" spans="1:19" x14ac:dyDescent="0.2">
      <c r="A322" s="17">
        <v>320</v>
      </c>
      <c r="B322" s="17" t="s">
        <v>171</v>
      </c>
      <c r="C322" s="17" t="s">
        <v>338</v>
      </c>
      <c r="D322" s="17" t="s">
        <v>61</v>
      </c>
      <c r="E322" s="17" t="s">
        <v>121</v>
      </c>
      <c r="F322" s="17" t="s">
        <v>364</v>
      </c>
      <c r="G322" s="17" t="s">
        <v>379</v>
      </c>
      <c r="H322" s="30">
        <v>0</v>
      </c>
      <c r="I322" s="30">
        <v>0</v>
      </c>
      <c r="J322" s="30">
        <v>0</v>
      </c>
      <c r="K322" s="30">
        <v>5472</v>
      </c>
      <c r="L322" s="30">
        <v>5510</v>
      </c>
      <c r="M322" s="31">
        <f t="shared" ref="M322:M385" si="25">J322-I322</f>
        <v>0</v>
      </c>
      <c r="N322" s="32" t="str">
        <f t="shared" ref="N322:N385" si="26">IF(I322=0,"n/a",M322/ABS(I322))</f>
        <v>n/a</v>
      </c>
      <c r="O322" s="6" t="str">
        <f>IF(ABS(M322)&lt;Overview!$B$6,"OK",IF(I322=0,"REVIEW (zero base)",IF(ABS(M322/ABS(I322))&gt;=Overview!$B$5,"REVIEW","OK")))</f>
        <v>OK</v>
      </c>
      <c r="P322" s="31">
        <f t="shared" ref="P322:P385" si="27">K322-J322</f>
        <v>5472</v>
      </c>
      <c r="Q322" s="32" t="str">
        <f t="shared" ref="Q322:Q385" si="28">IF(J322=0,"n/a",P322/ABS(J322))</f>
        <v>n/a</v>
      </c>
      <c r="R322" s="6" t="str">
        <f>IF(ABS(P322)&lt;Overview!$B$6,"OK",IF(J322=0,"REVIEW (zero base)",IF(ABS(P322/ABS(J322))&gt;=Overview!$B$5,"REVIEW","OK")))</f>
        <v>OK</v>
      </c>
      <c r="S322" s="33">
        <f t="shared" ref="S322:S385" si="29">IF(C322="EXPENSES",ABS(M322)+ROW()/1000000,0)</f>
        <v>3.2200000000000002E-4</v>
      </c>
    </row>
    <row r="323" spans="1:19" x14ac:dyDescent="0.2">
      <c r="A323" s="17">
        <v>321</v>
      </c>
      <c r="B323" s="17" t="s">
        <v>171</v>
      </c>
      <c r="C323" s="17" t="s">
        <v>338</v>
      </c>
      <c r="D323" s="17" t="s">
        <v>61</v>
      </c>
      <c r="E323" s="17" t="s">
        <v>121</v>
      </c>
      <c r="F323" s="17" t="s">
        <v>364</v>
      </c>
      <c r="G323" s="17" t="s">
        <v>398</v>
      </c>
      <c r="H323" s="30">
        <v>258</v>
      </c>
      <c r="I323" s="30">
        <v>165</v>
      </c>
      <c r="J323" s="30">
        <v>700</v>
      </c>
      <c r="K323" s="30">
        <v>1200</v>
      </c>
      <c r="L323" s="30">
        <v>1208</v>
      </c>
      <c r="M323" s="31">
        <f t="shared" si="25"/>
        <v>535</v>
      </c>
      <c r="N323" s="32">
        <f t="shared" si="26"/>
        <v>3.2424242424242422</v>
      </c>
      <c r="O323" s="6" t="str">
        <f>IF(ABS(M323)&lt;Overview!$B$6,"OK",IF(I323=0,"REVIEW (zero base)",IF(ABS(M323/ABS(I323))&gt;=Overview!$B$5,"REVIEW","OK")))</f>
        <v>OK</v>
      </c>
      <c r="P323" s="31">
        <f t="shared" si="27"/>
        <v>500</v>
      </c>
      <c r="Q323" s="32">
        <f t="shared" si="28"/>
        <v>0.7142857142857143</v>
      </c>
      <c r="R323" s="6" t="str">
        <f>IF(ABS(P323)&lt;Overview!$B$6,"OK",IF(J323=0,"REVIEW (zero base)",IF(ABS(P323/ABS(J323))&gt;=Overview!$B$5,"REVIEW","OK")))</f>
        <v>OK</v>
      </c>
      <c r="S323" s="33">
        <f t="shared" si="29"/>
        <v>535.00032299999998</v>
      </c>
    </row>
    <row r="324" spans="1:19" x14ac:dyDescent="0.2">
      <c r="A324" s="17">
        <v>322</v>
      </c>
      <c r="B324" s="17" t="s">
        <v>171</v>
      </c>
      <c r="C324" s="17" t="s">
        <v>338</v>
      </c>
      <c r="D324" s="17" t="s">
        <v>61</v>
      </c>
      <c r="E324" s="17" t="s">
        <v>121</v>
      </c>
      <c r="F324" s="17" t="s">
        <v>364</v>
      </c>
      <c r="G324" s="17" t="s">
        <v>399</v>
      </c>
      <c r="H324" s="30">
        <v>0</v>
      </c>
      <c r="I324" s="30">
        <v>0</v>
      </c>
      <c r="J324" s="30">
        <v>0</v>
      </c>
      <c r="K324" s="30">
        <v>3500</v>
      </c>
      <c r="L324" s="30">
        <v>3525</v>
      </c>
      <c r="M324" s="31">
        <f t="shared" si="25"/>
        <v>0</v>
      </c>
      <c r="N324" s="32" t="str">
        <f t="shared" si="26"/>
        <v>n/a</v>
      </c>
      <c r="O324" s="6" t="str">
        <f>IF(ABS(M324)&lt;Overview!$B$6,"OK",IF(I324=0,"REVIEW (zero base)",IF(ABS(M324/ABS(I324))&gt;=Overview!$B$5,"REVIEW","OK")))</f>
        <v>OK</v>
      </c>
      <c r="P324" s="31">
        <f t="shared" si="27"/>
        <v>3500</v>
      </c>
      <c r="Q324" s="32" t="str">
        <f t="shared" si="28"/>
        <v>n/a</v>
      </c>
      <c r="R324" s="6" t="str">
        <f>IF(ABS(P324)&lt;Overview!$B$6,"OK",IF(J324=0,"REVIEW (zero base)",IF(ABS(P324/ABS(J324))&gt;=Overview!$B$5,"REVIEW","OK")))</f>
        <v>OK</v>
      </c>
      <c r="S324" s="33">
        <f t="shared" si="29"/>
        <v>3.2400000000000001E-4</v>
      </c>
    </row>
    <row r="325" spans="1:19" x14ac:dyDescent="0.2">
      <c r="A325" s="17">
        <v>323</v>
      </c>
      <c r="B325" s="17" t="s">
        <v>171</v>
      </c>
      <c r="C325" s="17" t="s">
        <v>338</v>
      </c>
      <c r="D325" s="17" t="s">
        <v>61</v>
      </c>
      <c r="E325" s="17" t="s">
        <v>121</v>
      </c>
      <c r="F325" s="17" t="s">
        <v>407</v>
      </c>
      <c r="G325" s="17" t="s">
        <v>408</v>
      </c>
      <c r="H325" s="30">
        <v>500</v>
      </c>
      <c r="I325" s="30">
        <v>2997</v>
      </c>
      <c r="J325" s="30">
        <v>4600</v>
      </c>
      <c r="K325" s="30">
        <v>4600</v>
      </c>
      <c r="L325" s="30">
        <v>4600</v>
      </c>
      <c r="M325" s="31">
        <f t="shared" si="25"/>
        <v>1603</v>
      </c>
      <c r="N325" s="32">
        <f t="shared" si="26"/>
        <v>0.53486820153486825</v>
      </c>
      <c r="O325" s="6" t="str">
        <f>IF(ABS(M325)&lt;Overview!$B$6,"OK",IF(I325=0,"REVIEW (zero base)",IF(ABS(M325/ABS(I325))&gt;=Overview!$B$5,"REVIEW","OK")))</f>
        <v>OK</v>
      </c>
      <c r="P325" s="31">
        <f t="shared" si="27"/>
        <v>0</v>
      </c>
      <c r="Q325" s="32">
        <f t="shared" si="28"/>
        <v>0</v>
      </c>
      <c r="R325" s="6" t="str">
        <f>IF(ABS(P325)&lt;Overview!$B$6,"OK",IF(J325=0,"REVIEW (zero base)",IF(ABS(P325/ABS(J325))&gt;=Overview!$B$5,"REVIEW","OK")))</f>
        <v>OK</v>
      </c>
      <c r="S325" s="33">
        <f t="shared" si="29"/>
        <v>1603.000325</v>
      </c>
    </row>
    <row r="326" spans="1:19" x14ac:dyDescent="0.2">
      <c r="A326" s="17">
        <v>324</v>
      </c>
      <c r="B326" s="17" t="s">
        <v>171</v>
      </c>
      <c r="C326" s="17" t="s">
        <v>338</v>
      </c>
      <c r="D326" s="17" t="s">
        <v>61</v>
      </c>
      <c r="E326" s="17" t="s">
        <v>121</v>
      </c>
      <c r="F326" s="17" t="s">
        <v>384</v>
      </c>
      <c r="G326" s="17" t="s">
        <v>385</v>
      </c>
      <c r="H326" s="30">
        <v>249075</v>
      </c>
      <c r="I326" s="30">
        <v>203426</v>
      </c>
      <c r="J326" s="30">
        <v>335565</v>
      </c>
      <c r="K326" s="30">
        <v>305000</v>
      </c>
      <c r="L326" s="30">
        <v>305000</v>
      </c>
      <c r="M326" s="31">
        <f t="shared" si="25"/>
        <v>132139</v>
      </c>
      <c r="N326" s="32">
        <f t="shared" si="26"/>
        <v>0.64956790184145585</v>
      </c>
      <c r="O326" s="6" t="str">
        <f>IF(ABS(M326)&lt;Overview!$B$6,"OK",IF(I326=0,"REVIEW (zero base)",IF(ABS(M326/ABS(I326))&gt;=Overview!$B$5,"REVIEW","OK")))</f>
        <v>OK</v>
      </c>
      <c r="P326" s="31">
        <f t="shared" si="27"/>
        <v>-30565</v>
      </c>
      <c r="Q326" s="32">
        <f t="shared" si="28"/>
        <v>-9.1085184688510429E-2</v>
      </c>
      <c r="R326" s="6" t="str">
        <f>IF(ABS(P326)&lt;Overview!$B$6,"OK",IF(J326=0,"REVIEW (zero base)",IF(ABS(P326/ABS(J326))&gt;=Overview!$B$5,"REVIEW","OK")))</f>
        <v>OK</v>
      </c>
      <c r="S326" s="33">
        <f t="shared" si="29"/>
        <v>132139.00032600001</v>
      </c>
    </row>
    <row r="327" spans="1:19" x14ac:dyDescent="0.2">
      <c r="A327" s="17">
        <v>325</v>
      </c>
      <c r="B327" s="17" t="s">
        <v>171</v>
      </c>
      <c r="C327" s="17" t="s">
        <v>338</v>
      </c>
      <c r="D327" s="17" t="s">
        <v>61</v>
      </c>
      <c r="E327" s="17" t="s">
        <v>121</v>
      </c>
      <c r="F327" s="17" t="s">
        <v>347</v>
      </c>
      <c r="G327" s="17" t="s">
        <v>348</v>
      </c>
      <c r="H327" s="30">
        <v>12182</v>
      </c>
      <c r="I327" s="30">
        <v>8756</v>
      </c>
      <c r="J327" s="30">
        <v>52500</v>
      </c>
      <c r="K327" s="30">
        <v>52500</v>
      </c>
      <c r="L327" s="30">
        <v>52868</v>
      </c>
      <c r="M327" s="31">
        <f t="shared" si="25"/>
        <v>43744</v>
      </c>
      <c r="N327" s="32">
        <f t="shared" si="26"/>
        <v>4.9958885335769754</v>
      </c>
      <c r="O327" s="6" t="str">
        <f>IF(ABS(M327)&lt;Overview!$B$6,"OK",IF(I327=0,"REVIEW (zero base)",IF(ABS(M327/ABS(I327))&gt;=Overview!$B$5,"REVIEW","OK")))</f>
        <v>OK</v>
      </c>
      <c r="P327" s="31">
        <f t="shared" si="27"/>
        <v>0</v>
      </c>
      <c r="Q327" s="32">
        <f t="shared" si="28"/>
        <v>0</v>
      </c>
      <c r="R327" s="6" t="str">
        <f>IF(ABS(P327)&lt;Overview!$B$6,"OK",IF(J327=0,"REVIEW (zero base)",IF(ABS(P327/ABS(J327))&gt;=Overview!$B$5,"REVIEW","OK")))</f>
        <v>OK</v>
      </c>
      <c r="S327" s="33">
        <f t="shared" si="29"/>
        <v>43744.000327000002</v>
      </c>
    </row>
    <row r="328" spans="1:19" x14ac:dyDescent="0.2">
      <c r="A328" s="17">
        <v>326</v>
      </c>
      <c r="B328" s="17" t="s">
        <v>171</v>
      </c>
      <c r="C328" s="17" t="s">
        <v>338</v>
      </c>
      <c r="D328" s="17" t="s">
        <v>61</v>
      </c>
      <c r="E328" s="17" t="s">
        <v>121</v>
      </c>
      <c r="F328" s="17" t="s">
        <v>386</v>
      </c>
      <c r="G328" s="17" t="s">
        <v>413</v>
      </c>
      <c r="H328" s="30">
        <v>0</v>
      </c>
      <c r="I328" s="30">
        <v>0</v>
      </c>
      <c r="J328" s="30">
        <v>0</v>
      </c>
      <c r="K328" s="30">
        <v>600</v>
      </c>
      <c r="L328" s="30">
        <v>604</v>
      </c>
      <c r="M328" s="31">
        <f t="shared" si="25"/>
        <v>0</v>
      </c>
      <c r="N328" s="32" t="str">
        <f t="shared" si="26"/>
        <v>n/a</v>
      </c>
      <c r="O328" s="6" t="str">
        <f>IF(ABS(M328)&lt;Overview!$B$6,"OK",IF(I328=0,"REVIEW (zero base)",IF(ABS(M328/ABS(I328))&gt;=Overview!$B$5,"REVIEW","OK")))</f>
        <v>OK</v>
      </c>
      <c r="P328" s="31">
        <f t="shared" si="27"/>
        <v>600</v>
      </c>
      <c r="Q328" s="32" t="str">
        <f t="shared" si="28"/>
        <v>n/a</v>
      </c>
      <c r="R328" s="6" t="str">
        <f>IF(ABS(P328)&lt;Overview!$B$6,"OK",IF(J328=0,"REVIEW (zero base)",IF(ABS(P328/ABS(J328))&gt;=Overview!$B$5,"REVIEW","OK")))</f>
        <v>OK</v>
      </c>
      <c r="S328" s="33">
        <f t="shared" si="29"/>
        <v>3.28E-4</v>
      </c>
    </row>
    <row r="329" spans="1:19" x14ac:dyDescent="0.2">
      <c r="A329" s="17">
        <v>327</v>
      </c>
      <c r="B329" s="17" t="s">
        <v>171</v>
      </c>
      <c r="C329" s="17" t="s">
        <v>338</v>
      </c>
      <c r="D329" s="17" t="s">
        <v>61</v>
      </c>
      <c r="E329" s="17" t="s">
        <v>121</v>
      </c>
      <c r="F329" s="17" t="s">
        <v>386</v>
      </c>
      <c r="G329" s="17" t="s">
        <v>387</v>
      </c>
      <c r="H329" s="30">
        <v>484</v>
      </c>
      <c r="I329" s="30">
        <v>97</v>
      </c>
      <c r="J329" s="30">
        <v>420</v>
      </c>
      <c r="K329" s="30">
        <v>200</v>
      </c>
      <c r="L329" s="30">
        <v>201</v>
      </c>
      <c r="M329" s="31">
        <f t="shared" si="25"/>
        <v>323</v>
      </c>
      <c r="N329" s="32">
        <f t="shared" si="26"/>
        <v>3.329896907216495</v>
      </c>
      <c r="O329" s="6" t="str">
        <f>IF(ABS(M329)&lt;Overview!$B$6,"OK",IF(I329=0,"REVIEW (zero base)",IF(ABS(M329/ABS(I329))&gt;=Overview!$B$5,"REVIEW","OK")))</f>
        <v>OK</v>
      </c>
      <c r="P329" s="31">
        <f t="shared" si="27"/>
        <v>-220</v>
      </c>
      <c r="Q329" s="32">
        <f t="shared" si="28"/>
        <v>-0.52380952380952384</v>
      </c>
      <c r="R329" s="6" t="str">
        <f>IF(ABS(P329)&lt;Overview!$B$6,"OK",IF(J329=0,"REVIEW (zero base)",IF(ABS(P329/ABS(J329))&gt;=Overview!$B$5,"REVIEW","OK")))</f>
        <v>OK</v>
      </c>
      <c r="S329" s="33">
        <f t="shared" si="29"/>
        <v>323.00032900000002</v>
      </c>
    </row>
    <row r="330" spans="1:19" x14ac:dyDescent="0.2">
      <c r="A330" s="17">
        <v>328</v>
      </c>
      <c r="B330" s="17" t="s">
        <v>171</v>
      </c>
      <c r="C330" s="17" t="s">
        <v>338</v>
      </c>
      <c r="D330" s="17" t="s">
        <v>61</v>
      </c>
      <c r="E330" s="17" t="s">
        <v>121</v>
      </c>
      <c r="F330" s="17" t="s">
        <v>411</v>
      </c>
      <c r="G330" s="17" t="s">
        <v>412</v>
      </c>
      <c r="H330" s="30">
        <v>0</v>
      </c>
      <c r="I330" s="30">
        <v>489</v>
      </c>
      <c r="J330" s="30">
        <v>700</v>
      </c>
      <c r="K330" s="30">
        <v>400</v>
      </c>
      <c r="L330" s="30">
        <v>403</v>
      </c>
      <c r="M330" s="31">
        <f t="shared" si="25"/>
        <v>211</v>
      </c>
      <c r="N330" s="32">
        <f t="shared" si="26"/>
        <v>0.43149284253578735</v>
      </c>
      <c r="O330" s="6" t="str">
        <f>IF(ABS(M330)&lt;Overview!$B$6,"OK",IF(I330=0,"REVIEW (zero base)",IF(ABS(M330/ABS(I330))&gt;=Overview!$B$5,"REVIEW","OK")))</f>
        <v>OK</v>
      </c>
      <c r="P330" s="31">
        <f t="shared" si="27"/>
        <v>-300</v>
      </c>
      <c r="Q330" s="32">
        <f t="shared" si="28"/>
        <v>-0.42857142857142855</v>
      </c>
      <c r="R330" s="6" t="str">
        <f>IF(ABS(P330)&lt;Overview!$B$6,"OK",IF(J330=0,"REVIEW (zero base)",IF(ABS(P330/ABS(J330))&gt;=Overview!$B$5,"REVIEW","OK")))</f>
        <v>OK</v>
      </c>
      <c r="S330" s="33">
        <f t="shared" si="29"/>
        <v>211.00032999999999</v>
      </c>
    </row>
    <row r="331" spans="1:19" x14ac:dyDescent="0.2">
      <c r="A331" s="17">
        <v>329</v>
      </c>
      <c r="B331" s="17" t="s">
        <v>171</v>
      </c>
      <c r="C331" s="17" t="s">
        <v>338</v>
      </c>
      <c r="D331" s="17" t="s">
        <v>61</v>
      </c>
      <c r="E331" s="17" t="s">
        <v>132</v>
      </c>
      <c r="F331" s="17" t="s">
        <v>339</v>
      </c>
      <c r="G331" s="17" t="s">
        <v>340</v>
      </c>
      <c r="H331" s="30">
        <v>165657</v>
      </c>
      <c r="I331" s="30">
        <v>188761</v>
      </c>
      <c r="J331" s="30">
        <v>214352</v>
      </c>
      <c r="K331" s="30">
        <v>235311</v>
      </c>
      <c r="L331" s="30">
        <v>237664</v>
      </c>
      <c r="M331" s="31">
        <f t="shared" si="25"/>
        <v>25591</v>
      </c>
      <c r="N331" s="32">
        <f t="shared" si="26"/>
        <v>0.13557355597819465</v>
      </c>
      <c r="O331" s="6" t="str">
        <f>IF(ABS(M331)&lt;Overview!$B$6,"OK",IF(I331=0,"REVIEW (zero base)",IF(ABS(M331/ABS(I331))&gt;=Overview!$B$5,"REVIEW","OK")))</f>
        <v>OK</v>
      </c>
      <c r="P331" s="31">
        <f t="shared" si="27"/>
        <v>20959</v>
      </c>
      <c r="Q331" s="32">
        <f t="shared" si="28"/>
        <v>9.7778420541912367E-2</v>
      </c>
      <c r="R331" s="6" t="str">
        <f>IF(ABS(P331)&lt;Overview!$B$6,"OK",IF(J331=0,"REVIEW (zero base)",IF(ABS(P331/ABS(J331))&gt;=Overview!$B$5,"REVIEW","OK")))</f>
        <v>OK</v>
      </c>
      <c r="S331" s="33">
        <f t="shared" si="29"/>
        <v>25591.000330999999</v>
      </c>
    </row>
    <row r="332" spans="1:19" x14ac:dyDescent="0.2">
      <c r="A332" s="17">
        <v>330</v>
      </c>
      <c r="B332" s="17" t="s">
        <v>171</v>
      </c>
      <c r="C332" s="17" t="s">
        <v>338</v>
      </c>
      <c r="D332" s="17" t="s">
        <v>61</v>
      </c>
      <c r="E332" s="17" t="s">
        <v>132</v>
      </c>
      <c r="F332" s="17" t="s">
        <v>339</v>
      </c>
      <c r="G332" s="17" t="s">
        <v>389</v>
      </c>
      <c r="H332" s="30">
        <v>0</v>
      </c>
      <c r="I332" s="30">
        <v>1210</v>
      </c>
      <c r="J332" s="30">
        <v>36000</v>
      </c>
      <c r="K332" s="30">
        <v>36000</v>
      </c>
      <c r="L332" s="30">
        <v>36000</v>
      </c>
      <c r="M332" s="31">
        <f t="shared" si="25"/>
        <v>34790</v>
      </c>
      <c r="N332" s="32">
        <f t="shared" si="26"/>
        <v>28.75206611570248</v>
      </c>
      <c r="O332" s="6" t="str">
        <f>IF(ABS(M332)&lt;Overview!$B$6,"OK",IF(I332=0,"REVIEW (zero base)",IF(ABS(M332/ABS(I332))&gt;=Overview!$B$5,"REVIEW","OK")))</f>
        <v>OK</v>
      </c>
      <c r="P332" s="31">
        <f t="shared" si="27"/>
        <v>0</v>
      </c>
      <c r="Q332" s="32">
        <f t="shared" si="28"/>
        <v>0</v>
      </c>
      <c r="R332" s="6" t="str">
        <f>IF(ABS(P332)&lt;Overview!$B$6,"OK",IF(J332=0,"REVIEW (zero base)",IF(ABS(P332/ABS(J332))&gt;=Overview!$B$5,"REVIEW","OK")))</f>
        <v>OK</v>
      </c>
      <c r="S332" s="33">
        <f t="shared" si="29"/>
        <v>34790.000332000003</v>
      </c>
    </row>
    <row r="333" spans="1:19" x14ac:dyDescent="0.2">
      <c r="A333" s="17">
        <v>331</v>
      </c>
      <c r="B333" s="17" t="s">
        <v>171</v>
      </c>
      <c r="C333" s="17" t="s">
        <v>338</v>
      </c>
      <c r="D333" s="17" t="s">
        <v>61</v>
      </c>
      <c r="E333" s="17" t="s">
        <v>132</v>
      </c>
      <c r="F333" s="17" t="s">
        <v>339</v>
      </c>
      <c r="G333" s="17" t="s">
        <v>391</v>
      </c>
      <c r="H333" s="30">
        <v>2581</v>
      </c>
      <c r="I333" s="30">
        <v>3289</v>
      </c>
      <c r="J333" s="30">
        <v>0</v>
      </c>
      <c r="K333" s="30">
        <v>0</v>
      </c>
      <c r="L333" s="30">
        <v>0</v>
      </c>
      <c r="M333" s="31">
        <f t="shared" si="25"/>
        <v>-3289</v>
      </c>
      <c r="N333" s="32">
        <f t="shared" si="26"/>
        <v>-1</v>
      </c>
      <c r="O333" s="6" t="str">
        <f>IF(ABS(M333)&lt;Overview!$B$6,"OK",IF(I333=0,"REVIEW (zero base)",IF(ABS(M333/ABS(I333))&gt;=Overview!$B$5,"REVIEW","OK")))</f>
        <v>OK</v>
      </c>
      <c r="P333" s="31">
        <f t="shared" si="27"/>
        <v>0</v>
      </c>
      <c r="Q333" s="32" t="str">
        <f t="shared" si="28"/>
        <v>n/a</v>
      </c>
      <c r="R333" s="6" t="str">
        <f>IF(ABS(P333)&lt;Overview!$B$6,"OK",IF(J333=0,"REVIEW (zero base)",IF(ABS(P333/ABS(J333))&gt;=Overview!$B$5,"REVIEW","OK")))</f>
        <v>OK</v>
      </c>
      <c r="S333" s="33">
        <f t="shared" si="29"/>
        <v>3289.000333</v>
      </c>
    </row>
    <row r="334" spans="1:19" x14ac:dyDescent="0.2">
      <c r="A334" s="17">
        <v>332</v>
      </c>
      <c r="B334" s="17" t="s">
        <v>171</v>
      </c>
      <c r="C334" s="17" t="s">
        <v>338</v>
      </c>
      <c r="D334" s="17" t="s">
        <v>61</v>
      </c>
      <c r="E334" s="17" t="s">
        <v>132</v>
      </c>
      <c r="F334" s="17" t="s">
        <v>339</v>
      </c>
      <c r="G334" s="17" t="s">
        <v>392</v>
      </c>
      <c r="H334" s="30">
        <v>4500</v>
      </c>
      <c r="I334" s="30">
        <v>4846</v>
      </c>
      <c r="J334" s="30">
        <v>0</v>
      </c>
      <c r="K334" s="30">
        <v>0</v>
      </c>
      <c r="L334" s="30">
        <v>0</v>
      </c>
      <c r="M334" s="31">
        <f t="shared" si="25"/>
        <v>-4846</v>
      </c>
      <c r="N334" s="32">
        <f t="shared" si="26"/>
        <v>-1</v>
      </c>
      <c r="O334" s="6" t="str">
        <f>IF(ABS(M334)&lt;Overview!$B$6,"OK",IF(I334=0,"REVIEW (zero base)",IF(ABS(M334/ABS(I334))&gt;=Overview!$B$5,"REVIEW","OK")))</f>
        <v>OK</v>
      </c>
      <c r="P334" s="31">
        <f t="shared" si="27"/>
        <v>0</v>
      </c>
      <c r="Q334" s="32" t="str">
        <f t="shared" si="28"/>
        <v>n/a</v>
      </c>
      <c r="R334" s="6" t="str">
        <f>IF(ABS(P334)&lt;Overview!$B$6,"OK",IF(J334=0,"REVIEW (zero base)",IF(ABS(P334/ABS(J334))&gt;=Overview!$B$5,"REVIEW","OK")))</f>
        <v>OK</v>
      </c>
      <c r="S334" s="33">
        <f t="shared" si="29"/>
        <v>4846.0003340000003</v>
      </c>
    </row>
    <row r="335" spans="1:19" x14ac:dyDescent="0.2">
      <c r="A335" s="17">
        <v>333</v>
      </c>
      <c r="B335" s="17" t="s">
        <v>171</v>
      </c>
      <c r="C335" s="17" t="s">
        <v>338</v>
      </c>
      <c r="D335" s="17" t="s">
        <v>61</v>
      </c>
      <c r="E335" s="17" t="s">
        <v>132</v>
      </c>
      <c r="F335" s="17" t="s">
        <v>339</v>
      </c>
      <c r="G335" s="17" t="s">
        <v>394</v>
      </c>
      <c r="H335" s="30">
        <v>11572</v>
      </c>
      <c r="I335" s="30">
        <v>12205</v>
      </c>
      <c r="J335" s="30">
        <v>0</v>
      </c>
      <c r="K335" s="30">
        <v>0</v>
      </c>
      <c r="L335" s="30">
        <v>0</v>
      </c>
      <c r="M335" s="31">
        <f t="shared" si="25"/>
        <v>-12205</v>
      </c>
      <c r="N335" s="32">
        <f t="shared" si="26"/>
        <v>-1</v>
      </c>
      <c r="O335" s="6" t="str">
        <f>IF(ABS(M335)&lt;Overview!$B$6,"OK",IF(I335=0,"REVIEW (zero base)",IF(ABS(M335/ABS(I335))&gt;=Overview!$B$5,"REVIEW","OK")))</f>
        <v>OK</v>
      </c>
      <c r="P335" s="31">
        <f t="shared" si="27"/>
        <v>0</v>
      </c>
      <c r="Q335" s="32" t="str">
        <f t="shared" si="28"/>
        <v>n/a</v>
      </c>
      <c r="R335" s="6" t="str">
        <f>IF(ABS(P335)&lt;Overview!$B$6,"OK",IF(J335=0,"REVIEW (zero base)",IF(ABS(P335/ABS(J335))&gt;=Overview!$B$5,"REVIEW","OK")))</f>
        <v>OK</v>
      </c>
      <c r="S335" s="33">
        <f t="shared" si="29"/>
        <v>12205.000335000001</v>
      </c>
    </row>
    <row r="336" spans="1:19" x14ac:dyDescent="0.2">
      <c r="A336" s="17">
        <v>334</v>
      </c>
      <c r="B336" s="17" t="s">
        <v>171</v>
      </c>
      <c r="C336" s="17" t="s">
        <v>338</v>
      </c>
      <c r="D336" s="17" t="s">
        <v>61</v>
      </c>
      <c r="E336" s="17" t="s">
        <v>132</v>
      </c>
      <c r="F336" s="17" t="s">
        <v>339</v>
      </c>
      <c r="G336" s="17" t="s">
        <v>395</v>
      </c>
      <c r="H336" s="30">
        <v>0</v>
      </c>
      <c r="I336" s="30">
        <v>0</v>
      </c>
      <c r="J336" s="30">
        <v>0</v>
      </c>
      <c r="K336" s="30">
        <v>2050</v>
      </c>
      <c r="L336" s="30">
        <v>2071</v>
      </c>
      <c r="M336" s="31">
        <f t="shared" si="25"/>
        <v>0</v>
      </c>
      <c r="N336" s="32" t="str">
        <f t="shared" si="26"/>
        <v>n/a</v>
      </c>
      <c r="O336" s="6" t="str">
        <f>IF(ABS(M336)&lt;Overview!$B$6,"OK",IF(I336=0,"REVIEW (zero base)",IF(ABS(M336/ABS(I336))&gt;=Overview!$B$5,"REVIEW","OK")))</f>
        <v>OK</v>
      </c>
      <c r="P336" s="31">
        <f t="shared" si="27"/>
        <v>2050</v>
      </c>
      <c r="Q336" s="32" t="str">
        <f t="shared" si="28"/>
        <v>n/a</v>
      </c>
      <c r="R336" s="6" t="str">
        <f>IF(ABS(P336)&lt;Overview!$B$6,"OK",IF(J336=0,"REVIEW (zero base)",IF(ABS(P336/ABS(J336))&gt;=Overview!$B$5,"REVIEW","OK")))</f>
        <v>OK</v>
      </c>
      <c r="S336" s="33">
        <f t="shared" si="29"/>
        <v>3.3599999999999998E-4</v>
      </c>
    </row>
    <row r="337" spans="1:19" x14ac:dyDescent="0.2">
      <c r="A337" s="17">
        <v>335</v>
      </c>
      <c r="B337" s="17" t="s">
        <v>171</v>
      </c>
      <c r="C337" s="17" t="s">
        <v>338</v>
      </c>
      <c r="D337" s="17" t="s">
        <v>61</v>
      </c>
      <c r="E337" s="17" t="s">
        <v>132</v>
      </c>
      <c r="F337" s="17" t="s">
        <v>341</v>
      </c>
      <c r="G337" s="17" t="s">
        <v>342</v>
      </c>
      <c r="H337" s="30">
        <v>3436</v>
      </c>
      <c r="I337" s="30">
        <v>3372</v>
      </c>
      <c r="J337" s="30">
        <v>3708</v>
      </c>
      <c r="K337" s="30">
        <v>3708</v>
      </c>
      <c r="L337" s="30">
        <v>3708</v>
      </c>
      <c r="M337" s="31">
        <f t="shared" si="25"/>
        <v>336</v>
      </c>
      <c r="N337" s="32">
        <f t="shared" si="26"/>
        <v>9.9644128113879002E-2</v>
      </c>
      <c r="O337" s="6" t="str">
        <f>IF(ABS(M337)&lt;Overview!$B$6,"OK",IF(I337=0,"REVIEW (zero base)",IF(ABS(M337/ABS(I337))&gt;=Overview!$B$5,"REVIEW","OK")))</f>
        <v>OK</v>
      </c>
      <c r="P337" s="31">
        <f t="shared" si="27"/>
        <v>0</v>
      </c>
      <c r="Q337" s="32">
        <f t="shared" si="28"/>
        <v>0</v>
      </c>
      <c r="R337" s="6" t="str">
        <f>IF(ABS(P337)&lt;Overview!$B$6,"OK",IF(J337=0,"REVIEW (zero base)",IF(ABS(P337/ABS(J337))&gt;=Overview!$B$5,"REVIEW","OK")))</f>
        <v>OK</v>
      </c>
      <c r="S337" s="33">
        <f t="shared" si="29"/>
        <v>336.000337</v>
      </c>
    </row>
    <row r="338" spans="1:19" x14ac:dyDescent="0.2">
      <c r="A338" s="17">
        <v>336</v>
      </c>
      <c r="B338" s="17" t="s">
        <v>171</v>
      </c>
      <c r="C338" s="17" t="s">
        <v>338</v>
      </c>
      <c r="D338" s="17" t="s">
        <v>61</v>
      </c>
      <c r="E338" s="17" t="s">
        <v>132</v>
      </c>
      <c r="F338" s="17" t="s">
        <v>341</v>
      </c>
      <c r="G338" s="17" t="s">
        <v>376</v>
      </c>
      <c r="H338" s="30">
        <v>53164</v>
      </c>
      <c r="I338" s="30">
        <v>60870</v>
      </c>
      <c r="J338" s="30">
        <v>60287</v>
      </c>
      <c r="K338" s="30">
        <v>63420</v>
      </c>
      <c r="L338" s="30">
        <v>66737</v>
      </c>
      <c r="M338" s="31">
        <f t="shared" si="25"/>
        <v>-583</v>
      </c>
      <c r="N338" s="32">
        <f t="shared" si="26"/>
        <v>-9.5777887300804998E-3</v>
      </c>
      <c r="O338" s="6" t="str">
        <f>IF(ABS(M338)&lt;Overview!$B$6,"OK",IF(I338=0,"REVIEW (zero base)",IF(ABS(M338/ABS(I338))&gt;=Overview!$B$5,"REVIEW","OK")))</f>
        <v>OK</v>
      </c>
      <c r="P338" s="31">
        <f t="shared" si="27"/>
        <v>3133</v>
      </c>
      <c r="Q338" s="32">
        <f t="shared" si="28"/>
        <v>5.1968085988687442E-2</v>
      </c>
      <c r="R338" s="6" t="str">
        <f>IF(ABS(P338)&lt;Overview!$B$6,"OK",IF(J338=0,"REVIEW (zero base)",IF(ABS(P338/ABS(J338))&gt;=Overview!$B$5,"REVIEW","OK")))</f>
        <v>OK</v>
      </c>
      <c r="S338" s="33">
        <f t="shared" si="29"/>
        <v>583.00033800000006</v>
      </c>
    </row>
    <row r="339" spans="1:19" x14ac:dyDescent="0.2">
      <c r="A339" s="17">
        <v>337</v>
      </c>
      <c r="B339" s="17" t="s">
        <v>171</v>
      </c>
      <c r="C339" s="17" t="s">
        <v>338</v>
      </c>
      <c r="D339" s="17" t="s">
        <v>61</v>
      </c>
      <c r="E339" s="17" t="s">
        <v>132</v>
      </c>
      <c r="F339" s="17" t="s">
        <v>341</v>
      </c>
      <c r="G339" s="17" t="s">
        <v>343</v>
      </c>
      <c r="H339" s="30">
        <v>13447</v>
      </c>
      <c r="I339" s="30">
        <v>15375</v>
      </c>
      <c r="J339" s="30">
        <v>19995</v>
      </c>
      <c r="K339" s="30">
        <v>20911</v>
      </c>
      <c r="L339" s="30">
        <v>21120</v>
      </c>
      <c r="M339" s="31">
        <f t="shared" si="25"/>
        <v>4620</v>
      </c>
      <c r="N339" s="32">
        <f t="shared" si="26"/>
        <v>0.30048780487804877</v>
      </c>
      <c r="O339" s="6" t="str">
        <f>IF(ABS(M339)&lt;Overview!$B$6,"OK",IF(I339=0,"REVIEW (zero base)",IF(ABS(M339/ABS(I339))&gt;=Overview!$B$5,"REVIEW","OK")))</f>
        <v>OK</v>
      </c>
      <c r="P339" s="31">
        <f t="shared" si="27"/>
        <v>916</v>
      </c>
      <c r="Q339" s="32">
        <f t="shared" si="28"/>
        <v>4.5811452863215807E-2</v>
      </c>
      <c r="R339" s="6" t="str">
        <f>IF(ABS(P339)&lt;Overview!$B$6,"OK",IF(J339=0,"REVIEW (zero base)",IF(ABS(P339/ABS(J339))&gt;=Overview!$B$5,"REVIEW","OK")))</f>
        <v>OK</v>
      </c>
      <c r="S339" s="33">
        <f t="shared" si="29"/>
        <v>4620.0003390000002</v>
      </c>
    </row>
    <row r="340" spans="1:19" x14ac:dyDescent="0.2">
      <c r="A340" s="17">
        <v>338</v>
      </c>
      <c r="B340" s="17" t="s">
        <v>171</v>
      </c>
      <c r="C340" s="17" t="s">
        <v>338</v>
      </c>
      <c r="D340" s="17" t="s">
        <v>61</v>
      </c>
      <c r="E340" s="17" t="s">
        <v>132</v>
      </c>
      <c r="F340" s="17" t="s">
        <v>341</v>
      </c>
      <c r="G340" s="17" t="s">
        <v>344</v>
      </c>
      <c r="H340" s="30">
        <v>39497</v>
      </c>
      <c r="I340" s="30">
        <v>40320</v>
      </c>
      <c r="J340" s="30">
        <v>51241</v>
      </c>
      <c r="K340" s="30">
        <v>59304</v>
      </c>
      <c r="L340" s="30">
        <v>60490</v>
      </c>
      <c r="M340" s="31">
        <f t="shared" si="25"/>
        <v>10921</v>
      </c>
      <c r="N340" s="32">
        <f t="shared" si="26"/>
        <v>0.27085813492063493</v>
      </c>
      <c r="O340" s="6" t="str">
        <f>IF(ABS(M340)&lt;Overview!$B$6,"OK",IF(I340=0,"REVIEW (zero base)",IF(ABS(M340/ABS(I340))&gt;=Overview!$B$5,"REVIEW","OK")))</f>
        <v>OK</v>
      </c>
      <c r="P340" s="31">
        <f t="shared" si="27"/>
        <v>8063</v>
      </c>
      <c r="Q340" s="32">
        <f t="shared" si="28"/>
        <v>0.15735446224702876</v>
      </c>
      <c r="R340" s="6" t="str">
        <f>IF(ABS(P340)&lt;Overview!$B$6,"OK",IF(J340=0,"REVIEW (zero base)",IF(ABS(P340/ABS(J340))&gt;=Overview!$B$5,"REVIEW","OK")))</f>
        <v>OK</v>
      </c>
      <c r="S340" s="33">
        <f t="shared" si="29"/>
        <v>10921.000340000001</v>
      </c>
    </row>
    <row r="341" spans="1:19" x14ac:dyDescent="0.2">
      <c r="A341" s="17">
        <v>339</v>
      </c>
      <c r="B341" s="17" t="s">
        <v>171</v>
      </c>
      <c r="C341" s="17" t="s">
        <v>338</v>
      </c>
      <c r="D341" s="17" t="s">
        <v>61</v>
      </c>
      <c r="E341" s="17" t="s">
        <v>132</v>
      </c>
      <c r="F341" s="17" t="s">
        <v>364</v>
      </c>
      <c r="G341" s="17" t="s">
        <v>383</v>
      </c>
      <c r="H341" s="30">
        <v>3</v>
      </c>
      <c r="I341" s="30">
        <v>23</v>
      </c>
      <c r="J341" s="30">
        <v>240</v>
      </c>
      <c r="K341" s="30">
        <v>240</v>
      </c>
      <c r="L341" s="30">
        <v>240</v>
      </c>
      <c r="M341" s="31">
        <f t="shared" si="25"/>
        <v>217</v>
      </c>
      <c r="N341" s="32">
        <f t="shared" si="26"/>
        <v>9.4347826086956523</v>
      </c>
      <c r="O341" s="6" t="str">
        <f>IF(ABS(M341)&lt;Overview!$B$6,"OK",IF(I341=0,"REVIEW (zero base)",IF(ABS(M341/ABS(I341))&gt;=Overview!$B$5,"REVIEW","OK")))</f>
        <v>OK</v>
      </c>
      <c r="P341" s="31">
        <f t="shared" si="27"/>
        <v>0</v>
      </c>
      <c r="Q341" s="32">
        <f t="shared" si="28"/>
        <v>0</v>
      </c>
      <c r="R341" s="6" t="str">
        <f>IF(ABS(P341)&lt;Overview!$B$6,"OK",IF(J341=0,"REVIEW (zero base)",IF(ABS(P341/ABS(J341))&gt;=Overview!$B$5,"REVIEW","OK")))</f>
        <v>OK</v>
      </c>
      <c r="S341" s="33">
        <f t="shared" si="29"/>
        <v>217.00034099999999</v>
      </c>
    </row>
    <row r="342" spans="1:19" x14ac:dyDescent="0.2">
      <c r="A342" s="17">
        <v>340</v>
      </c>
      <c r="B342" s="17" t="s">
        <v>171</v>
      </c>
      <c r="C342" s="17" t="s">
        <v>338</v>
      </c>
      <c r="D342" s="17" t="s">
        <v>61</v>
      </c>
      <c r="E342" s="17" t="s">
        <v>132</v>
      </c>
      <c r="F342" s="17" t="s">
        <v>364</v>
      </c>
      <c r="G342" s="17" t="s">
        <v>398</v>
      </c>
      <c r="H342" s="30">
        <v>1032</v>
      </c>
      <c r="I342" s="30">
        <v>828</v>
      </c>
      <c r="J342" s="30">
        <v>1800</v>
      </c>
      <c r="K342" s="30">
        <v>1800</v>
      </c>
      <c r="L342" s="30">
        <v>1813</v>
      </c>
      <c r="M342" s="31">
        <f t="shared" si="25"/>
        <v>972</v>
      </c>
      <c r="N342" s="32">
        <f t="shared" si="26"/>
        <v>1.173913043478261</v>
      </c>
      <c r="O342" s="6" t="str">
        <f>IF(ABS(M342)&lt;Overview!$B$6,"OK",IF(I342=0,"REVIEW (zero base)",IF(ABS(M342/ABS(I342))&gt;=Overview!$B$5,"REVIEW","OK")))</f>
        <v>OK</v>
      </c>
      <c r="P342" s="31">
        <f t="shared" si="27"/>
        <v>0</v>
      </c>
      <c r="Q342" s="32">
        <f t="shared" si="28"/>
        <v>0</v>
      </c>
      <c r="R342" s="6" t="str">
        <f>IF(ABS(P342)&lt;Overview!$B$6,"OK",IF(J342=0,"REVIEW (zero base)",IF(ABS(P342/ABS(J342))&gt;=Overview!$B$5,"REVIEW","OK")))</f>
        <v>OK</v>
      </c>
      <c r="S342" s="33">
        <f t="shared" si="29"/>
        <v>972.00034200000005</v>
      </c>
    </row>
    <row r="343" spans="1:19" x14ac:dyDescent="0.2">
      <c r="A343" s="17">
        <v>341</v>
      </c>
      <c r="B343" s="17" t="s">
        <v>171</v>
      </c>
      <c r="C343" s="17" t="s">
        <v>338</v>
      </c>
      <c r="D343" s="17" t="s">
        <v>61</v>
      </c>
      <c r="E343" s="17" t="s">
        <v>132</v>
      </c>
      <c r="F343" s="17" t="s">
        <v>364</v>
      </c>
      <c r="G343" s="17" t="s">
        <v>399</v>
      </c>
      <c r="H343" s="30">
        <v>0</v>
      </c>
      <c r="I343" s="30">
        <v>550</v>
      </c>
      <c r="J343" s="30">
        <v>1200</v>
      </c>
      <c r="K343" s="30">
        <v>1200</v>
      </c>
      <c r="L343" s="30">
        <v>1208</v>
      </c>
      <c r="M343" s="31">
        <f t="shared" si="25"/>
        <v>650</v>
      </c>
      <c r="N343" s="32">
        <f t="shared" si="26"/>
        <v>1.1818181818181819</v>
      </c>
      <c r="O343" s="6" t="str">
        <f>IF(ABS(M343)&lt;Overview!$B$6,"OK",IF(I343=0,"REVIEW (zero base)",IF(ABS(M343/ABS(I343))&gt;=Overview!$B$5,"REVIEW","OK")))</f>
        <v>OK</v>
      </c>
      <c r="P343" s="31">
        <f t="shared" si="27"/>
        <v>0</v>
      </c>
      <c r="Q343" s="32">
        <f t="shared" si="28"/>
        <v>0</v>
      </c>
      <c r="R343" s="6" t="str">
        <f>IF(ABS(P343)&lt;Overview!$B$6,"OK",IF(J343=0,"REVIEW (zero base)",IF(ABS(P343/ABS(J343))&gt;=Overview!$B$5,"REVIEW","OK")))</f>
        <v>OK</v>
      </c>
      <c r="S343" s="33">
        <f t="shared" si="29"/>
        <v>650.00034300000004</v>
      </c>
    </row>
    <row r="344" spans="1:19" x14ac:dyDescent="0.2">
      <c r="A344" s="17">
        <v>342</v>
      </c>
      <c r="B344" s="17" t="s">
        <v>171</v>
      </c>
      <c r="C344" s="17" t="s">
        <v>338</v>
      </c>
      <c r="D344" s="17" t="s">
        <v>61</v>
      </c>
      <c r="E344" s="17" t="s">
        <v>132</v>
      </c>
      <c r="F344" s="17" t="s">
        <v>414</v>
      </c>
      <c r="G344" s="17" t="s">
        <v>415</v>
      </c>
      <c r="H344" s="30">
        <v>39</v>
      </c>
      <c r="I344" s="30">
        <v>2000</v>
      </c>
      <c r="J344" s="30">
        <v>0</v>
      </c>
      <c r="K344" s="30">
        <v>0</v>
      </c>
      <c r="L344" s="30">
        <v>0</v>
      </c>
      <c r="M344" s="31">
        <f t="shared" si="25"/>
        <v>-2000</v>
      </c>
      <c r="N344" s="32">
        <f t="shared" si="26"/>
        <v>-1</v>
      </c>
      <c r="O344" s="6" t="str">
        <f>IF(ABS(M344)&lt;Overview!$B$6,"OK",IF(I344=0,"REVIEW (zero base)",IF(ABS(M344/ABS(I344))&gt;=Overview!$B$5,"REVIEW","OK")))</f>
        <v>OK</v>
      </c>
      <c r="P344" s="31">
        <f t="shared" si="27"/>
        <v>0</v>
      </c>
      <c r="Q344" s="32" t="str">
        <f t="shared" si="28"/>
        <v>n/a</v>
      </c>
      <c r="R344" s="6" t="str">
        <f>IF(ABS(P344)&lt;Overview!$B$6,"OK",IF(J344=0,"REVIEW (zero base)",IF(ABS(P344/ABS(J344))&gt;=Overview!$B$5,"REVIEW","OK")))</f>
        <v>OK</v>
      </c>
      <c r="S344" s="33">
        <f t="shared" si="29"/>
        <v>2000.000344</v>
      </c>
    </row>
    <row r="345" spans="1:19" x14ac:dyDescent="0.2">
      <c r="A345" s="17">
        <v>343</v>
      </c>
      <c r="B345" s="17" t="s">
        <v>171</v>
      </c>
      <c r="C345" s="17" t="s">
        <v>338</v>
      </c>
      <c r="D345" s="17" t="s">
        <v>61</v>
      </c>
      <c r="E345" s="17" t="s">
        <v>132</v>
      </c>
      <c r="F345" s="17" t="s">
        <v>407</v>
      </c>
      <c r="G345" s="17" t="s">
        <v>408</v>
      </c>
      <c r="H345" s="30">
        <v>0</v>
      </c>
      <c r="I345" s="30">
        <v>0</v>
      </c>
      <c r="J345" s="30">
        <v>0</v>
      </c>
      <c r="K345" s="30">
        <v>2500</v>
      </c>
      <c r="L345" s="30">
        <v>2500</v>
      </c>
      <c r="M345" s="31">
        <f t="shared" si="25"/>
        <v>0</v>
      </c>
      <c r="N345" s="32" t="str">
        <f t="shared" si="26"/>
        <v>n/a</v>
      </c>
      <c r="O345" s="6" t="str">
        <f>IF(ABS(M345)&lt;Overview!$B$6,"OK",IF(I345=0,"REVIEW (zero base)",IF(ABS(M345/ABS(I345))&gt;=Overview!$B$5,"REVIEW","OK")))</f>
        <v>OK</v>
      </c>
      <c r="P345" s="31">
        <f t="shared" si="27"/>
        <v>2500</v>
      </c>
      <c r="Q345" s="32" t="str">
        <f t="shared" si="28"/>
        <v>n/a</v>
      </c>
      <c r="R345" s="6" t="str">
        <f>IF(ABS(P345)&lt;Overview!$B$6,"OK",IF(J345=0,"REVIEW (zero base)",IF(ABS(P345/ABS(J345))&gt;=Overview!$B$5,"REVIEW","OK")))</f>
        <v>OK</v>
      </c>
      <c r="S345" s="33">
        <f t="shared" si="29"/>
        <v>3.4499999999999998E-4</v>
      </c>
    </row>
    <row r="346" spans="1:19" x14ac:dyDescent="0.2">
      <c r="A346" s="17">
        <v>344</v>
      </c>
      <c r="B346" s="17" t="s">
        <v>171</v>
      </c>
      <c r="C346" s="17" t="s">
        <v>338</v>
      </c>
      <c r="D346" s="17" t="s">
        <v>61</v>
      </c>
      <c r="E346" s="17" t="s">
        <v>132</v>
      </c>
      <c r="F346" s="17" t="s">
        <v>347</v>
      </c>
      <c r="G346" s="17" t="s">
        <v>348</v>
      </c>
      <c r="H346" s="30">
        <v>189291</v>
      </c>
      <c r="I346" s="30">
        <v>110386</v>
      </c>
      <c r="J346" s="30">
        <v>132000</v>
      </c>
      <c r="K346" s="30">
        <v>112000</v>
      </c>
      <c r="L346" s="30">
        <v>112784</v>
      </c>
      <c r="M346" s="31">
        <f t="shared" si="25"/>
        <v>21614</v>
      </c>
      <c r="N346" s="32">
        <f t="shared" si="26"/>
        <v>0.19580381570126645</v>
      </c>
      <c r="O346" s="6" t="str">
        <f>IF(ABS(M346)&lt;Overview!$B$6,"OK",IF(I346=0,"REVIEW (zero base)",IF(ABS(M346/ABS(I346))&gt;=Overview!$B$5,"REVIEW","OK")))</f>
        <v>OK</v>
      </c>
      <c r="P346" s="31">
        <f t="shared" si="27"/>
        <v>-20000</v>
      </c>
      <c r="Q346" s="32">
        <f t="shared" si="28"/>
        <v>-0.15151515151515152</v>
      </c>
      <c r="R346" s="6" t="str">
        <f>IF(ABS(P346)&lt;Overview!$B$6,"OK",IF(J346=0,"REVIEW (zero base)",IF(ABS(P346/ABS(J346))&gt;=Overview!$B$5,"REVIEW","OK")))</f>
        <v>OK</v>
      </c>
      <c r="S346" s="33">
        <f t="shared" si="29"/>
        <v>21614.000346000001</v>
      </c>
    </row>
    <row r="347" spans="1:19" x14ac:dyDescent="0.2">
      <c r="A347" s="17">
        <v>345</v>
      </c>
      <c r="B347" s="17" t="s">
        <v>171</v>
      </c>
      <c r="C347" s="17" t="s">
        <v>338</v>
      </c>
      <c r="D347" s="17" t="s">
        <v>61</v>
      </c>
      <c r="E347" s="17" t="s">
        <v>132</v>
      </c>
      <c r="F347" s="17" t="s">
        <v>386</v>
      </c>
      <c r="G347" s="17" t="s">
        <v>413</v>
      </c>
      <c r="H347" s="30">
        <v>0</v>
      </c>
      <c r="I347" s="30">
        <v>0</v>
      </c>
      <c r="J347" s="30">
        <v>0</v>
      </c>
      <c r="K347" s="30">
        <v>1500</v>
      </c>
      <c r="L347" s="30">
        <v>1511</v>
      </c>
      <c r="M347" s="31">
        <f t="shared" si="25"/>
        <v>0</v>
      </c>
      <c r="N347" s="32" t="str">
        <f t="shared" si="26"/>
        <v>n/a</v>
      </c>
      <c r="O347" s="6" t="str">
        <f>IF(ABS(M347)&lt;Overview!$B$6,"OK",IF(I347=0,"REVIEW (zero base)",IF(ABS(M347/ABS(I347))&gt;=Overview!$B$5,"REVIEW","OK")))</f>
        <v>OK</v>
      </c>
      <c r="P347" s="31">
        <f t="shared" si="27"/>
        <v>1500</v>
      </c>
      <c r="Q347" s="32" t="str">
        <f t="shared" si="28"/>
        <v>n/a</v>
      </c>
      <c r="R347" s="6" t="str">
        <f>IF(ABS(P347)&lt;Overview!$B$6,"OK",IF(J347=0,"REVIEW (zero base)",IF(ABS(P347/ABS(J347))&gt;=Overview!$B$5,"REVIEW","OK")))</f>
        <v>OK</v>
      </c>
      <c r="S347" s="33">
        <f t="shared" si="29"/>
        <v>3.4699999999999998E-4</v>
      </c>
    </row>
    <row r="348" spans="1:19" x14ac:dyDescent="0.2">
      <c r="A348" s="17">
        <v>346</v>
      </c>
      <c r="B348" s="17" t="s">
        <v>171</v>
      </c>
      <c r="C348" s="17" t="s">
        <v>338</v>
      </c>
      <c r="D348" s="17" t="s">
        <v>61</v>
      </c>
      <c r="E348" s="17" t="s">
        <v>132</v>
      </c>
      <c r="F348" s="17" t="s">
        <v>386</v>
      </c>
      <c r="G348" s="17" t="s">
        <v>387</v>
      </c>
      <c r="H348" s="30">
        <v>2035</v>
      </c>
      <c r="I348" s="30">
        <v>4586</v>
      </c>
      <c r="J348" s="30">
        <v>3360</v>
      </c>
      <c r="K348" s="30">
        <v>500</v>
      </c>
      <c r="L348" s="30">
        <v>504</v>
      </c>
      <c r="M348" s="31">
        <f t="shared" si="25"/>
        <v>-1226</v>
      </c>
      <c r="N348" s="32">
        <f t="shared" si="26"/>
        <v>-0.26733536851286527</v>
      </c>
      <c r="O348" s="6" t="str">
        <f>IF(ABS(M348)&lt;Overview!$B$6,"OK",IF(I348=0,"REVIEW (zero base)",IF(ABS(M348/ABS(I348))&gt;=Overview!$B$5,"REVIEW","OK")))</f>
        <v>OK</v>
      </c>
      <c r="P348" s="31">
        <f t="shared" si="27"/>
        <v>-2860</v>
      </c>
      <c r="Q348" s="32">
        <f t="shared" si="28"/>
        <v>-0.85119047619047616</v>
      </c>
      <c r="R348" s="6" t="str">
        <f>IF(ABS(P348)&lt;Overview!$B$6,"OK",IF(J348=0,"REVIEW (zero base)",IF(ABS(P348/ABS(J348))&gt;=Overview!$B$5,"REVIEW","OK")))</f>
        <v>OK</v>
      </c>
      <c r="S348" s="33">
        <f t="shared" si="29"/>
        <v>1226.000348</v>
      </c>
    </row>
    <row r="349" spans="1:19" x14ac:dyDescent="0.2">
      <c r="A349" s="17">
        <v>347</v>
      </c>
      <c r="B349" s="17" t="s">
        <v>171</v>
      </c>
      <c r="C349" s="17" t="s">
        <v>338</v>
      </c>
      <c r="D349" s="17" t="s">
        <v>70</v>
      </c>
      <c r="E349" s="17" t="s">
        <v>136</v>
      </c>
      <c r="F349" s="17" t="s">
        <v>339</v>
      </c>
      <c r="G349" s="17" t="s">
        <v>340</v>
      </c>
      <c r="H349" s="30">
        <v>144019</v>
      </c>
      <c r="I349" s="30">
        <v>117520</v>
      </c>
      <c r="J349" s="30">
        <v>148863</v>
      </c>
      <c r="K349" s="30">
        <v>179705</v>
      </c>
      <c r="L349" s="30">
        <v>181502</v>
      </c>
      <c r="M349" s="31">
        <f t="shared" si="25"/>
        <v>31343</v>
      </c>
      <c r="N349" s="32">
        <f t="shared" si="26"/>
        <v>0.26670353982300887</v>
      </c>
      <c r="O349" s="6" t="str">
        <f>IF(ABS(M349)&lt;Overview!$B$6,"OK",IF(I349=0,"REVIEW (zero base)",IF(ABS(M349/ABS(I349))&gt;=Overview!$B$5,"REVIEW","OK")))</f>
        <v>OK</v>
      </c>
      <c r="P349" s="31">
        <f t="shared" si="27"/>
        <v>30842</v>
      </c>
      <c r="Q349" s="32">
        <f t="shared" si="28"/>
        <v>0.20718378643450688</v>
      </c>
      <c r="R349" s="6" t="str">
        <f>IF(ABS(P349)&lt;Overview!$B$6,"OK",IF(J349=0,"REVIEW (zero base)",IF(ABS(P349/ABS(J349))&gt;=Overview!$B$5,"REVIEW","OK")))</f>
        <v>OK</v>
      </c>
      <c r="S349" s="33">
        <f t="shared" si="29"/>
        <v>31343.000349000002</v>
      </c>
    </row>
    <row r="350" spans="1:19" x14ac:dyDescent="0.2">
      <c r="A350" s="17">
        <v>348</v>
      </c>
      <c r="B350" s="17" t="s">
        <v>171</v>
      </c>
      <c r="C350" s="17" t="s">
        <v>338</v>
      </c>
      <c r="D350" s="17" t="s">
        <v>70</v>
      </c>
      <c r="E350" s="17" t="s">
        <v>136</v>
      </c>
      <c r="F350" s="17" t="s">
        <v>339</v>
      </c>
      <c r="G350" s="17" t="s">
        <v>390</v>
      </c>
      <c r="H350" s="30">
        <v>1957</v>
      </c>
      <c r="I350" s="30">
        <v>128</v>
      </c>
      <c r="J350" s="30">
        <v>0</v>
      </c>
      <c r="K350" s="30">
        <v>1000</v>
      </c>
      <c r="L350" s="30">
        <v>1000</v>
      </c>
      <c r="M350" s="31">
        <f t="shared" si="25"/>
        <v>-128</v>
      </c>
      <c r="N350" s="32">
        <f t="shared" si="26"/>
        <v>-1</v>
      </c>
      <c r="O350" s="6" t="str">
        <f>IF(ABS(M350)&lt;Overview!$B$6,"OK",IF(I350=0,"REVIEW (zero base)",IF(ABS(M350/ABS(I350))&gt;=Overview!$B$5,"REVIEW","OK")))</f>
        <v>OK</v>
      </c>
      <c r="P350" s="31">
        <f t="shared" si="27"/>
        <v>1000</v>
      </c>
      <c r="Q350" s="32" t="str">
        <f t="shared" si="28"/>
        <v>n/a</v>
      </c>
      <c r="R350" s="6" t="str">
        <f>IF(ABS(P350)&lt;Overview!$B$6,"OK",IF(J350=0,"REVIEW (zero base)",IF(ABS(P350/ABS(J350))&gt;=Overview!$B$5,"REVIEW","OK")))</f>
        <v>OK</v>
      </c>
      <c r="S350" s="33">
        <f t="shared" si="29"/>
        <v>128.00035</v>
      </c>
    </row>
    <row r="351" spans="1:19" x14ac:dyDescent="0.2">
      <c r="A351" s="17">
        <v>349</v>
      </c>
      <c r="B351" s="17" t="s">
        <v>171</v>
      </c>
      <c r="C351" s="17" t="s">
        <v>338</v>
      </c>
      <c r="D351" s="17" t="s">
        <v>70</v>
      </c>
      <c r="E351" s="17" t="s">
        <v>136</v>
      </c>
      <c r="F351" s="17" t="s">
        <v>339</v>
      </c>
      <c r="G351" s="17" t="s">
        <v>391</v>
      </c>
      <c r="H351" s="30">
        <v>6187</v>
      </c>
      <c r="I351" s="30">
        <v>6253</v>
      </c>
      <c r="J351" s="30">
        <v>0</v>
      </c>
      <c r="K351" s="30">
        <v>0</v>
      </c>
      <c r="L351" s="30">
        <v>0</v>
      </c>
      <c r="M351" s="31">
        <f t="shared" si="25"/>
        <v>-6253</v>
      </c>
      <c r="N351" s="32">
        <f t="shared" si="26"/>
        <v>-1</v>
      </c>
      <c r="O351" s="6" t="str">
        <f>IF(ABS(M351)&lt;Overview!$B$6,"OK",IF(I351=0,"REVIEW (zero base)",IF(ABS(M351/ABS(I351))&gt;=Overview!$B$5,"REVIEW","OK")))</f>
        <v>OK</v>
      </c>
      <c r="P351" s="31">
        <f t="shared" si="27"/>
        <v>0</v>
      </c>
      <c r="Q351" s="32" t="str">
        <f t="shared" si="28"/>
        <v>n/a</v>
      </c>
      <c r="R351" s="6" t="str">
        <f>IF(ABS(P351)&lt;Overview!$B$6,"OK",IF(J351=0,"REVIEW (zero base)",IF(ABS(P351/ABS(J351))&gt;=Overview!$B$5,"REVIEW","OK")))</f>
        <v>OK</v>
      </c>
      <c r="S351" s="33">
        <f t="shared" si="29"/>
        <v>6253.0003509999997</v>
      </c>
    </row>
    <row r="352" spans="1:19" x14ac:dyDescent="0.2">
      <c r="A352" s="17">
        <v>350</v>
      </c>
      <c r="B352" s="17" t="s">
        <v>171</v>
      </c>
      <c r="C352" s="17" t="s">
        <v>338</v>
      </c>
      <c r="D352" s="17" t="s">
        <v>70</v>
      </c>
      <c r="E352" s="17" t="s">
        <v>136</v>
      </c>
      <c r="F352" s="17" t="s">
        <v>339</v>
      </c>
      <c r="G352" s="17" t="s">
        <v>392</v>
      </c>
      <c r="H352" s="30">
        <v>17054</v>
      </c>
      <c r="I352" s="30">
        <v>6443</v>
      </c>
      <c r="J352" s="30">
        <v>0</v>
      </c>
      <c r="K352" s="30">
        <v>0</v>
      </c>
      <c r="L352" s="30">
        <v>0</v>
      </c>
      <c r="M352" s="31">
        <f t="shared" si="25"/>
        <v>-6443</v>
      </c>
      <c r="N352" s="32">
        <f t="shared" si="26"/>
        <v>-1</v>
      </c>
      <c r="O352" s="6" t="str">
        <f>IF(ABS(M352)&lt;Overview!$B$6,"OK",IF(I352=0,"REVIEW (zero base)",IF(ABS(M352/ABS(I352))&gt;=Overview!$B$5,"REVIEW","OK")))</f>
        <v>OK</v>
      </c>
      <c r="P352" s="31">
        <f t="shared" si="27"/>
        <v>0</v>
      </c>
      <c r="Q352" s="32" t="str">
        <f t="shared" si="28"/>
        <v>n/a</v>
      </c>
      <c r="R352" s="6" t="str">
        <f>IF(ABS(P352)&lt;Overview!$B$6,"OK",IF(J352=0,"REVIEW (zero base)",IF(ABS(P352/ABS(J352))&gt;=Overview!$B$5,"REVIEW","OK")))</f>
        <v>OK</v>
      </c>
      <c r="S352" s="33">
        <f t="shared" si="29"/>
        <v>6443.000352</v>
      </c>
    </row>
    <row r="353" spans="1:19" x14ac:dyDescent="0.2">
      <c r="A353" s="17">
        <v>351</v>
      </c>
      <c r="B353" s="17" t="s">
        <v>171</v>
      </c>
      <c r="C353" s="17" t="s">
        <v>338</v>
      </c>
      <c r="D353" s="17" t="s">
        <v>70</v>
      </c>
      <c r="E353" s="17" t="s">
        <v>136</v>
      </c>
      <c r="F353" s="17" t="s">
        <v>339</v>
      </c>
      <c r="G353" s="17" t="s">
        <v>394</v>
      </c>
      <c r="H353" s="30">
        <v>12014</v>
      </c>
      <c r="I353" s="30">
        <v>8378</v>
      </c>
      <c r="J353" s="30">
        <v>0</v>
      </c>
      <c r="K353" s="30">
        <v>0</v>
      </c>
      <c r="L353" s="30">
        <v>0</v>
      </c>
      <c r="M353" s="31">
        <f t="shared" si="25"/>
        <v>-8378</v>
      </c>
      <c r="N353" s="32">
        <f t="shared" si="26"/>
        <v>-1</v>
      </c>
      <c r="O353" s="6" t="str">
        <f>IF(ABS(M353)&lt;Overview!$B$6,"OK",IF(I353=0,"REVIEW (zero base)",IF(ABS(M353/ABS(I353))&gt;=Overview!$B$5,"REVIEW","OK")))</f>
        <v>OK</v>
      </c>
      <c r="P353" s="31">
        <f t="shared" si="27"/>
        <v>0</v>
      </c>
      <c r="Q353" s="32" t="str">
        <f t="shared" si="28"/>
        <v>n/a</v>
      </c>
      <c r="R353" s="6" t="str">
        <f>IF(ABS(P353)&lt;Overview!$B$6,"OK",IF(J353=0,"REVIEW (zero base)",IF(ABS(P353/ABS(J353))&gt;=Overview!$B$5,"REVIEW","OK")))</f>
        <v>OK</v>
      </c>
      <c r="S353" s="33">
        <f t="shared" si="29"/>
        <v>8378.0003529999994</v>
      </c>
    </row>
    <row r="354" spans="1:19" x14ac:dyDescent="0.2">
      <c r="A354" s="17">
        <v>352</v>
      </c>
      <c r="B354" s="17" t="s">
        <v>171</v>
      </c>
      <c r="C354" s="17" t="s">
        <v>338</v>
      </c>
      <c r="D354" s="17" t="s">
        <v>70</v>
      </c>
      <c r="E354" s="17" t="s">
        <v>136</v>
      </c>
      <c r="F354" s="17" t="s">
        <v>339</v>
      </c>
      <c r="G354" s="17" t="s">
        <v>395</v>
      </c>
      <c r="H354" s="30">
        <v>6854</v>
      </c>
      <c r="I354" s="30">
        <v>5577</v>
      </c>
      <c r="J354" s="30">
        <v>5688</v>
      </c>
      <c r="K354" s="30">
        <v>7086</v>
      </c>
      <c r="L354" s="30">
        <v>7157</v>
      </c>
      <c r="M354" s="31">
        <f t="shared" si="25"/>
        <v>111</v>
      </c>
      <c r="N354" s="32">
        <f t="shared" si="26"/>
        <v>1.9903173749327596E-2</v>
      </c>
      <c r="O354" s="6" t="str">
        <f>IF(ABS(M354)&lt;Overview!$B$6,"OK",IF(I354=0,"REVIEW (zero base)",IF(ABS(M354/ABS(I354))&gt;=Overview!$B$5,"REVIEW","OK")))</f>
        <v>OK</v>
      </c>
      <c r="P354" s="31">
        <f t="shared" si="27"/>
        <v>1398</v>
      </c>
      <c r="Q354" s="32">
        <f t="shared" si="28"/>
        <v>0.24578059071729957</v>
      </c>
      <c r="R354" s="6" t="str">
        <f>IF(ABS(P354)&lt;Overview!$B$6,"OK",IF(J354=0,"REVIEW (zero base)",IF(ABS(P354/ABS(J354))&gt;=Overview!$B$5,"REVIEW","OK")))</f>
        <v>OK</v>
      </c>
      <c r="S354" s="33">
        <f t="shared" si="29"/>
        <v>111.000354</v>
      </c>
    </row>
    <row r="355" spans="1:19" x14ac:dyDescent="0.2">
      <c r="A355" s="17">
        <v>353</v>
      </c>
      <c r="B355" s="17" t="s">
        <v>171</v>
      </c>
      <c r="C355" s="17" t="s">
        <v>338</v>
      </c>
      <c r="D355" s="17" t="s">
        <v>70</v>
      </c>
      <c r="E355" s="17" t="s">
        <v>136</v>
      </c>
      <c r="F355" s="17" t="s">
        <v>341</v>
      </c>
      <c r="G355" s="17" t="s">
        <v>342</v>
      </c>
      <c r="H355" s="30">
        <v>4458</v>
      </c>
      <c r="I355" s="30">
        <v>3166</v>
      </c>
      <c r="J355" s="30">
        <v>5160</v>
      </c>
      <c r="K355" s="30">
        <v>5160</v>
      </c>
      <c r="L355" s="30">
        <v>5160</v>
      </c>
      <c r="M355" s="31">
        <f t="shared" si="25"/>
        <v>1994</v>
      </c>
      <c r="N355" s="32">
        <f t="shared" si="26"/>
        <v>0.62981680353758684</v>
      </c>
      <c r="O355" s="6" t="str">
        <f>IF(ABS(M355)&lt;Overview!$B$6,"OK",IF(I355=0,"REVIEW (zero base)",IF(ABS(M355/ABS(I355))&gt;=Overview!$B$5,"REVIEW","OK")))</f>
        <v>OK</v>
      </c>
      <c r="P355" s="31">
        <f t="shared" si="27"/>
        <v>0</v>
      </c>
      <c r="Q355" s="32">
        <f t="shared" si="28"/>
        <v>0</v>
      </c>
      <c r="R355" s="6" t="str">
        <f>IF(ABS(P355)&lt;Overview!$B$6,"OK",IF(J355=0,"REVIEW (zero base)",IF(ABS(P355/ABS(J355))&gt;=Overview!$B$5,"REVIEW","OK")))</f>
        <v>OK</v>
      </c>
      <c r="S355" s="33">
        <f t="shared" si="29"/>
        <v>1994.0003549999999</v>
      </c>
    </row>
    <row r="356" spans="1:19" x14ac:dyDescent="0.2">
      <c r="A356" s="17">
        <v>354</v>
      </c>
      <c r="B356" s="17" t="s">
        <v>171</v>
      </c>
      <c r="C356" s="17" t="s">
        <v>338</v>
      </c>
      <c r="D356" s="17" t="s">
        <v>70</v>
      </c>
      <c r="E356" s="17" t="s">
        <v>136</v>
      </c>
      <c r="F356" s="17" t="s">
        <v>341</v>
      </c>
      <c r="G356" s="17" t="s">
        <v>375</v>
      </c>
      <c r="H356" s="30">
        <v>16526</v>
      </c>
      <c r="I356" s="30">
        <v>13774</v>
      </c>
      <c r="J356" s="30">
        <v>18200</v>
      </c>
      <c r="K356" s="30">
        <v>18200</v>
      </c>
      <c r="L356" s="30">
        <v>18200</v>
      </c>
      <c r="M356" s="31">
        <f t="shared" si="25"/>
        <v>4426</v>
      </c>
      <c r="N356" s="32">
        <f t="shared" si="26"/>
        <v>0.32133004210832</v>
      </c>
      <c r="O356" s="6" t="str">
        <f>IF(ABS(M356)&lt;Overview!$B$6,"OK",IF(I356=0,"REVIEW (zero base)",IF(ABS(M356/ABS(I356))&gt;=Overview!$B$5,"REVIEW","OK")))</f>
        <v>OK</v>
      </c>
      <c r="P356" s="31">
        <f t="shared" si="27"/>
        <v>0</v>
      </c>
      <c r="Q356" s="32">
        <f t="shared" si="28"/>
        <v>0</v>
      </c>
      <c r="R356" s="6" t="str">
        <f>IF(ABS(P356)&lt;Overview!$B$6,"OK",IF(J356=0,"REVIEW (zero base)",IF(ABS(P356/ABS(J356))&gt;=Overview!$B$5,"REVIEW","OK")))</f>
        <v>OK</v>
      </c>
      <c r="S356" s="33">
        <f t="shared" si="29"/>
        <v>4426.0003559999996</v>
      </c>
    </row>
    <row r="357" spans="1:19" x14ac:dyDescent="0.2">
      <c r="A357" s="17">
        <v>355</v>
      </c>
      <c r="B357" s="17" t="s">
        <v>171</v>
      </c>
      <c r="C357" s="17" t="s">
        <v>338</v>
      </c>
      <c r="D357" s="17" t="s">
        <v>70</v>
      </c>
      <c r="E357" s="17" t="s">
        <v>136</v>
      </c>
      <c r="F357" s="17" t="s">
        <v>341</v>
      </c>
      <c r="G357" s="17" t="s">
        <v>376</v>
      </c>
      <c r="H357" s="30">
        <v>53682</v>
      </c>
      <c r="I357" s="30">
        <v>42929</v>
      </c>
      <c r="J357" s="30">
        <v>45040</v>
      </c>
      <c r="K357" s="30">
        <v>44736</v>
      </c>
      <c r="L357" s="30">
        <v>47076</v>
      </c>
      <c r="M357" s="31">
        <f t="shared" si="25"/>
        <v>2111</v>
      </c>
      <c r="N357" s="32">
        <f t="shared" si="26"/>
        <v>4.917421789466328E-2</v>
      </c>
      <c r="O357" s="6" t="str">
        <f>IF(ABS(M357)&lt;Overview!$B$6,"OK",IF(I357=0,"REVIEW (zero base)",IF(ABS(M357/ABS(I357))&gt;=Overview!$B$5,"REVIEW","OK")))</f>
        <v>OK</v>
      </c>
      <c r="P357" s="31">
        <f t="shared" si="27"/>
        <v>-304</v>
      </c>
      <c r="Q357" s="32">
        <f t="shared" si="28"/>
        <v>-6.7495559502664297E-3</v>
      </c>
      <c r="R357" s="6" t="str">
        <f>IF(ABS(P357)&lt;Overview!$B$6,"OK",IF(J357=0,"REVIEW (zero base)",IF(ABS(P357/ABS(J357))&gt;=Overview!$B$5,"REVIEW","OK")))</f>
        <v>OK</v>
      </c>
      <c r="S357" s="33">
        <f t="shared" si="29"/>
        <v>2111.0003569999999</v>
      </c>
    </row>
    <row r="358" spans="1:19" x14ac:dyDescent="0.2">
      <c r="A358" s="17">
        <v>356</v>
      </c>
      <c r="B358" s="17" t="s">
        <v>171</v>
      </c>
      <c r="C358" s="17" t="s">
        <v>338</v>
      </c>
      <c r="D358" s="17" t="s">
        <v>70</v>
      </c>
      <c r="E358" s="17" t="s">
        <v>136</v>
      </c>
      <c r="F358" s="17" t="s">
        <v>341</v>
      </c>
      <c r="G358" s="17" t="s">
        <v>343</v>
      </c>
      <c r="H358" s="30">
        <v>13617</v>
      </c>
      <c r="I358" s="30">
        <v>10431</v>
      </c>
      <c r="J358" s="30">
        <v>14501</v>
      </c>
      <c r="K358" s="30">
        <v>15133</v>
      </c>
      <c r="L358" s="30">
        <v>15284</v>
      </c>
      <c r="M358" s="31">
        <f t="shared" si="25"/>
        <v>4070</v>
      </c>
      <c r="N358" s="32">
        <f t="shared" si="26"/>
        <v>0.39018310804333239</v>
      </c>
      <c r="O358" s="6" t="str">
        <f>IF(ABS(M358)&lt;Overview!$B$6,"OK",IF(I358=0,"REVIEW (zero base)",IF(ABS(M358/ABS(I358))&gt;=Overview!$B$5,"REVIEW","OK")))</f>
        <v>OK</v>
      </c>
      <c r="P358" s="31">
        <f t="shared" si="27"/>
        <v>632</v>
      </c>
      <c r="Q358" s="32">
        <f t="shared" si="28"/>
        <v>4.3583201158540794E-2</v>
      </c>
      <c r="R358" s="6" t="str">
        <f>IF(ABS(P358)&lt;Overview!$B$6,"OK",IF(J358=0,"REVIEW (zero base)",IF(ABS(P358/ABS(J358))&gt;=Overview!$B$5,"REVIEW","OK")))</f>
        <v>OK</v>
      </c>
      <c r="S358" s="33">
        <f t="shared" si="29"/>
        <v>4070.0003579999998</v>
      </c>
    </row>
    <row r="359" spans="1:19" x14ac:dyDescent="0.2">
      <c r="A359" s="17">
        <v>357</v>
      </c>
      <c r="B359" s="17" t="s">
        <v>171</v>
      </c>
      <c r="C359" s="17" t="s">
        <v>338</v>
      </c>
      <c r="D359" s="17" t="s">
        <v>70</v>
      </c>
      <c r="E359" s="17" t="s">
        <v>136</v>
      </c>
      <c r="F359" s="17" t="s">
        <v>341</v>
      </c>
      <c r="G359" s="17" t="s">
        <v>378</v>
      </c>
      <c r="H359" s="30">
        <v>13602</v>
      </c>
      <c r="I359" s="30">
        <v>10396</v>
      </c>
      <c r="J359" s="30">
        <v>13756</v>
      </c>
      <c r="K359" s="30">
        <v>14560</v>
      </c>
      <c r="L359" s="30">
        <v>15205</v>
      </c>
      <c r="M359" s="31">
        <f t="shared" si="25"/>
        <v>3360</v>
      </c>
      <c r="N359" s="32">
        <f t="shared" si="26"/>
        <v>0.32320123124278571</v>
      </c>
      <c r="O359" s="6" t="str">
        <f>IF(ABS(M359)&lt;Overview!$B$6,"OK",IF(I359=0,"REVIEW (zero base)",IF(ABS(M359/ABS(I359))&gt;=Overview!$B$5,"REVIEW","OK")))</f>
        <v>OK</v>
      </c>
      <c r="P359" s="31">
        <f t="shared" si="27"/>
        <v>804</v>
      </c>
      <c r="Q359" s="32">
        <f t="shared" si="28"/>
        <v>5.8447223029950569E-2</v>
      </c>
      <c r="R359" s="6" t="str">
        <f>IF(ABS(P359)&lt;Overview!$B$6,"OK",IF(J359=0,"REVIEW (zero base)",IF(ABS(P359/ABS(J359))&gt;=Overview!$B$5,"REVIEW","OK")))</f>
        <v>OK</v>
      </c>
      <c r="S359" s="33">
        <f t="shared" si="29"/>
        <v>3360.0003590000001</v>
      </c>
    </row>
    <row r="360" spans="1:19" x14ac:dyDescent="0.2">
      <c r="A360" s="17">
        <v>358</v>
      </c>
      <c r="B360" s="17" t="s">
        <v>171</v>
      </c>
      <c r="C360" s="17" t="s">
        <v>338</v>
      </c>
      <c r="D360" s="17" t="s">
        <v>70</v>
      </c>
      <c r="E360" s="17" t="s">
        <v>136</v>
      </c>
      <c r="F360" s="17" t="s">
        <v>341</v>
      </c>
      <c r="G360" s="17" t="s">
        <v>344</v>
      </c>
      <c r="H360" s="30">
        <v>55162</v>
      </c>
      <c r="I360" s="30">
        <v>36393</v>
      </c>
      <c r="J360" s="30">
        <v>46520</v>
      </c>
      <c r="K360" s="30">
        <v>53520</v>
      </c>
      <c r="L360" s="30">
        <v>54590</v>
      </c>
      <c r="M360" s="31">
        <f t="shared" si="25"/>
        <v>10127</v>
      </c>
      <c r="N360" s="32">
        <f t="shared" si="26"/>
        <v>0.27826779875250734</v>
      </c>
      <c r="O360" s="6" t="str">
        <f>IF(ABS(M360)&lt;Overview!$B$6,"OK",IF(I360=0,"REVIEW (zero base)",IF(ABS(M360/ABS(I360))&gt;=Overview!$B$5,"REVIEW","OK")))</f>
        <v>OK</v>
      </c>
      <c r="P360" s="31">
        <f t="shared" si="27"/>
        <v>7000</v>
      </c>
      <c r="Q360" s="32">
        <f t="shared" si="28"/>
        <v>0.15047291487532244</v>
      </c>
      <c r="R360" s="6" t="str">
        <f>IF(ABS(P360)&lt;Overview!$B$6,"OK",IF(J360=0,"REVIEW (zero base)",IF(ABS(P360/ABS(J360))&gt;=Overview!$B$5,"REVIEW","OK")))</f>
        <v>OK</v>
      </c>
      <c r="S360" s="33">
        <f t="shared" si="29"/>
        <v>10127.00036</v>
      </c>
    </row>
    <row r="361" spans="1:19" x14ac:dyDescent="0.2">
      <c r="A361" s="17">
        <v>359</v>
      </c>
      <c r="B361" s="17" t="s">
        <v>171</v>
      </c>
      <c r="C361" s="17" t="s">
        <v>338</v>
      </c>
      <c r="D361" s="17" t="s">
        <v>70</v>
      </c>
      <c r="E361" s="17" t="s">
        <v>136</v>
      </c>
      <c r="F361" s="17" t="s">
        <v>364</v>
      </c>
      <c r="G361" s="17" t="s">
        <v>379</v>
      </c>
      <c r="H361" s="30">
        <v>0</v>
      </c>
      <c r="I361" s="30">
        <v>0</v>
      </c>
      <c r="J361" s="30">
        <v>0</v>
      </c>
      <c r="K361" s="30">
        <v>2400</v>
      </c>
      <c r="L361" s="30">
        <v>2417</v>
      </c>
      <c r="M361" s="31">
        <f t="shared" si="25"/>
        <v>0</v>
      </c>
      <c r="N361" s="32" t="str">
        <f t="shared" si="26"/>
        <v>n/a</v>
      </c>
      <c r="O361" s="6" t="str">
        <f>IF(ABS(M361)&lt;Overview!$B$6,"OK",IF(I361=0,"REVIEW (zero base)",IF(ABS(M361/ABS(I361))&gt;=Overview!$B$5,"REVIEW","OK")))</f>
        <v>OK</v>
      </c>
      <c r="P361" s="31">
        <f t="shared" si="27"/>
        <v>2400</v>
      </c>
      <c r="Q361" s="32" t="str">
        <f t="shared" si="28"/>
        <v>n/a</v>
      </c>
      <c r="R361" s="6" t="str">
        <f>IF(ABS(P361)&lt;Overview!$B$6,"OK",IF(J361=0,"REVIEW (zero base)",IF(ABS(P361/ABS(J361))&gt;=Overview!$B$5,"REVIEW","OK")))</f>
        <v>OK</v>
      </c>
      <c r="S361" s="33">
        <f t="shared" si="29"/>
        <v>3.6099999999999999E-4</v>
      </c>
    </row>
    <row r="362" spans="1:19" x14ac:dyDescent="0.2">
      <c r="A362" s="17">
        <v>360</v>
      </c>
      <c r="B362" s="17" t="s">
        <v>171</v>
      </c>
      <c r="C362" s="17" t="s">
        <v>338</v>
      </c>
      <c r="D362" s="17" t="s">
        <v>70</v>
      </c>
      <c r="E362" s="17" t="s">
        <v>136</v>
      </c>
      <c r="F362" s="17" t="s">
        <v>364</v>
      </c>
      <c r="G362" s="17" t="s">
        <v>383</v>
      </c>
      <c r="H362" s="30">
        <v>1540</v>
      </c>
      <c r="I362" s="30">
        <v>1819</v>
      </c>
      <c r="J362" s="30">
        <v>1320</v>
      </c>
      <c r="K362" s="30">
        <v>2000</v>
      </c>
      <c r="L362" s="30">
        <v>2000</v>
      </c>
      <c r="M362" s="31">
        <f t="shared" si="25"/>
        <v>-499</v>
      </c>
      <c r="N362" s="32">
        <f t="shared" si="26"/>
        <v>-0.27432655305112702</v>
      </c>
      <c r="O362" s="6" t="str">
        <f>IF(ABS(M362)&lt;Overview!$B$6,"OK",IF(I362=0,"REVIEW (zero base)",IF(ABS(M362/ABS(I362))&gt;=Overview!$B$5,"REVIEW","OK")))</f>
        <v>OK</v>
      </c>
      <c r="P362" s="31">
        <f t="shared" si="27"/>
        <v>680</v>
      </c>
      <c r="Q362" s="32">
        <f t="shared" si="28"/>
        <v>0.51515151515151514</v>
      </c>
      <c r="R362" s="6" t="str">
        <f>IF(ABS(P362)&lt;Overview!$B$6,"OK",IF(J362=0,"REVIEW (zero base)",IF(ABS(P362/ABS(J362))&gt;=Overview!$B$5,"REVIEW","OK")))</f>
        <v>OK</v>
      </c>
      <c r="S362" s="33">
        <f t="shared" si="29"/>
        <v>499.000362</v>
      </c>
    </row>
    <row r="363" spans="1:19" x14ac:dyDescent="0.2">
      <c r="A363" s="17">
        <v>361</v>
      </c>
      <c r="B363" s="17" t="s">
        <v>171</v>
      </c>
      <c r="C363" s="17" t="s">
        <v>338</v>
      </c>
      <c r="D363" s="17" t="s">
        <v>70</v>
      </c>
      <c r="E363" s="17" t="s">
        <v>136</v>
      </c>
      <c r="F363" s="17" t="s">
        <v>364</v>
      </c>
      <c r="G363" s="17" t="s">
        <v>398</v>
      </c>
      <c r="H363" s="30">
        <v>80</v>
      </c>
      <c r="I363" s="30">
        <v>0</v>
      </c>
      <c r="J363" s="30">
        <v>240</v>
      </c>
      <c r="K363" s="30">
        <v>0</v>
      </c>
      <c r="L363" s="30">
        <v>0</v>
      </c>
      <c r="M363" s="31">
        <f t="shared" si="25"/>
        <v>240</v>
      </c>
      <c r="N363" s="32" t="str">
        <f t="shared" si="26"/>
        <v>n/a</v>
      </c>
      <c r="O363" s="6" t="str">
        <f>IF(ABS(M363)&lt;Overview!$B$6,"OK",IF(I363=0,"REVIEW (zero base)",IF(ABS(M363/ABS(I363))&gt;=Overview!$B$5,"REVIEW","OK")))</f>
        <v>OK</v>
      </c>
      <c r="P363" s="31">
        <f t="shared" si="27"/>
        <v>-240</v>
      </c>
      <c r="Q363" s="32">
        <f t="shared" si="28"/>
        <v>-1</v>
      </c>
      <c r="R363" s="6" t="str">
        <f>IF(ABS(P363)&lt;Overview!$B$6,"OK",IF(J363=0,"REVIEW (zero base)",IF(ABS(P363/ABS(J363))&gt;=Overview!$B$5,"REVIEW","OK")))</f>
        <v>OK</v>
      </c>
      <c r="S363" s="33">
        <f t="shared" si="29"/>
        <v>240.00036299999999</v>
      </c>
    </row>
    <row r="364" spans="1:19" x14ac:dyDescent="0.2">
      <c r="A364" s="17">
        <v>362</v>
      </c>
      <c r="B364" s="17" t="s">
        <v>171</v>
      </c>
      <c r="C364" s="17" t="s">
        <v>338</v>
      </c>
      <c r="D364" s="17" t="s">
        <v>70</v>
      </c>
      <c r="E364" s="17" t="s">
        <v>136</v>
      </c>
      <c r="F364" s="17" t="s">
        <v>404</v>
      </c>
      <c r="G364" s="17" t="s">
        <v>405</v>
      </c>
      <c r="H364" s="30">
        <v>1221</v>
      </c>
      <c r="I364" s="30">
        <v>0</v>
      </c>
      <c r="J364" s="30">
        <v>0</v>
      </c>
      <c r="K364" s="30">
        <v>240</v>
      </c>
      <c r="L364" s="30">
        <v>242</v>
      </c>
      <c r="M364" s="31">
        <f t="shared" si="25"/>
        <v>0</v>
      </c>
      <c r="N364" s="32" t="str">
        <f t="shared" si="26"/>
        <v>n/a</v>
      </c>
      <c r="O364" s="6" t="str">
        <f>IF(ABS(M364)&lt;Overview!$B$6,"OK",IF(I364=0,"REVIEW (zero base)",IF(ABS(M364/ABS(I364))&gt;=Overview!$B$5,"REVIEW","OK")))</f>
        <v>OK</v>
      </c>
      <c r="P364" s="31">
        <f t="shared" si="27"/>
        <v>240</v>
      </c>
      <c r="Q364" s="32" t="str">
        <f t="shared" si="28"/>
        <v>n/a</v>
      </c>
      <c r="R364" s="6" t="str">
        <f>IF(ABS(P364)&lt;Overview!$B$6,"OK",IF(J364=0,"REVIEW (zero base)",IF(ABS(P364/ABS(J364))&gt;=Overview!$B$5,"REVIEW","OK")))</f>
        <v>OK</v>
      </c>
      <c r="S364" s="33">
        <f t="shared" si="29"/>
        <v>3.6400000000000001E-4</v>
      </c>
    </row>
    <row r="365" spans="1:19" x14ac:dyDescent="0.2">
      <c r="A365" s="17">
        <v>363</v>
      </c>
      <c r="B365" s="17" t="s">
        <v>171</v>
      </c>
      <c r="C365" s="17" t="s">
        <v>338</v>
      </c>
      <c r="D365" s="17" t="s">
        <v>70</v>
      </c>
      <c r="E365" s="17" t="s">
        <v>136</v>
      </c>
      <c r="F365" s="17" t="s">
        <v>402</v>
      </c>
      <c r="G365" s="17" t="s">
        <v>416</v>
      </c>
      <c r="H365" s="30">
        <v>0</v>
      </c>
      <c r="I365" s="30">
        <v>1678</v>
      </c>
      <c r="J365" s="30">
        <v>2500</v>
      </c>
      <c r="K365" s="30">
        <v>6400</v>
      </c>
      <c r="L365" s="30">
        <v>6445</v>
      </c>
      <c r="M365" s="31">
        <f t="shared" si="25"/>
        <v>822</v>
      </c>
      <c r="N365" s="32">
        <f t="shared" si="26"/>
        <v>0.4898688915375447</v>
      </c>
      <c r="O365" s="6" t="str">
        <f>IF(ABS(M365)&lt;Overview!$B$6,"OK",IF(I365=0,"REVIEW (zero base)",IF(ABS(M365/ABS(I365))&gt;=Overview!$B$5,"REVIEW","OK")))</f>
        <v>OK</v>
      </c>
      <c r="P365" s="31">
        <f t="shared" si="27"/>
        <v>3900</v>
      </c>
      <c r="Q365" s="32">
        <f t="shared" si="28"/>
        <v>1.56</v>
      </c>
      <c r="R365" s="6" t="str">
        <f>IF(ABS(P365)&lt;Overview!$B$6,"OK",IF(J365=0,"REVIEW (zero base)",IF(ABS(P365/ABS(J365))&gt;=Overview!$B$5,"REVIEW","OK")))</f>
        <v>OK</v>
      </c>
      <c r="S365" s="33">
        <f t="shared" si="29"/>
        <v>822.00036499999999</v>
      </c>
    </row>
    <row r="366" spans="1:19" x14ac:dyDescent="0.2">
      <c r="A366" s="17">
        <v>364</v>
      </c>
      <c r="B366" s="17" t="s">
        <v>171</v>
      </c>
      <c r="C366" s="17" t="s">
        <v>338</v>
      </c>
      <c r="D366" s="17" t="s">
        <v>70</v>
      </c>
      <c r="E366" s="17" t="s">
        <v>136</v>
      </c>
      <c r="F366" s="17" t="s">
        <v>347</v>
      </c>
      <c r="G366" s="17" t="s">
        <v>348</v>
      </c>
      <c r="H366" s="30">
        <v>1531</v>
      </c>
      <c r="I366" s="30">
        <v>433</v>
      </c>
      <c r="J366" s="30">
        <v>3000</v>
      </c>
      <c r="K366" s="30">
        <v>4320</v>
      </c>
      <c r="L366" s="30">
        <v>4350</v>
      </c>
      <c r="M366" s="31">
        <f t="shared" si="25"/>
        <v>2567</v>
      </c>
      <c r="N366" s="32">
        <f t="shared" si="26"/>
        <v>5.9284064665127021</v>
      </c>
      <c r="O366" s="6" t="str">
        <f>IF(ABS(M366)&lt;Overview!$B$6,"OK",IF(I366=0,"REVIEW (zero base)",IF(ABS(M366/ABS(I366))&gt;=Overview!$B$5,"REVIEW","OK")))</f>
        <v>OK</v>
      </c>
      <c r="P366" s="31">
        <f t="shared" si="27"/>
        <v>1320</v>
      </c>
      <c r="Q366" s="32">
        <f t="shared" si="28"/>
        <v>0.44</v>
      </c>
      <c r="R366" s="6" t="str">
        <f>IF(ABS(P366)&lt;Overview!$B$6,"OK",IF(J366=0,"REVIEW (zero base)",IF(ABS(P366/ABS(J366))&gt;=Overview!$B$5,"REVIEW","OK")))</f>
        <v>OK</v>
      </c>
      <c r="S366" s="33">
        <f t="shared" si="29"/>
        <v>2567.0003660000002</v>
      </c>
    </row>
    <row r="367" spans="1:19" x14ac:dyDescent="0.2">
      <c r="A367" s="17">
        <v>365</v>
      </c>
      <c r="B367" s="17" t="s">
        <v>171</v>
      </c>
      <c r="C367" s="17" t="s">
        <v>338</v>
      </c>
      <c r="D367" s="17" t="s">
        <v>70</v>
      </c>
      <c r="E367" s="17" t="s">
        <v>136</v>
      </c>
      <c r="F367" s="17" t="s">
        <v>386</v>
      </c>
      <c r="G367" s="17" t="s">
        <v>387</v>
      </c>
      <c r="H367" s="30">
        <v>1452</v>
      </c>
      <c r="I367" s="30">
        <v>1044</v>
      </c>
      <c r="J367" s="30">
        <v>1190</v>
      </c>
      <c r="K367" s="30">
        <v>1200</v>
      </c>
      <c r="L367" s="30">
        <v>1208</v>
      </c>
      <c r="M367" s="31">
        <f t="shared" si="25"/>
        <v>146</v>
      </c>
      <c r="N367" s="32">
        <f t="shared" si="26"/>
        <v>0.13984674329501914</v>
      </c>
      <c r="O367" s="6" t="str">
        <f>IF(ABS(M367)&lt;Overview!$B$6,"OK",IF(I367=0,"REVIEW (zero base)",IF(ABS(M367/ABS(I367))&gt;=Overview!$B$5,"REVIEW","OK")))</f>
        <v>OK</v>
      </c>
      <c r="P367" s="31">
        <f t="shared" si="27"/>
        <v>10</v>
      </c>
      <c r="Q367" s="32">
        <f t="shared" si="28"/>
        <v>8.4033613445378148E-3</v>
      </c>
      <c r="R367" s="6" t="str">
        <f>IF(ABS(P367)&lt;Overview!$B$6,"OK",IF(J367=0,"REVIEW (zero base)",IF(ABS(P367/ABS(J367))&gt;=Overview!$B$5,"REVIEW","OK")))</f>
        <v>OK</v>
      </c>
      <c r="S367" s="33">
        <f t="shared" si="29"/>
        <v>146.00036700000001</v>
      </c>
    </row>
    <row r="368" spans="1:19" x14ac:dyDescent="0.2">
      <c r="A368" s="17">
        <v>366</v>
      </c>
      <c r="B368" s="17" t="s">
        <v>171</v>
      </c>
      <c r="C368" s="17" t="s">
        <v>338</v>
      </c>
      <c r="D368" s="17" t="s">
        <v>70</v>
      </c>
      <c r="E368" s="17" t="s">
        <v>116</v>
      </c>
      <c r="F368" s="17" t="s">
        <v>339</v>
      </c>
      <c r="G368" s="17" t="s">
        <v>340</v>
      </c>
      <c r="H368" s="30">
        <v>288344</v>
      </c>
      <c r="I368" s="30">
        <v>263749</v>
      </c>
      <c r="J368" s="30">
        <v>319989</v>
      </c>
      <c r="K368" s="30">
        <v>342944</v>
      </c>
      <c r="L368" s="30">
        <v>346373</v>
      </c>
      <c r="M368" s="31">
        <f t="shared" si="25"/>
        <v>56240</v>
      </c>
      <c r="N368" s="32">
        <f t="shared" si="26"/>
        <v>0.21323303595463869</v>
      </c>
      <c r="O368" s="6" t="str">
        <f>IF(ABS(M368)&lt;Overview!$B$6,"OK",IF(I368=0,"REVIEW (zero base)",IF(ABS(M368/ABS(I368))&gt;=Overview!$B$5,"REVIEW","OK")))</f>
        <v>OK</v>
      </c>
      <c r="P368" s="31">
        <f t="shared" si="27"/>
        <v>22955</v>
      </c>
      <c r="Q368" s="32">
        <f t="shared" si="28"/>
        <v>7.1736840953907796E-2</v>
      </c>
      <c r="R368" s="6" t="str">
        <f>IF(ABS(P368)&lt;Overview!$B$6,"OK",IF(J368=0,"REVIEW (zero base)",IF(ABS(P368/ABS(J368))&gt;=Overview!$B$5,"REVIEW","OK")))</f>
        <v>OK</v>
      </c>
      <c r="S368" s="33">
        <f t="shared" si="29"/>
        <v>56240.000368000001</v>
      </c>
    </row>
    <row r="369" spans="1:19" x14ac:dyDescent="0.2">
      <c r="A369" s="17">
        <v>367</v>
      </c>
      <c r="B369" s="17" t="s">
        <v>171</v>
      </c>
      <c r="C369" s="17" t="s">
        <v>338</v>
      </c>
      <c r="D369" s="17" t="s">
        <v>70</v>
      </c>
      <c r="E369" s="17" t="s">
        <v>116</v>
      </c>
      <c r="F369" s="17" t="s">
        <v>339</v>
      </c>
      <c r="G369" s="17" t="s">
        <v>389</v>
      </c>
      <c r="H369" s="30">
        <v>43081</v>
      </c>
      <c r="I369" s="30">
        <v>2934</v>
      </c>
      <c r="J369" s="30">
        <v>43004</v>
      </c>
      <c r="K369" s="30">
        <v>0</v>
      </c>
      <c r="L369" s="30">
        <v>0</v>
      </c>
      <c r="M369" s="31">
        <f t="shared" si="25"/>
        <v>40070</v>
      </c>
      <c r="N369" s="32">
        <f t="shared" si="26"/>
        <v>13.657123381049761</v>
      </c>
      <c r="O369" s="6" t="str">
        <f>IF(ABS(M369)&lt;Overview!$B$6,"OK",IF(I369=0,"REVIEW (zero base)",IF(ABS(M369/ABS(I369))&gt;=Overview!$B$5,"REVIEW","OK")))</f>
        <v>OK</v>
      </c>
      <c r="P369" s="31">
        <f t="shared" si="27"/>
        <v>-43004</v>
      </c>
      <c r="Q369" s="32">
        <f t="shared" si="28"/>
        <v>-1</v>
      </c>
      <c r="R369" s="6" t="str">
        <f>IF(ABS(P369)&lt;Overview!$B$6,"OK",IF(J369=0,"REVIEW (zero base)",IF(ABS(P369/ABS(J369))&gt;=Overview!$B$5,"REVIEW","OK")))</f>
        <v>OK</v>
      </c>
      <c r="S369" s="33">
        <f t="shared" si="29"/>
        <v>40070.000369000001</v>
      </c>
    </row>
    <row r="370" spans="1:19" x14ac:dyDescent="0.2">
      <c r="A370" s="17">
        <v>368</v>
      </c>
      <c r="B370" s="17" t="s">
        <v>171</v>
      </c>
      <c r="C370" s="17" t="s">
        <v>338</v>
      </c>
      <c r="D370" s="17" t="s">
        <v>70</v>
      </c>
      <c r="E370" s="17" t="s">
        <v>116</v>
      </c>
      <c r="F370" s="17" t="s">
        <v>339</v>
      </c>
      <c r="G370" s="17" t="s">
        <v>390</v>
      </c>
      <c r="H370" s="30">
        <v>35210</v>
      </c>
      <c r="I370" s="30">
        <v>27572</v>
      </c>
      <c r="J370" s="30">
        <v>40000</v>
      </c>
      <c r="K370" s="30">
        <v>0</v>
      </c>
      <c r="L370" s="30">
        <v>0</v>
      </c>
      <c r="M370" s="31">
        <f t="shared" si="25"/>
        <v>12428</v>
      </c>
      <c r="N370" s="32">
        <f t="shared" si="26"/>
        <v>0.45074713477440881</v>
      </c>
      <c r="O370" s="6" t="str">
        <f>IF(ABS(M370)&lt;Overview!$B$6,"OK",IF(I370=0,"REVIEW (zero base)",IF(ABS(M370/ABS(I370))&gt;=Overview!$B$5,"REVIEW","OK")))</f>
        <v>OK</v>
      </c>
      <c r="P370" s="31">
        <f t="shared" si="27"/>
        <v>-40000</v>
      </c>
      <c r="Q370" s="32">
        <f t="shared" si="28"/>
        <v>-1</v>
      </c>
      <c r="R370" s="6" t="str">
        <f>IF(ABS(P370)&lt;Overview!$B$6,"OK",IF(J370=0,"REVIEW (zero base)",IF(ABS(P370/ABS(J370))&gt;=Overview!$B$5,"REVIEW","OK")))</f>
        <v>OK</v>
      </c>
      <c r="S370" s="33">
        <f t="shared" si="29"/>
        <v>12428.00037</v>
      </c>
    </row>
    <row r="371" spans="1:19" x14ac:dyDescent="0.2">
      <c r="A371" s="17">
        <v>369</v>
      </c>
      <c r="B371" s="17" t="s">
        <v>171</v>
      </c>
      <c r="C371" s="17" t="s">
        <v>338</v>
      </c>
      <c r="D371" s="17" t="s">
        <v>70</v>
      </c>
      <c r="E371" s="17" t="s">
        <v>116</v>
      </c>
      <c r="F371" s="17" t="s">
        <v>339</v>
      </c>
      <c r="G371" s="17" t="s">
        <v>391</v>
      </c>
      <c r="H371" s="30">
        <v>9190</v>
      </c>
      <c r="I371" s="30">
        <v>5263</v>
      </c>
      <c r="J371" s="30">
        <v>0</v>
      </c>
      <c r="K371" s="30">
        <v>0</v>
      </c>
      <c r="L371" s="30">
        <v>0</v>
      </c>
      <c r="M371" s="31">
        <f t="shared" si="25"/>
        <v>-5263</v>
      </c>
      <c r="N371" s="32">
        <f t="shared" si="26"/>
        <v>-1</v>
      </c>
      <c r="O371" s="6" t="str">
        <f>IF(ABS(M371)&lt;Overview!$B$6,"OK",IF(I371=0,"REVIEW (zero base)",IF(ABS(M371/ABS(I371))&gt;=Overview!$B$5,"REVIEW","OK")))</f>
        <v>OK</v>
      </c>
      <c r="P371" s="31">
        <f t="shared" si="27"/>
        <v>0</v>
      </c>
      <c r="Q371" s="32" t="str">
        <f t="shared" si="28"/>
        <v>n/a</v>
      </c>
      <c r="R371" s="6" t="str">
        <f>IF(ABS(P371)&lt;Overview!$B$6,"OK",IF(J371=0,"REVIEW (zero base)",IF(ABS(P371/ABS(J371))&gt;=Overview!$B$5,"REVIEW","OK")))</f>
        <v>OK</v>
      </c>
      <c r="S371" s="33">
        <f t="shared" si="29"/>
        <v>5263.0003710000001</v>
      </c>
    </row>
    <row r="372" spans="1:19" x14ac:dyDescent="0.2">
      <c r="A372" s="17">
        <v>370</v>
      </c>
      <c r="B372" s="17" t="s">
        <v>171</v>
      </c>
      <c r="C372" s="17" t="s">
        <v>338</v>
      </c>
      <c r="D372" s="17" t="s">
        <v>70</v>
      </c>
      <c r="E372" s="17" t="s">
        <v>116</v>
      </c>
      <c r="F372" s="17" t="s">
        <v>339</v>
      </c>
      <c r="G372" s="17" t="s">
        <v>392</v>
      </c>
      <c r="H372" s="30">
        <v>18995</v>
      </c>
      <c r="I372" s="30">
        <v>9304</v>
      </c>
      <c r="J372" s="30">
        <v>0</v>
      </c>
      <c r="K372" s="30">
        <v>0</v>
      </c>
      <c r="L372" s="30">
        <v>0</v>
      </c>
      <c r="M372" s="31">
        <f t="shared" si="25"/>
        <v>-9304</v>
      </c>
      <c r="N372" s="32">
        <f t="shared" si="26"/>
        <v>-1</v>
      </c>
      <c r="O372" s="6" t="str">
        <f>IF(ABS(M372)&lt;Overview!$B$6,"OK",IF(I372=0,"REVIEW (zero base)",IF(ABS(M372/ABS(I372))&gt;=Overview!$B$5,"REVIEW","OK")))</f>
        <v>OK</v>
      </c>
      <c r="P372" s="31">
        <f t="shared" si="27"/>
        <v>0</v>
      </c>
      <c r="Q372" s="32" t="str">
        <f t="shared" si="28"/>
        <v>n/a</v>
      </c>
      <c r="R372" s="6" t="str">
        <f>IF(ABS(P372)&lt;Overview!$B$6,"OK",IF(J372=0,"REVIEW (zero base)",IF(ABS(P372/ABS(J372))&gt;=Overview!$B$5,"REVIEW","OK")))</f>
        <v>OK</v>
      </c>
      <c r="S372" s="33">
        <f t="shared" si="29"/>
        <v>9304.0003720000004</v>
      </c>
    </row>
    <row r="373" spans="1:19" x14ac:dyDescent="0.2">
      <c r="A373" s="17">
        <v>371</v>
      </c>
      <c r="B373" s="17" t="s">
        <v>171</v>
      </c>
      <c r="C373" s="17" t="s">
        <v>338</v>
      </c>
      <c r="D373" s="17" t="s">
        <v>70</v>
      </c>
      <c r="E373" s="17" t="s">
        <v>116</v>
      </c>
      <c r="F373" s="17" t="s">
        <v>339</v>
      </c>
      <c r="G373" s="17" t="s">
        <v>417</v>
      </c>
      <c r="H373" s="30">
        <v>221744</v>
      </c>
      <c r="I373" s="30">
        <v>15819</v>
      </c>
      <c r="J373" s="30">
        <v>225000</v>
      </c>
      <c r="K373" s="30">
        <v>0</v>
      </c>
      <c r="L373" s="30">
        <v>0</v>
      </c>
      <c r="M373" s="31">
        <f t="shared" si="25"/>
        <v>209181</v>
      </c>
      <c r="N373" s="32">
        <f t="shared" si="26"/>
        <v>13.223402237815286</v>
      </c>
      <c r="O373" s="6" t="str">
        <f>IF(ABS(M373)&lt;Overview!$B$6,"OK",IF(I373=0,"REVIEW (zero base)",IF(ABS(M373/ABS(I373))&gt;=Overview!$B$5,"REVIEW","OK")))</f>
        <v>OK</v>
      </c>
      <c r="P373" s="31">
        <f t="shared" si="27"/>
        <v>-225000</v>
      </c>
      <c r="Q373" s="32">
        <f t="shared" si="28"/>
        <v>-1</v>
      </c>
      <c r="R373" s="6" t="str">
        <f>IF(ABS(P373)&lt;Overview!$B$6,"OK",IF(J373=0,"REVIEW (zero base)",IF(ABS(P373/ABS(J373))&gt;=Overview!$B$5,"REVIEW","OK")))</f>
        <v>OK</v>
      </c>
      <c r="S373" s="33">
        <f t="shared" si="29"/>
        <v>209181.00037299999</v>
      </c>
    </row>
    <row r="374" spans="1:19" x14ac:dyDescent="0.2">
      <c r="A374" s="17">
        <v>372</v>
      </c>
      <c r="B374" s="17" t="s">
        <v>171</v>
      </c>
      <c r="C374" s="17" t="s">
        <v>338</v>
      </c>
      <c r="D374" s="17" t="s">
        <v>70</v>
      </c>
      <c r="E374" s="17" t="s">
        <v>116</v>
      </c>
      <c r="F374" s="17" t="s">
        <v>339</v>
      </c>
      <c r="G374" s="17" t="s">
        <v>394</v>
      </c>
      <c r="H374" s="30">
        <v>21325</v>
      </c>
      <c r="I374" s="30">
        <v>16583</v>
      </c>
      <c r="J374" s="30">
        <v>0</v>
      </c>
      <c r="K374" s="30">
        <v>0</v>
      </c>
      <c r="L374" s="30">
        <v>0</v>
      </c>
      <c r="M374" s="31">
        <f t="shared" si="25"/>
        <v>-16583</v>
      </c>
      <c r="N374" s="32">
        <f t="shared" si="26"/>
        <v>-1</v>
      </c>
      <c r="O374" s="6" t="str">
        <f>IF(ABS(M374)&lt;Overview!$B$6,"OK",IF(I374=0,"REVIEW (zero base)",IF(ABS(M374/ABS(I374))&gt;=Overview!$B$5,"REVIEW","OK")))</f>
        <v>OK</v>
      </c>
      <c r="P374" s="31">
        <f t="shared" si="27"/>
        <v>0</v>
      </c>
      <c r="Q374" s="32" t="str">
        <f t="shared" si="28"/>
        <v>n/a</v>
      </c>
      <c r="R374" s="6" t="str">
        <f>IF(ABS(P374)&lt;Overview!$B$6,"OK",IF(J374=0,"REVIEW (zero base)",IF(ABS(P374/ABS(J374))&gt;=Overview!$B$5,"REVIEW","OK")))</f>
        <v>OK</v>
      </c>
      <c r="S374" s="33">
        <f t="shared" si="29"/>
        <v>16583.000373999999</v>
      </c>
    </row>
    <row r="375" spans="1:19" x14ac:dyDescent="0.2">
      <c r="A375" s="17">
        <v>373</v>
      </c>
      <c r="B375" s="17" t="s">
        <v>171</v>
      </c>
      <c r="C375" s="17" t="s">
        <v>338</v>
      </c>
      <c r="D375" s="17" t="s">
        <v>70</v>
      </c>
      <c r="E375" s="17" t="s">
        <v>116</v>
      </c>
      <c r="F375" s="17" t="s">
        <v>339</v>
      </c>
      <c r="G375" s="17" t="s">
        <v>395</v>
      </c>
      <c r="H375" s="30">
        <v>11506</v>
      </c>
      <c r="I375" s="30">
        <v>7675</v>
      </c>
      <c r="J375" s="30">
        <v>7907</v>
      </c>
      <c r="K375" s="30">
        <v>8682</v>
      </c>
      <c r="L375" s="30">
        <v>8769</v>
      </c>
      <c r="M375" s="31">
        <f t="shared" si="25"/>
        <v>232</v>
      </c>
      <c r="N375" s="32">
        <f t="shared" si="26"/>
        <v>3.0228013029315961E-2</v>
      </c>
      <c r="O375" s="6" t="str">
        <f>IF(ABS(M375)&lt;Overview!$B$6,"OK",IF(I375=0,"REVIEW (zero base)",IF(ABS(M375/ABS(I375))&gt;=Overview!$B$5,"REVIEW","OK")))</f>
        <v>OK</v>
      </c>
      <c r="P375" s="31">
        <f t="shared" si="27"/>
        <v>775</v>
      </c>
      <c r="Q375" s="32">
        <f t="shared" si="28"/>
        <v>9.8014417604654097E-2</v>
      </c>
      <c r="R375" s="6" t="str">
        <f>IF(ABS(P375)&lt;Overview!$B$6,"OK",IF(J375=0,"REVIEW (zero base)",IF(ABS(P375/ABS(J375))&gt;=Overview!$B$5,"REVIEW","OK")))</f>
        <v>OK</v>
      </c>
      <c r="S375" s="33">
        <f t="shared" si="29"/>
        <v>232.00037499999999</v>
      </c>
    </row>
    <row r="376" spans="1:19" x14ac:dyDescent="0.2">
      <c r="A376" s="17">
        <v>374</v>
      </c>
      <c r="B376" s="17" t="s">
        <v>171</v>
      </c>
      <c r="C376" s="17" t="s">
        <v>338</v>
      </c>
      <c r="D376" s="17" t="s">
        <v>70</v>
      </c>
      <c r="E376" s="17" t="s">
        <v>116</v>
      </c>
      <c r="F376" s="17" t="s">
        <v>341</v>
      </c>
      <c r="G376" s="17" t="s">
        <v>342</v>
      </c>
      <c r="H376" s="30">
        <v>6338</v>
      </c>
      <c r="I376" s="30">
        <v>5645</v>
      </c>
      <c r="J376" s="30">
        <v>6984</v>
      </c>
      <c r="K376" s="30">
        <v>6984</v>
      </c>
      <c r="L376" s="30">
        <v>6984</v>
      </c>
      <c r="M376" s="31">
        <f t="shared" si="25"/>
        <v>1339</v>
      </c>
      <c r="N376" s="32">
        <f t="shared" si="26"/>
        <v>0.23720106288751108</v>
      </c>
      <c r="O376" s="6" t="str">
        <f>IF(ABS(M376)&lt;Overview!$B$6,"OK",IF(I376=0,"REVIEW (zero base)",IF(ABS(M376/ABS(I376))&gt;=Overview!$B$5,"REVIEW","OK")))</f>
        <v>OK</v>
      </c>
      <c r="P376" s="31">
        <f t="shared" si="27"/>
        <v>0</v>
      </c>
      <c r="Q376" s="32">
        <f t="shared" si="28"/>
        <v>0</v>
      </c>
      <c r="R376" s="6" t="str">
        <f>IF(ABS(P376)&lt;Overview!$B$6,"OK",IF(J376=0,"REVIEW (zero base)",IF(ABS(P376/ABS(J376))&gt;=Overview!$B$5,"REVIEW","OK")))</f>
        <v>OK</v>
      </c>
      <c r="S376" s="33">
        <f t="shared" si="29"/>
        <v>1339.000376</v>
      </c>
    </row>
    <row r="377" spans="1:19" x14ac:dyDescent="0.2">
      <c r="A377" s="17">
        <v>375</v>
      </c>
      <c r="B377" s="17" t="s">
        <v>171</v>
      </c>
      <c r="C377" s="17" t="s">
        <v>338</v>
      </c>
      <c r="D377" s="17" t="s">
        <v>70</v>
      </c>
      <c r="E377" s="17" t="s">
        <v>116</v>
      </c>
      <c r="F377" s="17" t="s">
        <v>341</v>
      </c>
      <c r="G377" s="17" t="s">
        <v>406</v>
      </c>
      <c r="H377" s="30">
        <v>1500</v>
      </c>
      <c r="I377" s="30">
        <v>1500</v>
      </c>
      <c r="J377" s="30">
        <v>0</v>
      </c>
      <c r="K377" s="30">
        <v>0</v>
      </c>
      <c r="L377" s="30">
        <v>0</v>
      </c>
      <c r="M377" s="31">
        <f t="shared" si="25"/>
        <v>-1500</v>
      </c>
      <c r="N377" s="32">
        <f t="shared" si="26"/>
        <v>-1</v>
      </c>
      <c r="O377" s="6" t="str">
        <f>IF(ABS(M377)&lt;Overview!$B$6,"OK",IF(I377=0,"REVIEW (zero base)",IF(ABS(M377/ABS(I377))&gt;=Overview!$B$5,"REVIEW","OK")))</f>
        <v>OK</v>
      </c>
      <c r="P377" s="31">
        <f t="shared" si="27"/>
        <v>0</v>
      </c>
      <c r="Q377" s="32" t="str">
        <f t="shared" si="28"/>
        <v>n/a</v>
      </c>
      <c r="R377" s="6" t="str">
        <f>IF(ABS(P377)&lt;Overview!$B$6,"OK",IF(J377=0,"REVIEW (zero base)",IF(ABS(P377/ABS(J377))&gt;=Overview!$B$5,"REVIEW","OK")))</f>
        <v>OK</v>
      </c>
      <c r="S377" s="33">
        <f t="shared" si="29"/>
        <v>1500.0003770000001</v>
      </c>
    </row>
    <row r="378" spans="1:19" x14ac:dyDescent="0.2">
      <c r="A378" s="17">
        <v>376</v>
      </c>
      <c r="B378" s="17" t="s">
        <v>171</v>
      </c>
      <c r="C378" s="17" t="s">
        <v>338</v>
      </c>
      <c r="D378" s="17" t="s">
        <v>70</v>
      </c>
      <c r="E378" s="17" t="s">
        <v>116</v>
      </c>
      <c r="F378" s="17" t="s">
        <v>341</v>
      </c>
      <c r="G378" s="17" t="s">
        <v>375</v>
      </c>
      <c r="H378" s="30">
        <v>17956</v>
      </c>
      <c r="I378" s="30">
        <v>14995</v>
      </c>
      <c r="J378" s="30">
        <v>22750</v>
      </c>
      <c r="K378" s="30">
        <v>22750</v>
      </c>
      <c r="L378" s="30">
        <v>22750</v>
      </c>
      <c r="M378" s="31">
        <f t="shared" si="25"/>
        <v>7755</v>
      </c>
      <c r="N378" s="32">
        <f t="shared" si="26"/>
        <v>0.51717239079693234</v>
      </c>
      <c r="O378" s="6" t="str">
        <f>IF(ABS(M378)&lt;Overview!$B$6,"OK",IF(I378=0,"REVIEW (zero base)",IF(ABS(M378/ABS(I378))&gt;=Overview!$B$5,"REVIEW","OK")))</f>
        <v>OK</v>
      </c>
      <c r="P378" s="31">
        <f t="shared" si="27"/>
        <v>0</v>
      </c>
      <c r="Q378" s="32">
        <f t="shared" si="28"/>
        <v>0</v>
      </c>
      <c r="R378" s="6" t="str">
        <f>IF(ABS(P378)&lt;Overview!$B$6,"OK",IF(J378=0,"REVIEW (zero base)",IF(ABS(P378/ABS(J378))&gt;=Overview!$B$5,"REVIEW","OK")))</f>
        <v>OK</v>
      </c>
      <c r="S378" s="33">
        <f t="shared" si="29"/>
        <v>7755.0003779999997</v>
      </c>
    </row>
    <row r="379" spans="1:19" x14ac:dyDescent="0.2">
      <c r="A379" s="17">
        <v>377</v>
      </c>
      <c r="B379" s="17" t="s">
        <v>171</v>
      </c>
      <c r="C379" s="17" t="s">
        <v>338</v>
      </c>
      <c r="D379" s="17" t="s">
        <v>70</v>
      </c>
      <c r="E379" s="17" t="s">
        <v>116</v>
      </c>
      <c r="F379" s="17" t="s">
        <v>341</v>
      </c>
      <c r="G379" s="17" t="s">
        <v>376</v>
      </c>
      <c r="H379" s="30">
        <v>98295</v>
      </c>
      <c r="I379" s="30">
        <v>87827</v>
      </c>
      <c r="J379" s="30">
        <v>89998</v>
      </c>
      <c r="K379" s="30">
        <v>91512</v>
      </c>
      <c r="L379" s="30">
        <v>96298</v>
      </c>
      <c r="M379" s="31">
        <f t="shared" si="25"/>
        <v>2171</v>
      </c>
      <c r="N379" s="32">
        <f t="shared" si="26"/>
        <v>2.4719049950470813E-2</v>
      </c>
      <c r="O379" s="6" t="str">
        <f>IF(ABS(M379)&lt;Overview!$B$6,"OK",IF(I379=0,"REVIEW (zero base)",IF(ABS(M379/ABS(I379))&gt;=Overview!$B$5,"REVIEW","OK")))</f>
        <v>OK</v>
      </c>
      <c r="P379" s="31">
        <f t="shared" si="27"/>
        <v>1514</v>
      </c>
      <c r="Q379" s="32">
        <f t="shared" si="28"/>
        <v>1.6822596057690171E-2</v>
      </c>
      <c r="R379" s="6" t="str">
        <f>IF(ABS(P379)&lt;Overview!$B$6,"OK",IF(J379=0,"REVIEW (zero base)",IF(ABS(P379/ABS(J379))&gt;=Overview!$B$5,"REVIEW","OK")))</f>
        <v>OK</v>
      </c>
      <c r="S379" s="33">
        <f t="shared" si="29"/>
        <v>2171.0003790000001</v>
      </c>
    </row>
    <row r="380" spans="1:19" x14ac:dyDescent="0.2">
      <c r="A380" s="17">
        <v>378</v>
      </c>
      <c r="B380" s="17" t="s">
        <v>171</v>
      </c>
      <c r="C380" s="17" t="s">
        <v>338</v>
      </c>
      <c r="D380" s="17" t="s">
        <v>70</v>
      </c>
      <c r="E380" s="17" t="s">
        <v>116</v>
      </c>
      <c r="F380" s="17" t="s">
        <v>341</v>
      </c>
      <c r="G380" s="17" t="s">
        <v>343</v>
      </c>
      <c r="H380" s="30">
        <v>32119</v>
      </c>
      <c r="I380" s="30">
        <v>24709</v>
      </c>
      <c r="J380" s="30">
        <v>51087</v>
      </c>
      <c r="K380" s="30">
        <v>28046</v>
      </c>
      <c r="L380" s="30">
        <v>28326</v>
      </c>
      <c r="M380" s="31">
        <f t="shared" si="25"/>
        <v>26378</v>
      </c>
      <c r="N380" s="32">
        <f t="shared" si="26"/>
        <v>1.0675462382127969</v>
      </c>
      <c r="O380" s="6" t="str">
        <f>IF(ABS(M380)&lt;Overview!$B$6,"OK",IF(I380=0,"REVIEW (zero base)",IF(ABS(M380/ABS(I380))&gt;=Overview!$B$5,"REVIEW","OK")))</f>
        <v>OK</v>
      </c>
      <c r="P380" s="31">
        <f t="shared" si="27"/>
        <v>-23041</v>
      </c>
      <c r="Q380" s="32">
        <f t="shared" si="28"/>
        <v>-0.45101493530643805</v>
      </c>
      <c r="R380" s="6" t="str">
        <f>IF(ABS(P380)&lt;Overview!$B$6,"OK",IF(J380=0,"REVIEW (zero base)",IF(ABS(P380/ABS(J380))&gt;=Overview!$B$5,"REVIEW","OK")))</f>
        <v>OK</v>
      </c>
      <c r="S380" s="33">
        <f t="shared" si="29"/>
        <v>26378.000380000001</v>
      </c>
    </row>
    <row r="381" spans="1:19" x14ac:dyDescent="0.2">
      <c r="A381" s="17">
        <v>379</v>
      </c>
      <c r="B381" s="17" t="s">
        <v>171</v>
      </c>
      <c r="C381" s="17" t="s">
        <v>338</v>
      </c>
      <c r="D381" s="17" t="s">
        <v>70</v>
      </c>
      <c r="E381" s="17" t="s">
        <v>116</v>
      </c>
      <c r="F381" s="17" t="s">
        <v>341</v>
      </c>
      <c r="G381" s="17" t="s">
        <v>378</v>
      </c>
      <c r="H381" s="30">
        <v>14774</v>
      </c>
      <c r="I381" s="30">
        <v>11318</v>
      </c>
      <c r="J381" s="30">
        <v>20642</v>
      </c>
      <c r="K381" s="30">
        <v>18200</v>
      </c>
      <c r="L381" s="30">
        <v>19006</v>
      </c>
      <c r="M381" s="31">
        <f t="shared" si="25"/>
        <v>9324</v>
      </c>
      <c r="N381" s="32">
        <f t="shared" si="26"/>
        <v>0.82382046297932499</v>
      </c>
      <c r="O381" s="6" t="str">
        <f>IF(ABS(M381)&lt;Overview!$B$6,"OK",IF(I381=0,"REVIEW (zero base)",IF(ABS(M381/ABS(I381))&gt;=Overview!$B$5,"REVIEW","OK")))</f>
        <v>OK</v>
      </c>
      <c r="P381" s="31">
        <f t="shared" si="27"/>
        <v>-2442</v>
      </c>
      <c r="Q381" s="32">
        <f t="shared" si="28"/>
        <v>-0.11830249006879179</v>
      </c>
      <c r="R381" s="6" t="str">
        <f>IF(ABS(P381)&lt;Overview!$B$6,"OK",IF(J381=0,"REVIEW (zero base)",IF(ABS(P381/ABS(J381))&gt;=Overview!$B$5,"REVIEW","OK")))</f>
        <v>OK</v>
      </c>
      <c r="S381" s="33">
        <f t="shared" si="29"/>
        <v>9324.0003809999998</v>
      </c>
    </row>
    <row r="382" spans="1:19" x14ac:dyDescent="0.2">
      <c r="A382" s="17">
        <v>380</v>
      </c>
      <c r="B382" s="17" t="s">
        <v>171</v>
      </c>
      <c r="C382" s="17" t="s">
        <v>338</v>
      </c>
      <c r="D382" s="17" t="s">
        <v>70</v>
      </c>
      <c r="E382" s="17" t="s">
        <v>116</v>
      </c>
      <c r="F382" s="17" t="s">
        <v>341</v>
      </c>
      <c r="G382" s="17" t="s">
        <v>344</v>
      </c>
      <c r="H382" s="30">
        <v>49770</v>
      </c>
      <c r="I382" s="30">
        <v>55997</v>
      </c>
      <c r="J382" s="30">
        <v>72950</v>
      </c>
      <c r="K382" s="30">
        <v>82356</v>
      </c>
      <c r="L382" s="30">
        <v>84003</v>
      </c>
      <c r="M382" s="31">
        <f t="shared" si="25"/>
        <v>16953</v>
      </c>
      <c r="N382" s="32">
        <f t="shared" si="26"/>
        <v>0.30274836151936713</v>
      </c>
      <c r="O382" s="6" t="str">
        <f>IF(ABS(M382)&lt;Overview!$B$6,"OK",IF(I382=0,"REVIEW (zero base)",IF(ABS(M382/ABS(I382))&gt;=Overview!$B$5,"REVIEW","OK")))</f>
        <v>OK</v>
      </c>
      <c r="P382" s="31">
        <f t="shared" si="27"/>
        <v>9406</v>
      </c>
      <c r="Q382" s="32">
        <f t="shared" si="28"/>
        <v>0.12893762851267992</v>
      </c>
      <c r="R382" s="6" t="str">
        <f>IF(ABS(P382)&lt;Overview!$B$6,"OK",IF(J382=0,"REVIEW (zero base)",IF(ABS(P382/ABS(J382))&gt;=Overview!$B$5,"REVIEW","OK")))</f>
        <v>OK</v>
      </c>
      <c r="S382" s="33">
        <f t="shared" si="29"/>
        <v>16953.000381999998</v>
      </c>
    </row>
    <row r="383" spans="1:19" x14ac:dyDescent="0.2">
      <c r="A383" s="17">
        <v>381</v>
      </c>
      <c r="B383" s="17" t="s">
        <v>171</v>
      </c>
      <c r="C383" s="17" t="s">
        <v>338</v>
      </c>
      <c r="D383" s="17" t="s">
        <v>70</v>
      </c>
      <c r="E383" s="17" t="s">
        <v>116</v>
      </c>
      <c r="F383" s="17" t="s">
        <v>364</v>
      </c>
      <c r="G383" s="17" t="s">
        <v>379</v>
      </c>
      <c r="H383" s="30">
        <v>37087</v>
      </c>
      <c r="I383" s="30">
        <v>35607</v>
      </c>
      <c r="J383" s="30">
        <v>40000</v>
      </c>
      <c r="K383" s="30">
        <v>40000</v>
      </c>
      <c r="L383" s="30">
        <v>40280</v>
      </c>
      <c r="M383" s="31">
        <f t="shared" si="25"/>
        <v>4393</v>
      </c>
      <c r="N383" s="32">
        <f t="shared" si="26"/>
        <v>0.12337461735052097</v>
      </c>
      <c r="O383" s="6" t="str">
        <f>IF(ABS(M383)&lt;Overview!$B$6,"OK",IF(I383=0,"REVIEW (zero base)",IF(ABS(M383/ABS(I383))&gt;=Overview!$B$5,"REVIEW","OK")))</f>
        <v>OK</v>
      </c>
      <c r="P383" s="31">
        <f t="shared" si="27"/>
        <v>0</v>
      </c>
      <c r="Q383" s="32">
        <f t="shared" si="28"/>
        <v>0</v>
      </c>
      <c r="R383" s="6" t="str">
        <f>IF(ABS(P383)&lt;Overview!$B$6,"OK",IF(J383=0,"REVIEW (zero base)",IF(ABS(P383/ABS(J383))&gt;=Overview!$B$5,"REVIEW","OK")))</f>
        <v>OK</v>
      </c>
      <c r="S383" s="33">
        <f t="shared" si="29"/>
        <v>4393.0003829999996</v>
      </c>
    </row>
    <row r="384" spans="1:19" x14ac:dyDescent="0.2">
      <c r="A384" s="17">
        <v>382</v>
      </c>
      <c r="B384" s="17" t="s">
        <v>171</v>
      </c>
      <c r="C384" s="17" t="s">
        <v>338</v>
      </c>
      <c r="D384" s="17" t="s">
        <v>70</v>
      </c>
      <c r="E384" s="17" t="s">
        <v>116</v>
      </c>
      <c r="F384" s="17" t="s">
        <v>364</v>
      </c>
      <c r="G384" s="17" t="s">
        <v>383</v>
      </c>
      <c r="H384" s="30">
        <v>54045</v>
      </c>
      <c r="I384" s="30">
        <v>32121</v>
      </c>
      <c r="J384" s="30">
        <v>36000</v>
      </c>
      <c r="K384" s="30">
        <v>36000</v>
      </c>
      <c r="L384" s="30">
        <v>36000</v>
      </c>
      <c r="M384" s="31">
        <f t="shared" si="25"/>
        <v>3879</v>
      </c>
      <c r="N384" s="32">
        <f t="shared" si="26"/>
        <v>0.12076211824040348</v>
      </c>
      <c r="O384" s="6" t="str">
        <f>IF(ABS(M384)&lt;Overview!$B$6,"OK",IF(I384=0,"REVIEW (zero base)",IF(ABS(M384/ABS(I384))&gt;=Overview!$B$5,"REVIEW","OK")))</f>
        <v>OK</v>
      </c>
      <c r="P384" s="31">
        <f t="shared" si="27"/>
        <v>0</v>
      </c>
      <c r="Q384" s="32">
        <f t="shared" si="28"/>
        <v>0</v>
      </c>
      <c r="R384" s="6" t="str">
        <f>IF(ABS(P384)&lt;Overview!$B$6,"OK",IF(J384=0,"REVIEW (zero base)",IF(ABS(P384/ABS(J384))&gt;=Overview!$B$5,"REVIEW","OK")))</f>
        <v>OK</v>
      </c>
      <c r="S384" s="33">
        <f t="shared" si="29"/>
        <v>3879.0003839999999</v>
      </c>
    </row>
    <row r="385" spans="1:19" x14ac:dyDescent="0.2">
      <c r="A385" s="17">
        <v>383</v>
      </c>
      <c r="B385" s="17" t="s">
        <v>171</v>
      </c>
      <c r="C385" s="17" t="s">
        <v>338</v>
      </c>
      <c r="D385" s="17" t="s">
        <v>70</v>
      </c>
      <c r="E385" s="17" t="s">
        <v>116</v>
      </c>
      <c r="F385" s="17" t="s">
        <v>364</v>
      </c>
      <c r="G385" s="17" t="s">
        <v>397</v>
      </c>
      <c r="H385" s="30">
        <v>17916</v>
      </c>
      <c r="I385" s="30">
        <v>3444</v>
      </c>
      <c r="J385" s="30">
        <v>30000</v>
      </c>
      <c r="K385" s="30">
        <v>15000</v>
      </c>
      <c r="L385" s="30">
        <v>15105</v>
      </c>
      <c r="M385" s="31">
        <f t="shared" si="25"/>
        <v>26556</v>
      </c>
      <c r="N385" s="32">
        <f t="shared" si="26"/>
        <v>7.7108013937282234</v>
      </c>
      <c r="O385" s="6" t="str">
        <f>IF(ABS(M385)&lt;Overview!$B$6,"OK",IF(I385=0,"REVIEW (zero base)",IF(ABS(M385/ABS(I385))&gt;=Overview!$B$5,"REVIEW","OK")))</f>
        <v>OK</v>
      </c>
      <c r="P385" s="31">
        <f t="shared" si="27"/>
        <v>-15000</v>
      </c>
      <c r="Q385" s="32">
        <f t="shared" si="28"/>
        <v>-0.5</v>
      </c>
      <c r="R385" s="6" t="str">
        <f>IF(ABS(P385)&lt;Overview!$B$6,"OK",IF(J385=0,"REVIEW (zero base)",IF(ABS(P385/ABS(J385))&gt;=Overview!$B$5,"REVIEW","OK")))</f>
        <v>OK</v>
      </c>
      <c r="S385" s="33">
        <f t="shared" si="29"/>
        <v>26556.000384999999</v>
      </c>
    </row>
    <row r="386" spans="1:19" x14ac:dyDescent="0.2">
      <c r="A386" s="17">
        <v>384</v>
      </c>
      <c r="B386" s="17" t="s">
        <v>171</v>
      </c>
      <c r="C386" s="17" t="s">
        <v>338</v>
      </c>
      <c r="D386" s="17" t="s">
        <v>70</v>
      </c>
      <c r="E386" s="17" t="s">
        <v>116</v>
      </c>
      <c r="F386" s="17" t="s">
        <v>364</v>
      </c>
      <c r="G386" s="17" t="s">
        <v>398</v>
      </c>
      <c r="H386" s="30">
        <v>4557</v>
      </c>
      <c r="I386" s="30">
        <v>150</v>
      </c>
      <c r="J386" s="30">
        <v>1500</v>
      </c>
      <c r="K386" s="30">
        <v>1300</v>
      </c>
      <c r="L386" s="30">
        <v>1309</v>
      </c>
      <c r="M386" s="31">
        <f t="shared" ref="M386:M449" si="30">J386-I386</f>
        <v>1350</v>
      </c>
      <c r="N386" s="32">
        <f t="shared" ref="N386:N449" si="31">IF(I386=0,"n/a",M386/ABS(I386))</f>
        <v>9</v>
      </c>
      <c r="O386" s="6" t="str">
        <f>IF(ABS(M386)&lt;Overview!$B$6,"OK",IF(I386=0,"REVIEW (zero base)",IF(ABS(M386/ABS(I386))&gt;=Overview!$B$5,"REVIEW","OK")))</f>
        <v>OK</v>
      </c>
      <c r="P386" s="31">
        <f t="shared" ref="P386:P449" si="32">K386-J386</f>
        <v>-200</v>
      </c>
      <c r="Q386" s="32">
        <f t="shared" ref="Q386:Q449" si="33">IF(J386=0,"n/a",P386/ABS(J386))</f>
        <v>-0.13333333333333333</v>
      </c>
      <c r="R386" s="6" t="str">
        <f>IF(ABS(P386)&lt;Overview!$B$6,"OK",IF(J386=0,"REVIEW (zero base)",IF(ABS(P386/ABS(J386))&gt;=Overview!$B$5,"REVIEW","OK")))</f>
        <v>OK</v>
      </c>
      <c r="S386" s="33">
        <f t="shared" ref="S386:S449" si="34">IF(C386="EXPENSES",ABS(M386)+ROW()/1000000,0)</f>
        <v>1350.0003859999999</v>
      </c>
    </row>
    <row r="387" spans="1:19" x14ac:dyDescent="0.2">
      <c r="A387" s="17">
        <v>385</v>
      </c>
      <c r="B387" s="17" t="s">
        <v>171</v>
      </c>
      <c r="C387" s="17" t="s">
        <v>338</v>
      </c>
      <c r="D387" s="17" t="s">
        <v>70</v>
      </c>
      <c r="E387" s="17" t="s">
        <v>116</v>
      </c>
      <c r="F387" s="17" t="s">
        <v>364</v>
      </c>
      <c r="G387" s="17" t="s">
        <v>399</v>
      </c>
      <c r="H387" s="30">
        <v>0</v>
      </c>
      <c r="I387" s="30">
        <v>4423</v>
      </c>
      <c r="J387" s="30">
        <v>10000</v>
      </c>
      <c r="K387" s="30">
        <v>10000</v>
      </c>
      <c r="L387" s="30">
        <v>10070</v>
      </c>
      <c r="M387" s="31">
        <f t="shared" si="30"/>
        <v>5577</v>
      </c>
      <c r="N387" s="32">
        <f t="shared" si="31"/>
        <v>1.2609088853719195</v>
      </c>
      <c r="O387" s="6" t="str">
        <f>IF(ABS(M387)&lt;Overview!$B$6,"OK",IF(I387=0,"REVIEW (zero base)",IF(ABS(M387/ABS(I387))&gt;=Overview!$B$5,"REVIEW","OK")))</f>
        <v>OK</v>
      </c>
      <c r="P387" s="31">
        <f t="shared" si="32"/>
        <v>0</v>
      </c>
      <c r="Q387" s="32">
        <f t="shared" si="33"/>
        <v>0</v>
      </c>
      <c r="R387" s="6" t="str">
        <f>IF(ABS(P387)&lt;Overview!$B$6,"OK",IF(J387=0,"REVIEW (zero base)",IF(ABS(P387/ABS(J387))&gt;=Overview!$B$5,"REVIEW","OK")))</f>
        <v>OK</v>
      </c>
      <c r="S387" s="33">
        <f t="shared" si="34"/>
        <v>5577.000387</v>
      </c>
    </row>
    <row r="388" spans="1:19" x14ac:dyDescent="0.2">
      <c r="A388" s="17">
        <v>386</v>
      </c>
      <c r="B388" s="17" t="s">
        <v>171</v>
      </c>
      <c r="C388" s="17" t="s">
        <v>338</v>
      </c>
      <c r="D388" s="17" t="s">
        <v>70</v>
      </c>
      <c r="E388" s="17" t="s">
        <v>116</v>
      </c>
      <c r="F388" s="17" t="s">
        <v>418</v>
      </c>
      <c r="G388" s="17" t="s">
        <v>419</v>
      </c>
      <c r="H388" s="30">
        <v>1717</v>
      </c>
      <c r="I388" s="30">
        <v>198</v>
      </c>
      <c r="J388" s="30">
        <v>2500</v>
      </c>
      <c r="K388" s="30">
        <v>1000</v>
      </c>
      <c r="L388" s="30">
        <v>1007</v>
      </c>
      <c r="M388" s="31">
        <f t="shared" si="30"/>
        <v>2302</v>
      </c>
      <c r="N388" s="32">
        <f t="shared" si="31"/>
        <v>11.626262626262626</v>
      </c>
      <c r="O388" s="6" t="str">
        <f>IF(ABS(M388)&lt;Overview!$B$6,"OK",IF(I388=0,"REVIEW (zero base)",IF(ABS(M388/ABS(I388))&gt;=Overview!$B$5,"REVIEW","OK")))</f>
        <v>OK</v>
      </c>
      <c r="P388" s="31">
        <f t="shared" si="32"/>
        <v>-1500</v>
      </c>
      <c r="Q388" s="32">
        <f t="shared" si="33"/>
        <v>-0.6</v>
      </c>
      <c r="R388" s="6" t="str">
        <f>IF(ABS(P388)&lt;Overview!$B$6,"OK",IF(J388=0,"REVIEW (zero base)",IF(ABS(P388/ABS(J388))&gt;=Overview!$B$5,"REVIEW","OK")))</f>
        <v>OK</v>
      </c>
      <c r="S388" s="33">
        <f t="shared" si="34"/>
        <v>2302.0003879999999</v>
      </c>
    </row>
    <row r="389" spans="1:19" x14ac:dyDescent="0.2">
      <c r="A389" s="17">
        <v>387</v>
      </c>
      <c r="B389" s="17" t="s">
        <v>171</v>
      </c>
      <c r="C389" s="17" t="s">
        <v>338</v>
      </c>
      <c r="D389" s="17" t="s">
        <v>70</v>
      </c>
      <c r="E389" s="17" t="s">
        <v>116</v>
      </c>
      <c r="F389" s="17" t="s">
        <v>420</v>
      </c>
      <c r="G389" s="17" t="s">
        <v>421</v>
      </c>
      <c r="H389" s="30">
        <v>4538</v>
      </c>
      <c r="I389" s="30">
        <v>0</v>
      </c>
      <c r="J389" s="30">
        <v>6000</v>
      </c>
      <c r="K389" s="30">
        <v>4700</v>
      </c>
      <c r="L389" s="30">
        <v>4733</v>
      </c>
      <c r="M389" s="31">
        <f t="shared" si="30"/>
        <v>6000</v>
      </c>
      <c r="N389" s="32" t="str">
        <f t="shared" si="31"/>
        <v>n/a</v>
      </c>
      <c r="O389" s="6" t="str">
        <f>IF(ABS(M389)&lt;Overview!$B$6,"OK",IF(I389=0,"REVIEW (zero base)",IF(ABS(M389/ABS(I389))&gt;=Overview!$B$5,"REVIEW","OK")))</f>
        <v>OK</v>
      </c>
      <c r="P389" s="31">
        <f t="shared" si="32"/>
        <v>-1300</v>
      </c>
      <c r="Q389" s="32">
        <f t="shared" si="33"/>
        <v>-0.21666666666666667</v>
      </c>
      <c r="R389" s="6" t="str">
        <f>IF(ABS(P389)&lt;Overview!$B$6,"OK",IF(J389=0,"REVIEW (zero base)",IF(ABS(P389/ABS(J389))&gt;=Overview!$B$5,"REVIEW","OK")))</f>
        <v>OK</v>
      </c>
      <c r="S389" s="33">
        <f t="shared" si="34"/>
        <v>6000.0003889999998</v>
      </c>
    </row>
    <row r="390" spans="1:19" x14ac:dyDescent="0.2">
      <c r="A390" s="17">
        <v>388</v>
      </c>
      <c r="B390" s="17" t="s">
        <v>171</v>
      </c>
      <c r="C390" s="17" t="s">
        <v>338</v>
      </c>
      <c r="D390" s="17" t="s">
        <v>70</v>
      </c>
      <c r="E390" s="17" t="s">
        <v>116</v>
      </c>
      <c r="F390" s="17" t="s">
        <v>422</v>
      </c>
      <c r="G390" s="17" t="s">
        <v>423</v>
      </c>
      <c r="H390" s="30">
        <v>2321</v>
      </c>
      <c r="I390" s="30">
        <v>756</v>
      </c>
      <c r="J390" s="30">
        <v>3000</v>
      </c>
      <c r="K390" s="30">
        <v>3000</v>
      </c>
      <c r="L390" s="30">
        <v>3021</v>
      </c>
      <c r="M390" s="31">
        <f t="shared" si="30"/>
        <v>2244</v>
      </c>
      <c r="N390" s="32">
        <f t="shared" si="31"/>
        <v>2.9682539682539684</v>
      </c>
      <c r="O390" s="6" t="str">
        <f>IF(ABS(M390)&lt;Overview!$B$6,"OK",IF(I390=0,"REVIEW (zero base)",IF(ABS(M390/ABS(I390))&gt;=Overview!$B$5,"REVIEW","OK")))</f>
        <v>OK</v>
      </c>
      <c r="P390" s="31">
        <f t="shared" si="32"/>
        <v>0</v>
      </c>
      <c r="Q390" s="32">
        <f t="shared" si="33"/>
        <v>0</v>
      </c>
      <c r="R390" s="6" t="str">
        <f>IF(ABS(P390)&lt;Overview!$B$6,"OK",IF(J390=0,"REVIEW (zero base)",IF(ABS(P390/ABS(J390))&gt;=Overview!$B$5,"REVIEW","OK")))</f>
        <v>OK</v>
      </c>
      <c r="S390" s="33">
        <f t="shared" si="34"/>
        <v>2244.0003900000002</v>
      </c>
    </row>
    <row r="391" spans="1:19" x14ac:dyDescent="0.2">
      <c r="A391" s="17">
        <v>389</v>
      </c>
      <c r="B391" s="17" t="s">
        <v>171</v>
      </c>
      <c r="C391" s="17" t="s">
        <v>338</v>
      </c>
      <c r="D391" s="17" t="s">
        <v>70</v>
      </c>
      <c r="E391" s="17" t="s">
        <v>116</v>
      </c>
      <c r="F391" s="17" t="s">
        <v>347</v>
      </c>
      <c r="G391" s="17" t="s">
        <v>348</v>
      </c>
      <c r="H391" s="30">
        <v>1217</v>
      </c>
      <c r="I391" s="30">
        <v>406</v>
      </c>
      <c r="J391" s="30">
        <v>3000</v>
      </c>
      <c r="K391" s="30">
        <v>3000</v>
      </c>
      <c r="L391" s="30">
        <v>3021</v>
      </c>
      <c r="M391" s="31">
        <f t="shared" si="30"/>
        <v>2594</v>
      </c>
      <c r="N391" s="32">
        <f t="shared" si="31"/>
        <v>6.389162561576355</v>
      </c>
      <c r="O391" s="6" t="str">
        <f>IF(ABS(M391)&lt;Overview!$B$6,"OK",IF(I391=0,"REVIEW (zero base)",IF(ABS(M391/ABS(I391))&gt;=Overview!$B$5,"REVIEW","OK")))</f>
        <v>OK</v>
      </c>
      <c r="P391" s="31">
        <f t="shared" si="32"/>
        <v>0</v>
      </c>
      <c r="Q391" s="32">
        <f t="shared" si="33"/>
        <v>0</v>
      </c>
      <c r="R391" s="6" t="str">
        <f>IF(ABS(P391)&lt;Overview!$B$6,"OK",IF(J391=0,"REVIEW (zero base)",IF(ABS(P391/ABS(J391))&gt;=Overview!$B$5,"REVIEW","OK")))</f>
        <v>OK</v>
      </c>
      <c r="S391" s="33">
        <f t="shared" si="34"/>
        <v>2594.000391</v>
      </c>
    </row>
    <row r="392" spans="1:19" x14ac:dyDescent="0.2">
      <c r="A392" s="17">
        <v>390</v>
      </c>
      <c r="B392" s="17" t="s">
        <v>171</v>
      </c>
      <c r="C392" s="17" t="s">
        <v>338</v>
      </c>
      <c r="D392" s="17" t="s">
        <v>70</v>
      </c>
      <c r="E392" s="17" t="s">
        <v>116</v>
      </c>
      <c r="F392" s="17" t="s">
        <v>386</v>
      </c>
      <c r="G392" s="17" t="s">
        <v>387</v>
      </c>
      <c r="H392" s="30">
        <v>25049</v>
      </c>
      <c r="I392" s="30">
        <v>4161</v>
      </c>
      <c r="J392" s="30">
        <v>21250</v>
      </c>
      <c r="K392" s="30">
        <v>11000</v>
      </c>
      <c r="L392" s="30">
        <v>11077</v>
      </c>
      <c r="M392" s="31">
        <f t="shared" si="30"/>
        <v>17089</v>
      </c>
      <c r="N392" s="32">
        <f t="shared" si="31"/>
        <v>4.1069454458062964</v>
      </c>
      <c r="O392" s="6" t="str">
        <f>IF(ABS(M392)&lt;Overview!$B$6,"OK",IF(I392=0,"REVIEW (zero base)",IF(ABS(M392/ABS(I392))&gt;=Overview!$B$5,"REVIEW","OK")))</f>
        <v>OK</v>
      </c>
      <c r="P392" s="31">
        <f t="shared" si="32"/>
        <v>-10250</v>
      </c>
      <c r="Q392" s="32">
        <f t="shared" si="33"/>
        <v>-0.4823529411764706</v>
      </c>
      <c r="R392" s="6" t="str">
        <f>IF(ABS(P392)&lt;Overview!$B$6,"OK",IF(J392=0,"REVIEW (zero base)",IF(ABS(P392/ABS(J392))&gt;=Overview!$B$5,"REVIEW","OK")))</f>
        <v>OK</v>
      </c>
      <c r="S392" s="33">
        <f t="shared" si="34"/>
        <v>17089.000392000002</v>
      </c>
    </row>
    <row r="393" spans="1:19" x14ac:dyDescent="0.2">
      <c r="A393" s="17">
        <v>391</v>
      </c>
      <c r="B393" s="17" t="s">
        <v>171</v>
      </c>
      <c r="C393" s="17" t="s">
        <v>338</v>
      </c>
      <c r="D393" s="17" t="s">
        <v>70</v>
      </c>
      <c r="E393" s="17" t="s">
        <v>120</v>
      </c>
      <c r="F393" s="17" t="s">
        <v>339</v>
      </c>
      <c r="G393" s="17" t="s">
        <v>340</v>
      </c>
      <c r="H393" s="30">
        <v>319197</v>
      </c>
      <c r="I393" s="30">
        <v>397498</v>
      </c>
      <c r="J393" s="30">
        <v>435579</v>
      </c>
      <c r="K393" s="30">
        <v>437334</v>
      </c>
      <c r="L393" s="30">
        <v>441707</v>
      </c>
      <c r="M393" s="31">
        <f t="shared" si="30"/>
        <v>38081</v>
      </c>
      <c r="N393" s="32">
        <f t="shared" si="31"/>
        <v>9.580173988296796E-2</v>
      </c>
      <c r="O393" s="6" t="str">
        <f>IF(ABS(M393)&lt;Overview!$B$6,"OK",IF(I393=0,"REVIEW (zero base)",IF(ABS(M393/ABS(I393))&gt;=Overview!$B$5,"REVIEW","OK")))</f>
        <v>OK</v>
      </c>
      <c r="P393" s="31">
        <f t="shared" si="32"/>
        <v>1755</v>
      </c>
      <c r="Q393" s="32">
        <f t="shared" si="33"/>
        <v>4.029119861150331E-3</v>
      </c>
      <c r="R393" s="6" t="str">
        <f>IF(ABS(P393)&lt;Overview!$B$6,"OK",IF(J393=0,"REVIEW (zero base)",IF(ABS(P393/ABS(J393))&gt;=Overview!$B$5,"REVIEW","OK")))</f>
        <v>OK</v>
      </c>
      <c r="S393" s="33">
        <f t="shared" si="34"/>
        <v>38081.000393000002</v>
      </c>
    </row>
    <row r="394" spans="1:19" x14ac:dyDescent="0.2">
      <c r="A394" s="17">
        <v>392</v>
      </c>
      <c r="B394" s="17" t="s">
        <v>171</v>
      </c>
      <c r="C394" s="17" t="s">
        <v>338</v>
      </c>
      <c r="D394" s="17" t="s">
        <v>70</v>
      </c>
      <c r="E394" s="17" t="s">
        <v>120</v>
      </c>
      <c r="F394" s="17" t="s">
        <v>339</v>
      </c>
      <c r="G394" s="17" t="s">
        <v>389</v>
      </c>
      <c r="H394" s="30">
        <v>6717</v>
      </c>
      <c r="I394" s="30">
        <v>0</v>
      </c>
      <c r="J394" s="30">
        <v>0</v>
      </c>
      <c r="K394" s="30">
        <v>0</v>
      </c>
      <c r="L394" s="30">
        <v>0</v>
      </c>
      <c r="M394" s="31">
        <f t="shared" si="30"/>
        <v>0</v>
      </c>
      <c r="N394" s="32" t="str">
        <f t="shared" si="31"/>
        <v>n/a</v>
      </c>
      <c r="O394" s="6" t="str">
        <f>IF(ABS(M394)&lt;Overview!$B$6,"OK",IF(I394=0,"REVIEW (zero base)",IF(ABS(M394/ABS(I394))&gt;=Overview!$B$5,"REVIEW","OK")))</f>
        <v>OK</v>
      </c>
      <c r="P394" s="31">
        <f t="shared" si="32"/>
        <v>0</v>
      </c>
      <c r="Q394" s="32" t="str">
        <f t="shared" si="33"/>
        <v>n/a</v>
      </c>
      <c r="R394" s="6" t="str">
        <f>IF(ABS(P394)&lt;Overview!$B$6,"OK",IF(J394=0,"REVIEW (zero base)",IF(ABS(P394/ABS(J394))&gt;=Overview!$B$5,"REVIEW","OK")))</f>
        <v>OK</v>
      </c>
      <c r="S394" s="33">
        <f t="shared" si="34"/>
        <v>3.9399999999999998E-4</v>
      </c>
    </row>
    <row r="395" spans="1:19" x14ac:dyDescent="0.2">
      <c r="A395" s="17">
        <v>393</v>
      </c>
      <c r="B395" s="17" t="s">
        <v>171</v>
      </c>
      <c r="C395" s="17" t="s">
        <v>338</v>
      </c>
      <c r="D395" s="17" t="s">
        <v>70</v>
      </c>
      <c r="E395" s="17" t="s">
        <v>120</v>
      </c>
      <c r="F395" s="17" t="s">
        <v>339</v>
      </c>
      <c r="G395" s="17" t="s">
        <v>390</v>
      </c>
      <c r="H395" s="30">
        <v>6975</v>
      </c>
      <c r="I395" s="30">
        <v>48</v>
      </c>
      <c r="J395" s="30">
        <v>7000</v>
      </c>
      <c r="K395" s="30">
        <v>7000</v>
      </c>
      <c r="L395" s="30">
        <v>7000</v>
      </c>
      <c r="M395" s="31">
        <f t="shared" si="30"/>
        <v>6952</v>
      </c>
      <c r="N395" s="32">
        <f t="shared" si="31"/>
        <v>144.83333333333334</v>
      </c>
      <c r="O395" s="6" t="str">
        <f>IF(ABS(M395)&lt;Overview!$B$6,"OK",IF(I395=0,"REVIEW (zero base)",IF(ABS(M395/ABS(I395))&gt;=Overview!$B$5,"REVIEW","OK")))</f>
        <v>OK</v>
      </c>
      <c r="P395" s="31">
        <f t="shared" si="32"/>
        <v>0</v>
      </c>
      <c r="Q395" s="32">
        <f t="shared" si="33"/>
        <v>0</v>
      </c>
      <c r="R395" s="6" t="str">
        <f>IF(ABS(P395)&lt;Overview!$B$6,"OK",IF(J395=0,"REVIEW (zero base)",IF(ABS(P395/ABS(J395))&gt;=Overview!$B$5,"REVIEW","OK")))</f>
        <v>OK</v>
      </c>
      <c r="S395" s="33">
        <f t="shared" si="34"/>
        <v>6952.000395</v>
      </c>
    </row>
    <row r="396" spans="1:19" x14ac:dyDescent="0.2">
      <c r="A396" s="17">
        <v>394</v>
      </c>
      <c r="B396" s="17" t="s">
        <v>171</v>
      </c>
      <c r="C396" s="17" t="s">
        <v>338</v>
      </c>
      <c r="D396" s="17" t="s">
        <v>70</v>
      </c>
      <c r="E396" s="17" t="s">
        <v>120</v>
      </c>
      <c r="F396" s="17" t="s">
        <v>339</v>
      </c>
      <c r="G396" s="17" t="s">
        <v>391</v>
      </c>
      <c r="H396" s="30">
        <v>31070</v>
      </c>
      <c r="I396" s="30">
        <v>10924</v>
      </c>
      <c r="J396" s="30">
        <v>0</v>
      </c>
      <c r="K396" s="30">
        <v>0</v>
      </c>
      <c r="L396" s="30">
        <v>0</v>
      </c>
      <c r="M396" s="31">
        <f t="shared" si="30"/>
        <v>-10924</v>
      </c>
      <c r="N396" s="32">
        <f t="shared" si="31"/>
        <v>-1</v>
      </c>
      <c r="O396" s="6" t="str">
        <f>IF(ABS(M396)&lt;Overview!$B$6,"OK",IF(I396=0,"REVIEW (zero base)",IF(ABS(M396/ABS(I396))&gt;=Overview!$B$5,"REVIEW","OK")))</f>
        <v>OK</v>
      </c>
      <c r="P396" s="31">
        <f t="shared" si="32"/>
        <v>0</v>
      </c>
      <c r="Q396" s="32" t="str">
        <f t="shared" si="33"/>
        <v>n/a</v>
      </c>
      <c r="R396" s="6" t="str">
        <f>IF(ABS(P396)&lt;Overview!$B$6,"OK",IF(J396=0,"REVIEW (zero base)",IF(ABS(P396/ABS(J396))&gt;=Overview!$B$5,"REVIEW","OK")))</f>
        <v>OK</v>
      </c>
      <c r="S396" s="33">
        <f t="shared" si="34"/>
        <v>10924.000395999999</v>
      </c>
    </row>
    <row r="397" spans="1:19" x14ac:dyDescent="0.2">
      <c r="A397" s="17">
        <v>395</v>
      </c>
      <c r="B397" s="17" t="s">
        <v>171</v>
      </c>
      <c r="C397" s="17" t="s">
        <v>338</v>
      </c>
      <c r="D397" s="17" t="s">
        <v>70</v>
      </c>
      <c r="E397" s="17" t="s">
        <v>120</v>
      </c>
      <c r="F397" s="17" t="s">
        <v>339</v>
      </c>
      <c r="G397" s="17" t="s">
        <v>392</v>
      </c>
      <c r="H397" s="30">
        <v>25516</v>
      </c>
      <c r="I397" s="30">
        <v>13923</v>
      </c>
      <c r="J397" s="30">
        <v>0</v>
      </c>
      <c r="K397" s="30">
        <v>0</v>
      </c>
      <c r="L397" s="30">
        <v>0</v>
      </c>
      <c r="M397" s="31">
        <f t="shared" si="30"/>
        <v>-13923</v>
      </c>
      <c r="N397" s="32">
        <f t="shared" si="31"/>
        <v>-1</v>
      </c>
      <c r="O397" s="6" t="str">
        <f>IF(ABS(M397)&lt;Overview!$B$6,"OK",IF(I397=0,"REVIEW (zero base)",IF(ABS(M397/ABS(I397))&gt;=Overview!$B$5,"REVIEW","OK")))</f>
        <v>OK</v>
      </c>
      <c r="P397" s="31">
        <f t="shared" si="32"/>
        <v>0</v>
      </c>
      <c r="Q397" s="32" t="str">
        <f t="shared" si="33"/>
        <v>n/a</v>
      </c>
      <c r="R397" s="6" t="str">
        <f>IF(ABS(P397)&lt;Overview!$B$6,"OK",IF(J397=0,"REVIEW (zero base)",IF(ABS(P397/ABS(J397))&gt;=Overview!$B$5,"REVIEW","OK")))</f>
        <v>OK</v>
      </c>
      <c r="S397" s="33">
        <f t="shared" si="34"/>
        <v>13923.000397</v>
      </c>
    </row>
    <row r="398" spans="1:19" x14ac:dyDescent="0.2">
      <c r="A398" s="17">
        <v>396</v>
      </c>
      <c r="B398" s="17" t="s">
        <v>171</v>
      </c>
      <c r="C398" s="17" t="s">
        <v>338</v>
      </c>
      <c r="D398" s="17" t="s">
        <v>70</v>
      </c>
      <c r="E398" s="17" t="s">
        <v>120</v>
      </c>
      <c r="F398" s="17" t="s">
        <v>339</v>
      </c>
      <c r="G398" s="17" t="s">
        <v>394</v>
      </c>
      <c r="H398" s="30">
        <v>18417</v>
      </c>
      <c r="I398" s="30">
        <v>19469</v>
      </c>
      <c r="J398" s="30">
        <v>0</v>
      </c>
      <c r="K398" s="30">
        <v>0</v>
      </c>
      <c r="L398" s="30">
        <v>0</v>
      </c>
      <c r="M398" s="31">
        <f t="shared" si="30"/>
        <v>-19469</v>
      </c>
      <c r="N398" s="32">
        <f t="shared" si="31"/>
        <v>-1</v>
      </c>
      <c r="O398" s="6" t="str">
        <f>IF(ABS(M398)&lt;Overview!$B$6,"OK",IF(I398=0,"REVIEW (zero base)",IF(ABS(M398/ABS(I398))&gt;=Overview!$B$5,"REVIEW","OK")))</f>
        <v>OK</v>
      </c>
      <c r="P398" s="31">
        <f t="shared" si="32"/>
        <v>0</v>
      </c>
      <c r="Q398" s="32" t="str">
        <f t="shared" si="33"/>
        <v>n/a</v>
      </c>
      <c r="R398" s="6" t="str">
        <f>IF(ABS(P398)&lt;Overview!$B$6,"OK",IF(J398=0,"REVIEW (zero base)",IF(ABS(P398/ABS(J398))&gt;=Overview!$B$5,"REVIEW","OK")))</f>
        <v>OK</v>
      </c>
      <c r="S398" s="33">
        <f t="shared" si="34"/>
        <v>19469.000398</v>
      </c>
    </row>
    <row r="399" spans="1:19" x14ac:dyDescent="0.2">
      <c r="A399" s="17">
        <v>397</v>
      </c>
      <c r="B399" s="17" t="s">
        <v>171</v>
      </c>
      <c r="C399" s="17" t="s">
        <v>338</v>
      </c>
      <c r="D399" s="17" t="s">
        <v>70</v>
      </c>
      <c r="E399" s="17" t="s">
        <v>120</v>
      </c>
      <c r="F399" s="17" t="s">
        <v>339</v>
      </c>
      <c r="G399" s="17" t="s">
        <v>395</v>
      </c>
      <c r="H399" s="30">
        <v>7265</v>
      </c>
      <c r="I399" s="30">
        <v>9648</v>
      </c>
      <c r="J399" s="30">
        <v>9402</v>
      </c>
      <c r="K399" s="30">
        <v>4754</v>
      </c>
      <c r="L399" s="30">
        <v>4802</v>
      </c>
      <c r="M399" s="31">
        <f t="shared" si="30"/>
        <v>-246</v>
      </c>
      <c r="N399" s="32">
        <f t="shared" si="31"/>
        <v>-2.5497512437810944E-2</v>
      </c>
      <c r="O399" s="6" t="str">
        <f>IF(ABS(M399)&lt;Overview!$B$6,"OK",IF(I399=0,"REVIEW (zero base)",IF(ABS(M399/ABS(I399))&gt;=Overview!$B$5,"REVIEW","OK")))</f>
        <v>OK</v>
      </c>
      <c r="P399" s="31">
        <f t="shared" si="32"/>
        <v>-4648</v>
      </c>
      <c r="Q399" s="32">
        <f t="shared" si="33"/>
        <v>-0.49436290151031698</v>
      </c>
      <c r="R399" s="6" t="str">
        <f>IF(ABS(P399)&lt;Overview!$B$6,"OK",IF(J399=0,"REVIEW (zero base)",IF(ABS(P399/ABS(J399))&gt;=Overview!$B$5,"REVIEW","OK")))</f>
        <v>OK</v>
      </c>
      <c r="S399" s="33">
        <f t="shared" si="34"/>
        <v>246.00039899999999</v>
      </c>
    </row>
    <row r="400" spans="1:19" x14ac:dyDescent="0.2">
      <c r="A400" s="17">
        <v>398</v>
      </c>
      <c r="B400" s="17" t="s">
        <v>171</v>
      </c>
      <c r="C400" s="17" t="s">
        <v>338</v>
      </c>
      <c r="D400" s="17" t="s">
        <v>70</v>
      </c>
      <c r="E400" s="17" t="s">
        <v>120</v>
      </c>
      <c r="F400" s="17" t="s">
        <v>339</v>
      </c>
      <c r="G400" s="17" t="s">
        <v>424</v>
      </c>
      <c r="H400" s="30">
        <v>326</v>
      </c>
      <c r="I400" s="30">
        <v>678</v>
      </c>
      <c r="J400" s="30">
        <v>1368</v>
      </c>
      <c r="K400" s="30">
        <v>1404</v>
      </c>
      <c r="L400" s="30">
        <v>1404</v>
      </c>
      <c r="M400" s="31">
        <f t="shared" si="30"/>
        <v>690</v>
      </c>
      <c r="N400" s="32">
        <f t="shared" si="31"/>
        <v>1.0176991150442478</v>
      </c>
      <c r="O400" s="6" t="str">
        <f>IF(ABS(M400)&lt;Overview!$B$6,"OK",IF(I400=0,"REVIEW (zero base)",IF(ABS(M400/ABS(I400))&gt;=Overview!$B$5,"REVIEW","OK")))</f>
        <v>OK</v>
      </c>
      <c r="P400" s="31">
        <f t="shared" si="32"/>
        <v>36</v>
      </c>
      <c r="Q400" s="32">
        <f t="shared" si="33"/>
        <v>2.6315789473684209E-2</v>
      </c>
      <c r="R400" s="6" t="str">
        <f>IF(ABS(P400)&lt;Overview!$B$6,"OK",IF(J400=0,"REVIEW (zero base)",IF(ABS(P400/ABS(J400))&gt;=Overview!$B$5,"REVIEW","OK")))</f>
        <v>OK</v>
      </c>
      <c r="S400" s="33">
        <f t="shared" si="34"/>
        <v>690.00040000000001</v>
      </c>
    </row>
    <row r="401" spans="1:19" x14ac:dyDescent="0.2">
      <c r="A401" s="17">
        <v>399</v>
      </c>
      <c r="B401" s="17" t="s">
        <v>171</v>
      </c>
      <c r="C401" s="17" t="s">
        <v>338</v>
      </c>
      <c r="D401" s="17" t="s">
        <v>70</v>
      </c>
      <c r="E401" s="17" t="s">
        <v>120</v>
      </c>
      <c r="F401" s="17" t="s">
        <v>339</v>
      </c>
      <c r="G401" s="17" t="s">
        <v>425</v>
      </c>
      <c r="H401" s="30">
        <v>521</v>
      </c>
      <c r="I401" s="30">
        <v>1086</v>
      </c>
      <c r="J401" s="30">
        <v>1980</v>
      </c>
      <c r="K401" s="30">
        <v>2040</v>
      </c>
      <c r="L401" s="30">
        <v>2040</v>
      </c>
      <c r="M401" s="31">
        <f t="shared" si="30"/>
        <v>894</v>
      </c>
      <c r="N401" s="32">
        <f t="shared" si="31"/>
        <v>0.82320441988950277</v>
      </c>
      <c r="O401" s="6" t="str">
        <f>IF(ABS(M401)&lt;Overview!$B$6,"OK",IF(I401=0,"REVIEW (zero base)",IF(ABS(M401/ABS(I401))&gt;=Overview!$B$5,"REVIEW","OK")))</f>
        <v>OK</v>
      </c>
      <c r="P401" s="31">
        <f t="shared" si="32"/>
        <v>60</v>
      </c>
      <c r="Q401" s="32">
        <f t="shared" si="33"/>
        <v>3.0303030303030304E-2</v>
      </c>
      <c r="R401" s="6" t="str">
        <f>IF(ABS(P401)&lt;Overview!$B$6,"OK",IF(J401=0,"REVIEW (zero base)",IF(ABS(P401/ABS(J401))&gt;=Overview!$B$5,"REVIEW","OK")))</f>
        <v>OK</v>
      </c>
      <c r="S401" s="33">
        <f t="shared" si="34"/>
        <v>894.00040100000001</v>
      </c>
    </row>
    <row r="402" spans="1:19" x14ac:dyDescent="0.2">
      <c r="A402" s="17">
        <v>400</v>
      </c>
      <c r="B402" s="17" t="s">
        <v>171</v>
      </c>
      <c r="C402" s="17" t="s">
        <v>338</v>
      </c>
      <c r="D402" s="17" t="s">
        <v>70</v>
      </c>
      <c r="E402" s="17" t="s">
        <v>120</v>
      </c>
      <c r="F402" s="17" t="s">
        <v>341</v>
      </c>
      <c r="G402" s="17" t="s">
        <v>342</v>
      </c>
      <c r="H402" s="30">
        <v>5352</v>
      </c>
      <c r="I402" s="30">
        <v>5892</v>
      </c>
      <c r="J402" s="30">
        <v>7584</v>
      </c>
      <c r="K402" s="30">
        <v>7584</v>
      </c>
      <c r="L402" s="30">
        <v>7584</v>
      </c>
      <c r="M402" s="31">
        <f t="shared" si="30"/>
        <v>1692</v>
      </c>
      <c r="N402" s="32">
        <f t="shared" si="31"/>
        <v>0.28716904276985744</v>
      </c>
      <c r="O402" s="6" t="str">
        <f>IF(ABS(M402)&lt;Overview!$B$6,"OK",IF(I402=0,"REVIEW (zero base)",IF(ABS(M402/ABS(I402))&gt;=Overview!$B$5,"REVIEW","OK")))</f>
        <v>OK</v>
      </c>
      <c r="P402" s="31">
        <f t="shared" si="32"/>
        <v>0</v>
      </c>
      <c r="Q402" s="32">
        <f t="shared" si="33"/>
        <v>0</v>
      </c>
      <c r="R402" s="6" t="str">
        <f>IF(ABS(P402)&lt;Overview!$B$6,"OK",IF(J402=0,"REVIEW (zero base)",IF(ABS(P402/ABS(J402))&gt;=Overview!$B$5,"REVIEW","OK")))</f>
        <v>OK</v>
      </c>
      <c r="S402" s="33">
        <f t="shared" si="34"/>
        <v>1692.0004019999999</v>
      </c>
    </row>
    <row r="403" spans="1:19" x14ac:dyDescent="0.2">
      <c r="A403" s="17">
        <v>401</v>
      </c>
      <c r="B403" s="17" t="s">
        <v>171</v>
      </c>
      <c r="C403" s="17" t="s">
        <v>338</v>
      </c>
      <c r="D403" s="17" t="s">
        <v>70</v>
      </c>
      <c r="E403" s="17" t="s">
        <v>120</v>
      </c>
      <c r="F403" s="17" t="s">
        <v>341</v>
      </c>
      <c r="G403" s="17" t="s">
        <v>406</v>
      </c>
      <c r="H403" s="30">
        <v>0</v>
      </c>
      <c r="I403" s="30">
        <v>1000</v>
      </c>
      <c r="J403" s="30">
        <v>0</v>
      </c>
      <c r="K403" s="30">
        <v>0</v>
      </c>
      <c r="L403" s="30">
        <v>0</v>
      </c>
      <c r="M403" s="31">
        <f t="shared" si="30"/>
        <v>-1000</v>
      </c>
      <c r="N403" s="32">
        <f t="shared" si="31"/>
        <v>-1</v>
      </c>
      <c r="O403" s="6" t="str">
        <f>IF(ABS(M403)&lt;Overview!$B$6,"OK",IF(I403=0,"REVIEW (zero base)",IF(ABS(M403/ABS(I403))&gt;=Overview!$B$5,"REVIEW","OK")))</f>
        <v>OK</v>
      </c>
      <c r="P403" s="31">
        <f t="shared" si="32"/>
        <v>0</v>
      </c>
      <c r="Q403" s="32" t="str">
        <f t="shared" si="33"/>
        <v>n/a</v>
      </c>
      <c r="R403" s="6" t="str">
        <f>IF(ABS(P403)&lt;Overview!$B$6,"OK",IF(J403=0,"REVIEW (zero base)",IF(ABS(P403/ABS(J403))&gt;=Overview!$B$5,"REVIEW","OK")))</f>
        <v>OK</v>
      </c>
      <c r="S403" s="33">
        <f t="shared" si="34"/>
        <v>1000.000403</v>
      </c>
    </row>
    <row r="404" spans="1:19" x14ac:dyDescent="0.2">
      <c r="A404" s="17">
        <v>402</v>
      </c>
      <c r="B404" s="17" t="s">
        <v>171</v>
      </c>
      <c r="C404" s="17" t="s">
        <v>338</v>
      </c>
      <c r="D404" s="17" t="s">
        <v>70</v>
      </c>
      <c r="E404" s="17" t="s">
        <v>120</v>
      </c>
      <c r="F404" s="17" t="s">
        <v>341</v>
      </c>
      <c r="G404" s="17" t="s">
        <v>375</v>
      </c>
      <c r="H404" s="30">
        <v>15096</v>
      </c>
      <c r="I404" s="30">
        <v>19628</v>
      </c>
      <c r="J404" s="30">
        <v>22750</v>
      </c>
      <c r="K404" s="30">
        <v>22750</v>
      </c>
      <c r="L404" s="30">
        <v>22750</v>
      </c>
      <c r="M404" s="31">
        <f t="shared" si="30"/>
        <v>3122</v>
      </c>
      <c r="N404" s="32">
        <f t="shared" si="31"/>
        <v>0.15905848787446505</v>
      </c>
      <c r="O404" s="6" t="str">
        <f>IF(ABS(M404)&lt;Overview!$B$6,"OK",IF(I404=0,"REVIEW (zero base)",IF(ABS(M404/ABS(I404))&gt;=Overview!$B$5,"REVIEW","OK")))</f>
        <v>OK</v>
      </c>
      <c r="P404" s="31">
        <f t="shared" si="32"/>
        <v>0</v>
      </c>
      <c r="Q404" s="32">
        <f t="shared" si="33"/>
        <v>0</v>
      </c>
      <c r="R404" s="6" t="str">
        <f>IF(ABS(P404)&lt;Overview!$B$6,"OK",IF(J404=0,"REVIEW (zero base)",IF(ABS(P404/ABS(J404))&gt;=Overview!$B$5,"REVIEW","OK")))</f>
        <v>OK</v>
      </c>
      <c r="S404" s="33">
        <f t="shared" si="34"/>
        <v>3122.0004039999999</v>
      </c>
    </row>
    <row r="405" spans="1:19" x14ac:dyDescent="0.2">
      <c r="A405" s="17">
        <v>403</v>
      </c>
      <c r="B405" s="17" t="s">
        <v>171</v>
      </c>
      <c r="C405" s="17" t="s">
        <v>338</v>
      </c>
      <c r="D405" s="17" t="s">
        <v>70</v>
      </c>
      <c r="E405" s="17" t="s">
        <v>120</v>
      </c>
      <c r="F405" s="17" t="s">
        <v>341</v>
      </c>
      <c r="G405" s="17" t="s">
        <v>376</v>
      </c>
      <c r="H405" s="30">
        <v>85055</v>
      </c>
      <c r="I405" s="30">
        <v>102314</v>
      </c>
      <c r="J405" s="30">
        <v>128458</v>
      </c>
      <c r="K405" s="30">
        <v>106608</v>
      </c>
      <c r="L405" s="30">
        <v>112184</v>
      </c>
      <c r="M405" s="31">
        <f t="shared" si="30"/>
        <v>26144</v>
      </c>
      <c r="N405" s="32">
        <f t="shared" si="31"/>
        <v>0.25552710284027602</v>
      </c>
      <c r="O405" s="6" t="str">
        <f>IF(ABS(M405)&lt;Overview!$B$6,"OK",IF(I405=0,"REVIEW (zero base)",IF(ABS(M405/ABS(I405))&gt;=Overview!$B$5,"REVIEW","OK")))</f>
        <v>OK</v>
      </c>
      <c r="P405" s="31">
        <f t="shared" si="32"/>
        <v>-21850</v>
      </c>
      <c r="Q405" s="32">
        <f t="shared" si="33"/>
        <v>-0.17009450559716016</v>
      </c>
      <c r="R405" s="6" t="str">
        <f>IF(ABS(P405)&lt;Overview!$B$6,"OK",IF(J405=0,"REVIEW (zero base)",IF(ABS(P405/ABS(J405))&gt;=Overview!$B$5,"REVIEW","OK")))</f>
        <v>OK</v>
      </c>
      <c r="S405" s="33">
        <f t="shared" si="34"/>
        <v>26144.000404999999</v>
      </c>
    </row>
    <row r="406" spans="1:19" x14ac:dyDescent="0.2">
      <c r="A406" s="17">
        <v>404</v>
      </c>
      <c r="B406" s="17" t="s">
        <v>171</v>
      </c>
      <c r="C406" s="17" t="s">
        <v>338</v>
      </c>
      <c r="D406" s="17" t="s">
        <v>70</v>
      </c>
      <c r="E406" s="17" t="s">
        <v>120</v>
      </c>
      <c r="F406" s="17" t="s">
        <v>341</v>
      </c>
      <c r="G406" s="17" t="s">
        <v>343</v>
      </c>
      <c r="H406" s="30">
        <v>30852</v>
      </c>
      <c r="I406" s="30">
        <v>33580</v>
      </c>
      <c r="J406" s="30">
        <v>39212</v>
      </c>
      <c r="K406" s="30">
        <v>35764</v>
      </c>
      <c r="L406" s="30">
        <v>36122</v>
      </c>
      <c r="M406" s="31">
        <f t="shared" si="30"/>
        <v>5632</v>
      </c>
      <c r="N406" s="32">
        <f t="shared" si="31"/>
        <v>0.16771888028588444</v>
      </c>
      <c r="O406" s="6" t="str">
        <f>IF(ABS(M406)&lt;Overview!$B$6,"OK",IF(I406=0,"REVIEW (zero base)",IF(ABS(M406/ABS(I406))&gt;=Overview!$B$5,"REVIEW","OK")))</f>
        <v>OK</v>
      </c>
      <c r="P406" s="31">
        <f t="shared" si="32"/>
        <v>-3448</v>
      </c>
      <c r="Q406" s="32">
        <f t="shared" si="33"/>
        <v>-8.7932265632969506E-2</v>
      </c>
      <c r="R406" s="6" t="str">
        <f>IF(ABS(P406)&lt;Overview!$B$6,"OK",IF(J406=0,"REVIEW (zero base)",IF(ABS(P406/ABS(J406))&gt;=Overview!$B$5,"REVIEW","OK")))</f>
        <v>OK</v>
      </c>
      <c r="S406" s="33">
        <f t="shared" si="34"/>
        <v>5632.0004060000001</v>
      </c>
    </row>
    <row r="407" spans="1:19" x14ac:dyDescent="0.2">
      <c r="A407" s="17">
        <v>405</v>
      </c>
      <c r="B407" s="17" t="s">
        <v>171</v>
      </c>
      <c r="C407" s="17" t="s">
        <v>338</v>
      </c>
      <c r="D407" s="17" t="s">
        <v>70</v>
      </c>
      <c r="E407" s="17" t="s">
        <v>120</v>
      </c>
      <c r="F407" s="17" t="s">
        <v>341</v>
      </c>
      <c r="G407" s="17" t="s">
        <v>396</v>
      </c>
      <c r="H407" s="30">
        <v>2259</v>
      </c>
      <c r="I407" s="30">
        <v>0</v>
      </c>
      <c r="J407" s="30">
        <v>0</v>
      </c>
      <c r="K407" s="30">
        <v>0</v>
      </c>
      <c r="L407" s="30">
        <v>0</v>
      </c>
      <c r="M407" s="31">
        <f t="shared" si="30"/>
        <v>0</v>
      </c>
      <c r="N407" s="32" t="str">
        <f t="shared" si="31"/>
        <v>n/a</v>
      </c>
      <c r="O407" s="6" t="str">
        <f>IF(ABS(M407)&lt;Overview!$B$6,"OK",IF(I407=0,"REVIEW (zero base)",IF(ABS(M407/ABS(I407))&gt;=Overview!$B$5,"REVIEW","OK")))</f>
        <v>OK</v>
      </c>
      <c r="P407" s="31">
        <f t="shared" si="32"/>
        <v>0</v>
      </c>
      <c r="Q407" s="32" t="str">
        <f t="shared" si="33"/>
        <v>n/a</v>
      </c>
      <c r="R407" s="6" t="str">
        <f>IF(ABS(P407)&lt;Overview!$B$6,"OK",IF(J407=0,"REVIEW (zero base)",IF(ABS(P407/ABS(J407))&gt;=Overview!$B$5,"REVIEW","OK")))</f>
        <v>OK</v>
      </c>
      <c r="S407" s="33">
        <f t="shared" si="34"/>
        <v>4.0700000000000003E-4</v>
      </c>
    </row>
    <row r="408" spans="1:19" x14ac:dyDescent="0.2">
      <c r="A408" s="17">
        <v>406</v>
      </c>
      <c r="B408" s="17" t="s">
        <v>171</v>
      </c>
      <c r="C408" s="17" t="s">
        <v>338</v>
      </c>
      <c r="D408" s="17" t="s">
        <v>70</v>
      </c>
      <c r="E408" s="17" t="s">
        <v>120</v>
      </c>
      <c r="F408" s="17" t="s">
        <v>341</v>
      </c>
      <c r="G408" s="17" t="s">
        <v>378</v>
      </c>
      <c r="H408" s="30">
        <v>12429</v>
      </c>
      <c r="I408" s="30">
        <v>14814</v>
      </c>
      <c r="J408" s="30">
        <v>17200</v>
      </c>
      <c r="K408" s="30">
        <v>18200</v>
      </c>
      <c r="L408" s="30">
        <v>19006</v>
      </c>
      <c r="M408" s="31">
        <f t="shared" si="30"/>
        <v>2386</v>
      </c>
      <c r="N408" s="32">
        <f t="shared" si="31"/>
        <v>0.16106385851221816</v>
      </c>
      <c r="O408" s="6" t="str">
        <f>IF(ABS(M408)&lt;Overview!$B$6,"OK",IF(I408=0,"REVIEW (zero base)",IF(ABS(M408/ABS(I408))&gt;=Overview!$B$5,"REVIEW","OK")))</f>
        <v>OK</v>
      </c>
      <c r="P408" s="31">
        <f t="shared" si="32"/>
        <v>1000</v>
      </c>
      <c r="Q408" s="32">
        <f t="shared" si="33"/>
        <v>5.8139534883720929E-2</v>
      </c>
      <c r="R408" s="6" t="str">
        <f>IF(ABS(P408)&lt;Overview!$B$6,"OK",IF(J408=0,"REVIEW (zero base)",IF(ABS(P408/ABS(J408))&gt;=Overview!$B$5,"REVIEW","OK")))</f>
        <v>OK</v>
      </c>
      <c r="S408" s="33">
        <f t="shared" si="34"/>
        <v>2386.0004079999999</v>
      </c>
    </row>
    <row r="409" spans="1:19" x14ac:dyDescent="0.2">
      <c r="A409" s="17">
        <v>407</v>
      </c>
      <c r="B409" s="17" t="s">
        <v>171</v>
      </c>
      <c r="C409" s="17" t="s">
        <v>338</v>
      </c>
      <c r="D409" s="17" t="s">
        <v>70</v>
      </c>
      <c r="E409" s="17" t="s">
        <v>120</v>
      </c>
      <c r="F409" s="17" t="s">
        <v>341</v>
      </c>
      <c r="G409" s="17" t="s">
        <v>344</v>
      </c>
      <c r="H409" s="30">
        <v>79869</v>
      </c>
      <c r="I409" s="30">
        <v>74643</v>
      </c>
      <c r="J409" s="30">
        <v>93611</v>
      </c>
      <c r="K409" s="30">
        <v>109788</v>
      </c>
      <c r="L409" s="30">
        <v>111984</v>
      </c>
      <c r="M409" s="31">
        <f t="shared" si="30"/>
        <v>18968</v>
      </c>
      <c r="N409" s="32">
        <f t="shared" si="31"/>
        <v>0.25411626006457405</v>
      </c>
      <c r="O409" s="6" t="str">
        <f>IF(ABS(M409)&lt;Overview!$B$6,"OK",IF(I409=0,"REVIEW (zero base)",IF(ABS(M409/ABS(I409))&gt;=Overview!$B$5,"REVIEW","OK")))</f>
        <v>OK</v>
      </c>
      <c r="P409" s="31">
        <f t="shared" si="32"/>
        <v>16177</v>
      </c>
      <c r="Q409" s="32">
        <f t="shared" si="33"/>
        <v>0.17281088760936214</v>
      </c>
      <c r="R409" s="6" t="str">
        <f>IF(ABS(P409)&lt;Overview!$B$6,"OK",IF(J409=0,"REVIEW (zero base)",IF(ABS(P409/ABS(J409))&gt;=Overview!$B$5,"REVIEW","OK")))</f>
        <v>OK</v>
      </c>
      <c r="S409" s="33">
        <f t="shared" si="34"/>
        <v>18968.000409</v>
      </c>
    </row>
    <row r="410" spans="1:19" x14ac:dyDescent="0.2">
      <c r="A410" s="17">
        <v>408</v>
      </c>
      <c r="B410" s="17" t="s">
        <v>171</v>
      </c>
      <c r="C410" s="17" t="s">
        <v>338</v>
      </c>
      <c r="D410" s="17" t="s">
        <v>70</v>
      </c>
      <c r="E410" s="17" t="s">
        <v>120</v>
      </c>
      <c r="F410" s="17" t="s">
        <v>364</v>
      </c>
      <c r="G410" s="17" t="s">
        <v>379</v>
      </c>
      <c r="H410" s="30">
        <v>32281</v>
      </c>
      <c r="I410" s="30">
        <v>25609</v>
      </c>
      <c r="J410" s="30">
        <v>43000</v>
      </c>
      <c r="K410" s="30">
        <v>30000</v>
      </c>
      <c r="L410" s="30">
        <v>30210</v>
      </c>
      <c r="M410" s="31">
        <f t="shared" si="30"/>
        <v>17391</v>
      </c>
      <c r="N410" s="32">
        <f t="shared" si="31"/>
        <v>0.67909719239329924</v>
      </c>
      <c r="O410" s="6" t="str">
        <f>IF(ABS(M410)&lt;Overview!$B$6,"OK",IF(I410=0,"REVIEW (zero base)",IF(ABS(M410/ABS(I410))&gt;=Overview!$B$5,"REVIEW","OK")))</f>
        <v>OK</v>
      </c>
      <c r="P410" s="31">
        <f t="shared" si="32"/>
        <v>-13000</v>
      </c>
      <c r="Q410" s="32">
        <f t="shared" si="33"/>
        <v>-0.30232558139534882</v>
      </c>
      <c r="R410" s="6" t="str">
        <f>IF(ABS(P410)&lt;Overview!$B$6,"OK",IF(J410=0,"REVIEW (zero base)",IF(ABS(P410/ABS(J410))&gt;=Overview!$B$5,"REVIEW","OK")))</f>
        <v>OK</v>
      </c>
      <c r="S410" s="33">
        <f t="shared" si="34"/>
        <v>17391.000410000001</v>
      </c>
    </row>
    <row r="411" spans="1:19" x14ac:dyDescent="0.2">
      <c r="A411" s="17">
        <v>409</v>
      </c>
      <c r="B411" s="17" t="s">
        <v>171</v>
      </c>
      <c r="C411" s="17" t="s">
        <v>338</v>
      </c>
      <c r="D411" s="17" t="s">
        <v>70</v>
      </c>
      <c r="E411" s="17" t="s">
        <v>120</v>
      </c>
      <c r="F411" s="17" t="s">
        <v>364</v>
      </c>
      <c r="G411" s="17" t="s">
        <v>383</v>
      </c>
      <c r="H411" s="30">
        <v>2490</v>
      </c>
      <c r="I411" s="30">
        <v>1987</v>
      </c>
      <c r="J411" s="30">
        <v>2500</v>
      </c>
      <c r="K411" s="30">
        <v>2550</v>
      </c>
      <c r="L411" s="30">
        <v>2550</v>
      </c>
      <c r="M411" s="31">
        <f t="shared" si="30"/>
        <v>513</v>
      </c>
      <c r="N411" s="32">
        <f t="shared" si="31"/>
        <v>0.25817815802717664</v>
      </c>
      <c r="O411" s="6" t="str">
        <f>IF(ABS(M411)&lt;Overview!$B$6,"OK",IF(I411=0,"REVIEW (zero base)",IF(ABS(M411/ABS(I411))&gt;=Overview!$B$5,"REVIEW","OK")))</f>
        <v>OK</v>
      </c>
      <c r="P411" s="31">
        <f t="shared" si="32"/>
        <v>50</v>
      </c>
      <c r="Q411" s="32">
        <f t="shared" si="33"/>
        <v>0.02</v>
      </c>
      <c r="R411" s="6" t="str">
        <f>IF(ABS(P411)&lt;Overview!$B$6,"OK",IF(J411=0,"REVIEW (zero base)",IF(ABS(P411/ABS(J411))&gt;=Overview!$B$5,"REVIEW","OK")))</f>
        <v>OK</v>
      </c>
      <c r="S411" s="33">
        <f t="shared" si="34"/>
        <v>513.00041099999999</v>
      </c>
    </row>
    <row r="412" spans="1:19" x14ac:dyDescent="0.2">
      <c r="A412" s="17">
        <v>410</v>
      </c>
      <c r="B412" s="17" t="s">
        <v>171</v>
      </c>
      <c r="C412" s="17" t="s">
        <v>338</v>
      </c>
      <c r="D412" s="17" t="s">
        <v>70</v>
      </c>
      <c r="E412" s="17" t="s">
        <v>120</v>
      </c>
      <c r="F412" s="17" t="s">
        <v>364</v>
      </c>
      <c r="G412" s="17" t="s">
        <v>397</v>
      </c>
      <c r="H412" s="30">
        <v>39622</v>
      </c>
      <c r="I412" s="30">
        <v>40618</v>
      </c>
      <c r="J412" s="30">
        <v>45000</v>
      </c>
      <c r="K412" s="30">
        <v>39000</v>
      </c>
      <c r="L412" s="30">
        <v>39273</v>
      </c>
      <c r="M412" s="31">
        <f t="shared" si="30"/>
        <v>4382</v>
      </c>
      <c r="N412" s="32">
        <f t="shared" si="31"/>
        <v>0.10788320449061992</v>
      </c>
      <c r="O412" s="6" t="str">
        <f>IF(ABS(M412)&lt;Overview!$B$6,"OK",IF(I412=0,"REVIEW (zero base)",IF(ABS(M412/ABS(I412))&gt;=Overview!$B$5,"REVIEW","OK")))</f>
        <v>OK</v>
      </c>
      <c r="P412" s="31">
        <f t="shared" si="32"/>
        <v>-6000</v>
      </c>
      <c r="Q412" s="32">
        <f t="shared" si="33"/>
        <v>-0.13333333333333333</v>
      </c>
      <c r="R412" s="6" t="str">
        <f>IF(ABS(P412)&lt;Overview!$B$6,"OK",IF(J412=0,"REVIEW (zero base)",IF(ABS(P412/ABS(J412))&gt;=Overview!$B$5,"REVIEW","OK")))</f>
        <v>OK</v>
      </c>
      <c r="S412" s="33">
        <f t="shared" si="34"/>
        <v>4382.0004120000003</v>
      </c>
    </row>
    <row r="413" spans="1:19" x14ac:dyDescent="0.2">
      <c r="A413" s="17">
        <v>411</v>
      </c>
      <c r="B413" s="17" t="s">
        <v>171</v>
      </c>
      <c r="C413" s="17" t="s">
        <v>338</v>
      </c>
      <c r="D413" s="17" t="s">
        <v>70</v>
      </c>
      <c r="E413" s="17" t="s">
        <v>120</v>
      </c>
      <c r="F413" s="17" t="s">
        <v>364</v>
      </c>
      <c r="G413" s="17" t="s">
        <v>399</v>
      </c>
      <c r="H413" s="30">
        <v>761</v>
      </c>
      <c r="I413" s="30">
        <v>378</v>
      </c>
      <c r="J413" s="30">
        <v>2000</v>
      </c>
      <c r="K413" s="30">
        <v>1500</v>
      </c>
      <c r="L413" s="30">
        <v>1511</v>
      </c>
      <c r="M413" s="31">
        <f t="shared" si="30"/>
        <v>1622</v>
      </c>
      <c r="N413" s="32">
        <f t="shared" si="31"/>
        <v>4.2910052910052912</v>
      </c>
      <c r="O413" s="6" t="str">
        <f>IF(ABS(M413)&lt;Overview!$B$6,"OK",IF(I413=0,"REVIEW (zero base)",IF(ABS(M413/ABS(I413))&gt;=Overview!$B$5,"REVIEW","OK")))</f>
        <v>OK</v>
      </c>
      <c r="P413" s="31">
        <f t="shared" si="32"/>
        <v>-500</v>
      </c>
      <c r="Q413" s="32">
        <f t="shared" si="33"/>
        <v>-0.25</v>
      </c>
      <c r="R413" s="6" t="str">
        <f>IF(ABS(P413)&lt;Overview!$B$6,"OK",IF(J413=0,"REVIEW (zero base)",IF(ABS(P413/ABS(J413))&gt;=Overview!$B$5,"REVIEW","OK")))</f>
        <v>OK</v>
      </c>
      <c r="S413" s="33">
        <f t="shared" si="34"/>
        <v>1622.000413</v>
      </c>
    </row>
    <row r="414" spans="1:19" x14ac:dyDescent="0.2">
      <c r="A414" s="17">
        <v>412</v>
      </c>
      <c r="B414" s="17" t="s">
        <v>171</v>
      </c>
      <c r="C414" s="17" t="s">
        <v>338</v>
      </c>
      <c r="D414" s="17" t="s">
        <v>70</v>
      </c>
      <c r="E414" s="17" t="s">
        <v>120</v>
      </c>
      <c r="F414" s="17" t="s">
        <v>404</v>
      </c>
      <c r="G414" s="17" t="s">
        <v>405</v>
      </c>
      <c r="H414" s="30">
        <v>436</v>
      </c>
      <c r="I414" s="30">
        <v>613</v>
      </c>
      <c r="J414" s="30">
        <v>750</v>
      </c>
      <c r="K414" s="30">
        <v>750</v>
      </c>
      <c r="L414" s="30">
        <v>755</v>
      </c>
      <c r="M414" s="31">
        <f t="shared" si="30"/>
        <v>137</v>
      </c>
      <c r="N414" s="32">
        <f t="shared" si="31"/>
        <v>0.22349102773246329</v>
      </c>
      <c r="O414" s="6" t="str">
        <f>IF(ABS(M414)&lt;Overview!$B$6,"OK",IF(I414=0,"REVIEW (zero base)",IF(ABS(M414/ABS(I414))&gt;=Overview!$B$5,"REVIEW","OK")))</f>
        <v>OK</v>
      </c>
      <c r="P414" s="31">
        <f t="shared" si="32"/>
        <v>0</v>
      </c>
      <c r="Q414" s="32">
        <f t="shared" si="33"/>
        <v>0</v>
      </c>
      <c r="R414" s="6" t="str">
        <f>IF(ABS(P414)&lt;Overview!$B$6,"OK",IF(J414=0,"REVIEW (zero base)",IF(ABS(P414/ABS(J414))&gt;=Overview!$B$5,"REVIEW","OK")))</f>
        <v>OK</v>
      </c>
      <c r="S414" s="33">
        <f t="shared" si="34"/>
        <v>137.00041400000001</v>
      </c>
    </row>
    <row r="415" spans="1:19" x14ac:dyDescent="0.2">
      <c r="A415" s="17">
        <v>413</v>
      </c>
      <c r="B415" s="17" t="s">
        <v>171</v>
      </c>
      <c r="C415" s="17" t="s">
        <v>338</v>
      </c>
      <c r="D415" s="17" t="s">
        <v>70</v>
      </c>
      <c r="E415" s="17" t="s">
        <v>120</v>
      </c>
      <c r="F415" s="17" t="s">
        <v>384</v>
      </c>
      <c r="G415" s="17" t="s">
        <v>426</v>
      </c>
      <c r="H415" s="30">
        <v>50450</v>
      </c>
      <c r="I415" s="30">
        <v>37200</v>
      </c>
      <c r="J415" s="30">
        <v>39000</v>
      </c>
      <c r="K415" s="30">
        <v>30000</v>
      </c>
      <c r="L415" s="30">
        <v>30000</v>
      </c>
      <c r="M415" s="31">
        <f t="shared" si="30"/>
        <v>1800</v>
      </c>
      <c r="N415" s="32">
        <f t="shared" si="31"/>
        <v>4.8387096774193547E-2</v>
      </c>
      <c r="O415" s="6" t="str">
        <f>IF(ABS(M415)&lt;Overview!$B$6,"OK",IF(I415=0,"REVIEW (zero base)",IF(ABS(M415/ABS(I415))&gt;=Overview!$B$5,"REVIEW","OK")))</f>
        <v>OK</v>
      </c>
      <c r="P415" s="31">
        <f t="shared" si="32"/>
        <v>-9000</v>
      </c>
      <c r="Q415" s="32">
        <f t="shared" si="33"/>
        <v>-0.23076923076923078</v>
      </c>
      <c r="R415" s="6" t="str">
        <f>IF(ABS(P415)&lt;Overview!$B$6,"OK",IF(J415=0,"REVIEW (zero base)",IF(ABS(P415/ABS(J415))&gt;=Overview!$B$5,"REVIEW","OK")))</f>
        <v>OK</v>
      </c>
      <c r="S415" s="33">
        <f t="shared" si="34"/>
        <v>1800.000415</v>
      </c>
    </row>
    <row r="416" spans="1:19" x14ac:dyDescent="0.2">
      <c r="A416" s="17">
        <v>414</v>
      </c>
      <c r="B416" s="17" t="s">
        <v>171</v>
      </c>
      <c r="C416" s="17" t="s">
        <v>338</v>
      </c>
      <c r="D416" s="17" t="s">
        <v>70</v>
      </c>
      <c r="E416" s="17" t="s">
        <v>120</v>
      </c>
      <c r="F416" s="17" t="s">
        <v>347</v>
      </c>
      <c r="G416" s="17" t="s">
        <v>348</v>
      </c>
      <c r="H416" s="30">
        <v>411</v>
      </c>
      <c r="I416" s="30">
        <v>0</v>
      </c>
      <c r="J416" s="30">
        <v>500</v>
      </c>
      <c r="K416" s="30">
        <v>900</v>
      </c>
      <c r="L416" s="30">
        <v>906</v>
      </c>
      <c r="M416" s="31">
        <f t="shared" si="30"/>
        <v>500</v>
      </c>
      <c r="N416" s="32" t="str">
        <f t="shared" si="31"/>
        <v>n/a</v>
      </c>
      <c r="O416" s="6" t="str">
        <f>IF(ABS(M416)&lt;Overview!$B$6,"OK",IF(I416=0,"REVIEW (zero base)",IF(ABS(M416/ABS(I416))&gt;=Overview!$B$5,"REVIEW","OK")))</f>
        <v>OK</v>
      </c>
      <c r="P416" s="31">
        <f t="shared" si="32"/>
        <v>400</v>
      </c>
      <c r="Q416" s="32">
        <f t="shared" si="33"/>
        <v>0.8</v>
      </c>
      <c r="R416" s="6" t="str">
        <f>IF(ABS(P416)&lt;Overview!$B$6,"OK",IF(J416=0,"REVIEW (zero base)",IF(ABS(P416/ABS(J416))&gt;=Overview!$B$5,"REVIEW","OK")))</f>
        <v>OK</v>
      </c>
      <c r="S416" s="33">
        <f t="shared" si="34"/>
        <v>500.00041599999997</v>
      </c>
    </row>
    <row r="417" spans="1:19" x14ac:dyDescent="0.2">
      <c r="A417" s="17">
        <v>415</v>
      </c>
      <c r="B417" s="17" t="s">
        <v>171</v>
      </c>
      <c r="C417" s="17" t="s">
        <v>338</v>
      </c>
      <c r="D417" s="17" t="s">
        <v>70</v>
      </c>
      <c r="E417" s="17" t="s">
        <v>120</v>
      </c>
      <c r="F417" s="17" t="s">
        <v>386</v>
      </c>
      <c r="G417" s="17" t="s">
        <v>413</v>
      </c>
      <c r="H417" s="30">
        <v>0</v>
      </c>
      <c r="I417" s="30">
        <v>0</v>
      </c>
      <c r="J417" s="30">
        <v>0</v>
      </c>
      <c r="K417" s="30">
        <v>1800</v>
      </c>
      <c r="L417" s="30">
        <v>1813</v>
      </c>
      <c r="M417" s="31">
        <f t="shared" si="30"/>
        <v>0</v>
      </c>
      <c r="N417" s="32" t="str">
        <f t="shared" si="31"/>
        <v>n/a</v>
      </c>
      <c r="O417" s="6" t="str">
        <f>IF(ABS(M417)&lt;Overview!$B$6,"OK",IF(I417=0,"REVIEW (zero base)",IF(ABS(M417/ABS(I417))&gt;=Overview!$B$5,"REVIEW","OK")))</f>
        <v>OK</v>
      </c>
      <c r="P417" s="31">
        <f t="shared" si="32"/>
        <v>1800</v>
      </c>
      <c r="Q417" s="32" t="str">
        <f t="shared" si="33"/>
        <v>n/a</v>
      </c>
      <c r="R417" s="6" t="str">
        <f>IF(ABS(P417)&lt;Overview!$B$6,"OK",IF(J417=0,"REVIEW (zero base)",IF(ABS(P417/ABS(J417))&gt;=Overview!$B$5,"REVIEW","OK")))</f>
        <v>OK</v>
      </c>
      <c r="S417" s="33">
        <f t="shared" si="34"/>
        <v>4.17E-4</v>
      </c>
    </row>
    <row r="418" spans="1:19" x14ac:dyDescent="0.2">
      <c r="A418" s="17">
        <v>416</v>
      </c>
      <c r="B418" s="17" t="s">
        <v>171</v>
      </c>
      <c r="C418" s="17" t="s">
        <v>338</v>
      </c>
      <c r="D418" s="17" t="s">
        <v>70</v>
      </c>
      <c r="E418" s="17" t="s">
        <v>120</v>
      </c>
      <c r="F418" s="17" t="s">
        <v>386</v>
      </c>
      <c r="G418" s="17" t="s">
        <v>387</v>
      </c>
      <c r="H418" s="30">
        <v>1197</v>
      </c>
      <c r="I418" s="30">
        <v>1280</v>
      </c>
      <c r="J418" s="30">
        <v>1400</v>
      </c>
      <c r="K418" s="30">
        <v>0</v>
      </c>
      <c r="L418" s="30">
        <v>0</v>
      </c>
      <c r="M418" s="31">
        <f t="shared" si="30"/>
        <v>120</v>
      </c>
      <c r="N418" s="32">
        <f t="shared" si="31"/>
        <v>9.375E-2</v>
      </c>
      <c r="O418" s="6" t="str">
        <f>IF(ABS(M418)&lt;Overview!$B$6,"OK",IF(I418=0,"REVIEW (zero base)",IF(ABS(M418/ABS(I418))&gt;=Overview!$B$5,"REVIEW","OK")))</f>
        <v>OK</v>
      </c>
      <c r="P418" s="31">
        <f t="shared" si="32"/>
        <v>-1400</v>
      </c>
      <c r="Q418" s="32">
        <f t="shared" si="33"/>
        <v>-1</v>
      </c>
      <c r="R418" s="6" t="str">
        <f>IF(ABS(P418)&lt;Overview!$B$6,"OK",IF(J418=0,"REVIEW (zero base)",IF(ABS(P418/ABS(J418))&gt;=Overview!$B$5,"REVIEW","OK")))</f>
        <v>OK</v>
      </c>
      <c r="S418" s="33">
        <f t="shared" si="34"/>
        <v>120.000418</v>
      </c>
    </row>
    <row r="419" spans="1:19" x14ac:dyDescent="0.2">
      <c r="A419" s="17">
        <v>417</v>
      </c>
      <c r="B419" s="17" t="s">
        <v>171</v>
      </c>
      <c r="C419" s="17" t="s">
        <v>338</v>
      </c>
      <c r="D419" s="17" t="s">
        <v>63</v>
      </c>
      <c r="E419" s="17" t="s">
        <v>145</v>
      </c>
      <c r="F419" s="17" t="s">
        <v>339</v>
      </c>
      <c r="G419" s="17" t="s">
        <v>340</v>
      </c>
      <c r="H419" s="30">
        <v>6585</v>
      </c>
      <c r="I419" s="30">
        <v>7545</v>
      </c>
      <c r="J419" s="30">
        <v>7836</v>
      </c>
      <c r="K419" s="30">
        <v>8000</v>
      </c>
      <c r="L419" s="30">
        <v>8000</v>
      </c>
      <c r="M419" s="31">
        <f t="shared" si="30"/>
        <v>291</v>
      </c>
      <c r="N419" s="32">
        <f t="shared" si="31"/>
        <v>3.8568588469184893E-2</v>
      </c>
      <c r="O419" s="6" t="str">
        <f>IF(ABS(M419)&lt;Overview!$B$6,"OK",IF(I419=0,"REVIEW (zero base)",IF(ABS(M419/ABS(I419))&gt;=Overview!$B$5,"REVIEW","OK")))</f>
        <v>OK</v>
      </c>
      <c r="P419" s="31">
        <f t="shared" si="32"/>
        <v>164</v>
      </c>
      <c r="Q419" s="32">
        <f t="shared" si="33"/>
        <v>2.0929045431342521E-2</v>
      </c>
      <c r="R419" s="6" t="str">
        <f>IF(ABS(P419)&lt;Overview!$B$6,"OK",IF(J419=0,"REVIEW (zero base)",IF(ABS(P419/ABS(J419))&gt;=Overview!$B$5,"REVIEW","OK")))</f>
        <v>OK</v>
      </c>
      <c r="S419" s="33">
        <f t="shared" si="34"/>
        <v>291.00041900000002</v>
      </c>
    </row>
    <row r="420" spans="1:19" x14ac:dyDescent="0.2">
      <c r="A420" s="17">
        <v>418</v>
      </c>
      <c r="B420" s="17" t="s">
        <v>171</v>
      </c>
      <c r="C420" s="17" t="s">
        <v>338</v>
      </c>
      <c r="D420" s="17" t="s">
        <v>63</v>
      </c>
      <c r="E420" s="17" t="s">
        <v>145</v>
      </c>
      <c r="F420" s="17" t="s">
        <v>341</v>
      </c>
      <c r="G420" s="17" t="s">
        <v>343</v>
      </c>
      <c r="H420" s="30">
        <v>504</v>
      </c>
      <c r="I420" s="30">
        <v>577</v>
      </c>
      <c r="J420" s="30">
        <v>612</v>
      </c>
      <c r="K420" s="30">
        <v>612</v>
      </c>
      <c r="L420" s="30">
        <v>618</v>
      </c>
      <c r="M420" s="31">
        <f t="shared" si="30"/>
        <v>35</v>
      </c>
      <c r="N420" s="32">
        <f t="shared" si="31"/>
        <v>6.0658578856152515E-2</v>
      </c>
      <c r="O420" s="6" t="str">
        <f>IF(ABS(M420)&lt;Overview!$B$6,"OK",IF(I420=0,"REVIEW (zero base)",IF(ABS(M420/ABS(I420))&gt;=Overview!$B$5,"REVIEW","OK")))</f>
        <v>OK</v>
      </c>
      <c r="P420" s="31">
        <f t="shared" si="32"/>
        <v>0</v>
      </c>
      <c r="Q420" s="32">
        <f t="shared" si="33"/>
        <v>0</v>
      </c>
      <c r="R420" s="6" t="str">
        <f>IF(ABS(P420)&lt;Overview!$B$6,"OK",IF(J420=0,"REVIEW (zero base)",IF(ABS(P420/ABS(J420))&gt;=Overview!$B$5,"REVIEW","OK")))</f>
        <v>OK</v>
      </c>
      <c r="S420" s="33">
        <f t="shared" si="34"/>
        <v>35.000419999999998</v>
      </c>
    </row>
    <row r="421" spans="1:19" x14ac:dyDescent="0.2">
      <c r="A421" s="17">
        <v>419</v>
      </c>
      <c r="B421" s="17" t="s">
        <v>171</v>
      </c>
      <c r="C421" s="17" t="s">
        <v>338</v>
      </c>
      <c r="D421" s="17" t="s">
        <v>63</v>
      </c>
      <c r="E421" s="17" t="s">
        <v>128</v>
      </c>
      <c r="F421" s="17" t="s">
        <v>339</v>
      </c>
      <c r="G421" s="17" t="s">
        <v>340</v>
      </c>
      <c r="H421" s="30">
        <v>20471</v>
      </c>
      <c r="I421" s="30">
        <v>86317</v>
      </c>
      <c r="J421" s="30">
        <v>350501</v>
      </c>
      <c r="K421" s="30">
        <v>425590</v>
      </c>
      <c r="L421" s="30">
        <v>429846</v>
      </c>
      <c r="M421" s="31">
        <f t="shared" si="30"/>
        <v>264184</v>
      </c>
      <c r="N421" s="32">
        <f t="shared" si="31"/>
        <v>3.0606253692783576</v>
      </c>
      <c r="O421" s="6" t="str">
        <f>IF(ABS(M421)&lt;Overview!$B$6,"OK",IF(I421=0,"REVIEW (zero base)",IF(ABS(M421/ABS(I421))&gt;=Overview!$B$5,"REVIEW","OK")))</f>
        <v>REVIEW</v>
      </c>
      <c r="P421" s="31">
        <f t="shared" si="32"/>
        <v>75089</v>
      </c>
      <c r="Q421" s="32">
        <f t="shared" si="33"/>
        <v>0.21423334027577667</v>
      </c>
      <c r="R421" s="6" t="str">
        <f>IF(ABS(P421)&lt;Overview!$B$6,"OK",IF(J421=0,"REVIEW (zero base)",IF(ABS(P421/ABS(J421))&gt;=Overview!$B$5,"REVIEW","OK")))</f>
        <v>OK</v>
      </c>
      <c r="S421" s="33">
        <f t="shared" si="34"/>
        <v>264184.000421</v>
      </c>
    </row>
    <row r="422" spans="1:19" x14ac:dyDescent="0.2">
      <c r="A422" s="17">
        <v>420</v>
      </c>
      <c r="B422" s="17" t="s">
        <v>171</v>
      </c>
      <c r="C422" s="17" t="s">
        <v>338</v>
      </c>
      <c r="D422" s="17" t="s">
        <v>63</v>
      </c>
      <c r="E422" s="17" t="s">
        <v>128</v>
      </c>
      <c r="F422" s="17" t="s">
        <v>339</v>
      </c>
      <c r="G422" s="17" t="s">
        <v>389</v>
      </c>
      <c r="H422" s="30">
        <v>0</v>
      </c>
      <c r="I422" s="30">
        <v>0</v>
      </c>
      <c r="J422" s="30">
        <v>0</v>
      </c>
      <c r="K422" s="30">
        <v>10000</v>
      </c>
      <c r="L422" s="30">
        <v>10000</v>
      </c>
      <c r="M422" s="31">
        <f t="shared" si="30"/>
        <v>0</v>
      </c>
      <c r="N422" s="32" t="str">
        <f t="shared" si="31"/>
        <v>n/a</v>
      </c>
      <c r="O422" s="6" t="str">
        <f>IF(ABS(M422)&lt;Overview!$B$6,"OK",IF(I422=0,"REVIEW (zero base)",IF(ABS(M422/ABS(I422))&gt;=Overview!$B$5,"REVIEW","OK")))</f>
        <v>OK</v>
      </c>
      <c r="P422" s="31">
        <f t="shared" si="32"/>
        <v>10000</v>
      </c>
      <c r="Q422" s="32" t="str">
        <f t="shared" si="33"/>
        <v>n/a</v>
      </c>
      <c r="R422" s="6" t="str">
        <f>IF(ABS(P422)&lt;Overview!$B$6,"OK",IF(J422=0,"REVIEW (zero base)",IF(ABS(P422/ABS(J422))&gt;=Overview!$B$5,"REVIEW","OK")))</f>
        <v>OK</v>
      </c>
      <c r="S422" s="33">
        <f t="shared" si="34"/>
        <v>4.2200000000000001E-4</v>
      </c>
    </row>
    <row r="423" spans="1:19" x14ac:dyDescent="0.2">
      <c r="A423" s="17">
        <v>421</v>
      </c>
      <c r="B423" s="17" t="s">
        <v>171</v>
      </c>
      <c r="C423" s="17" t="s">
        <v>338</v>
      </c>
      <c r="D423" s="17" t="s">
        <v>63</v>
      </c>
      <c r="E423" s="17" t="s">
        <v>128</v>
      </c>
      <c r="F423" s="17" t="s">
        <v>339</v>
      </c>
      <c r="G423" s="17" t="s">
        <v>391</v>
      </c>
      <c r="H423" s="30">
        <v>0</v>
      </c>
      <c r="I423" s="30">
        <v>0</v>
      </c>
      <c r="J423" s="30">
        <v>0</v>
      </c>
      <c r="K423" s="30">
        <v>0</v>
      </c>
      <c r="L423" s="30">
        <v>0</v>
      </c>
      <c r="M423" s="31">
        <f t="shared" si="30"/>
        <v>0</v>
      </c>
      <c r="N423" s="32" t="str">
        <f t="shared" si="31"/>
        <v>n/a</v>
      </c>
      <c r="O423" s="6" t="str">
        <f>IF(ABS(M423)&lt;Overview!$B$6,"OK",IF(I423=0,"REVIEW (zero base)",IF(ABS(M423/ABS(I423))&gt;=Overview!$B$5,"REVIEW","OK")))</f>
        <v>OK</v>
      </c>
      <c r="P423" s="31">
        <f t="shared" si="32"/>
        <v>0</v>
      </c>
      <c r="Q423" s="32" t="str">
        <f t="shared" si="33"/>
        <v>n/a</v>
      </c>
      <c r="R423" s="6" t="str">
        <f>IF(ABS(P423)&lt;Overview!$B$6,"OK",IF(J423=0,"REVIEW (zero base)",IF(ABS(P423/ABS(J423))&gt;=Overview!$B$5,"REVIEW","OK")))</f>
        <v>OK</v>
      </c>
      <c r="S423" s="33">
        <f t="shared" si="34"/>
        <v>4.2299999999999998E-4</v>
      </c>
    </row>
    <row r="424" spans="1:19" x14ac:dyDescent="0.2">
      <c r="A424" s="17">
        <v>422</v>
      </c>
      <c r="B424" s="17" t="s">
        <v>171</v>
      </c>
      <c r="C424" s="17" t="s">
        <v>338</v>
      </c>
      <c r="D424" s="17" t="s">
        <v>63</v>
      </c>
      <c r="E424" s="17" t="s">
        <v>128</v>
      </c>
      <c r="F424" s="17" t="s">
        <v>339</v>
      </c>
      <c r="G424" s="17" t="s">
        <v>392</v>
      </c>
      <c r="H424" s="30">
        <v>0</v>
      </c>
      <c r="I424" s="30">
        <v>0</v>
      </c>
      <c r="J424" s="30">
        <v>0</v>
      </c>
      <c r="K424" s="30">
        <v>0</v>
      </c>
      <c r="L424" s="30">
        <v>0</v>
      </c>
      <c r="M424" s="31">
        <f t="shared" si="30"/>
        <v>0</v>
      </c>
      <c r="N424" s="32" t="str">
        <f t="shared" si="31"/>
        <v>n/a</v>
      </c>
      <c r="O424" s="6" t="str">
        <f>IF(ABS(M424)&lt;Overview!$B$6,"OK",IF(I424=0,"REVIEW (zero base)",IF(ABS(M424/ABS(I424))&gt;=Overview!$B$5,"REVIEW","OK")))</f>
        <v>OK</v>
      </c>
      <c r="P424" s="31">
        <f t="shared" si="32"/>
        <v>0</v>
      </c>
      <c r="Q424" s="32" t="str">
        <f t="shared" si="33"/>
        <v>n/a</v>
      </c>
      <c r="R424" s="6" t="str">
        <f>IF(ABS(P424)&lt;Overview!$B$6,"OK",IF(J424=0,"REVIEW (zero base)",IF(ABS(P424/ABS(J424))&gt;=Overview!$B$5,"REVIEW","OK")))</f>
        <v>OK</v>
      </c>
      <c r="S424" s="33">
        <f t="shared" si="34"/>
        <v>4.2400000000000001E-4</v>
      </c>
    </row>
    <row r="425" spans="1:19" x14ac:dyDescent="0.2">
      <c r="A425" s="17">
        <v>423</v>
      </c>
      <c r="B425" s="17" t="s">
        <v>171</v>
      </c>
      <c r="C425" s="17" t="s">
        <v>338</v>
      </c>
      <c r="D425" s="17" t="s">
        <v>63</v>
      </c>
      <c r="E425" s="17" t="s">
        <v>128</v>
      </c>
      <c r="F425" s="17" t="s">
        <v>339</v>
      </c>
      <c r="G425" s="17" t="s">
        <v>394</v>
      </c>
      <c r="H425" s="30">
        <v>347</v>
      </c>
      <c r="I425" s="30">
        <v>5662</v>
      </c>
      <c r="J425" s="30">
        <v>0</v>
      </c>
      <c r="K425" s="30">
        <v>0</v>
      </c>
      <c r="L425" s="30">
        <v>0</v>
      </c>
      <c r="M425" s="31">
        <f t="shared" si="30"/>
        <v>-5662</v>
      </c>
      <c r="N425" s="32">
        <f t="shared" si="31"/>
        <v>-1</v>
      </c>
      <c r="O425" s="6" t="str">
        <f>IF(ABS(M425)&lt;Overview!$B$6,"OK",IF(I425=0,"REVIEW (zero base)",IF(ABS(M425/ABS(I425))&gt;=Overview!$B$5,"REVIEW","OK")))</f>
        <v>OK</v>
      </c>
      <c r="P425" s="31">
        <f t="shared" si="32"/>
        <v>0</v>
      </c>
      <c r="Q425" s="32" t="str">
        <f t="shared" si="33"/>
        <v>n/a</v>
      </c>
      <c r="R425" s="6" t="str">
        <f>IF(ABS(P425)&lt;Overview!$B$6,"OK",IF(J425=0,"REVIEW (zero base)",IF(ABS(P425/ABS(J425))&gt;=Overview!$B$5,"REVIEW","OK")))</f>
        <v>OK</v>
      </c>
      <c r="S425" s="33">
        <f t="shared" si="34"/>
        <v>5662.0004250000002</v>
      </c>
    </row>
    <row r="426" spans="1:19" x14ac:dyDescent="0.2">
      <c r="A426" s="17">
        <v>424</v>
      </c>
      <c r="B426" s="17" t="s">
        <v>171</v>
      </c>
      <c r="C426" s="17" t="s">
        <v>338</v>
      </c>
      <c r="D426" s="17" t="s">
        <v>63</v>
      </c>
      <c r="E426" s="17" t="s">
        <v>128</v>
      </c>
      <c r="F426" s="17" t="s">
        <v>341</v>
      </c>
      <c r="G426" s="17" t="s">
        <v>342</v>
      </c>
      <c r="H426" s="30">
        <v>93</v>
      </c>
      <c r="I426" s="30">
        <v>378</v>
      </c>
      <c r="J426" s="30">
        <v>1476</v>
      </c>
      <c r="K426" s="30">
        <v>1476</v>
      </c>
      <c r="L426" s="30">
        <v>1476</v>
      </c>
      <c r="M426" s="31">
        <f t="shared" si="30"/>
        <v>1098</v>
      </c>
      <c r="N426" s="32">
        <f t="shared" si="31"/>
        <v>2.9047619047619047</v>
      </c>
      <c r="O426" s="6" t="str">
        <f>IF(ABS(M426)&lt;Overview!$B$6,"OK",IF(I426=0,"REVIEW (zero base)",IF(ABS(M426/ABS(I426))&gt;=Overview!$B$5,"REVIEW","OK")))</f>
        <v>OK</v>
      </c>
      <c r="P426" s="31">
        <f t="shared" si="32"/>
        <v>0</v>
      </c>
      <c r="Q426" s="32">
        <f t="shared" si="33"/>
        <v>0</v>
      </c>
      <c r="R426" s="6" t="str">
        <f>IF(ABS(P426)&lt;Overview!$B$6,"OK",IF(J426=0,"REVIEW (zero base)",IF(ABS(P426/ABS(J426))&gt;=Overview!$B$5,"REVIEW","OK")))</f>
        <v>OK</v>
      </c>
      <c r="S426" s="33">
        <f t="shared" si="34"/>
        <v>1098.0004260000001</v>
      </c>
    </row>
    <row r="427" spans="1:19" x14ac:dyDescent="0.2">
      <c r="A427" s="17">
        <v>425</v>
      </c>
      <c r="B427" s="17" t="s">
        <v>171</v>
      </c>
      <c r="C427" s="17" t="s">
        <v>338</v>
      </c>
      <c r="D427" s="17" t="s">
        <v>63</v>
      </c>
      <c r="E427" s="17" t="s">
        <v>128</v>
      </c>
      <c r="F427" s="17" t="s">
        <v>341</v>
      </c>
      <c r="G427" s="17" t="s">
        <v>376</v>
      </c>
      <c r="H427" s="30">
        <v>6016</v>
      </c>
      <c r="I427" s="30">
        <v>26775</v>
      </c>
      <c r="J427" s="30">
        <v>98580</v>
      </c>
      <c r="K427" s="30">
        <v>27900</v>
      </c>
      <c r="L427" s="30">
        <v>29359</v>
      </c>
      <c r="M427" s="31">
        <f t="shared" si="30"/>
        <v>71805</v>
      </c>
      <c r="N427" s="32">
        <f t="shared" si="31"/>
        <v>2.6817927170868345</v>
      </c>
      <c r="O427" s="6" t="str">
        <f>IF(ABS(M427)&lt;Overview!$B$6,"OK",IF(I427=0,"REVIEW (zero base)",IF(ABS(M427/ABS(I427))&gt;=Overview!$B$5,"REVIEW","OK")))</f>
        <v>OK</v>
      </c>
      <c r="P427" s="31">
        <f t="shared" si="32"/>
        <v>-70680</v>
      </c>
      <c r="Q427" s="32">
        <f t="shared" si="33"/>
        <v>-0.71698113207547165</v>
      </c>
      <c r="R427" s="6" t="str">
        <f>IF(ABS(P427)&lt;Overview!$B$6,"OK",IF(J427=0,"REVIEW (zero base)",IF(ABS(P427/ABS(J427))&gt;=Overview!$B$5,"REVIEW","OK")))</f>
        <v>OK</v>
      </c>
      <c r="S427" s="33">
        <f t="shared" si="34"/>
        <v>71805.000427000006</v>
      </c>
    </row>
    <row r="428" spans="1:19" x14ac:dyDescent="0.2">
      <c r="A428" s="17">
        <v>426</v>
      </c>
      <c r="B428" s="17" t="s">
        <v>171</v>
      </c>
      <c r="C428" s="17" t="s">
        <v>338</v>
      </c>
      <c r="D428" s="17" t="s">
        <v>63</v>
      </c>
      <c r="E428" s="17" t="s">
        <v>128</v>
      </c>
      <c r="F428" s="17" t="s">
        <v>341</v>
      </c>
      <c r="G428" s="17" t="s">
        <v>343</v>
      </c>
      <c r="H428" s="30">
        <v>1563</v>
      </c>
      <c r="I428" s="30">
        <v>6908</v>
      </c>
      <c r="J428" s="30">
        <v>29536</v>
      </c>
      <c r="K428" s="30">
        <v>34470</v>
      </c>
      <c r="L428" s="30">
        <v>34815</v>
      </c>
      <c r="M428" s="31">
        <f t="shared" si="30"/>
        <v>22628</v>
      </c>
      <c r="N428" s="32">
        <f t="shared" si="31"/>
        <v>3.2756224667052694</v>
      </c>
      <c r="O428" s="6" t="str">
        <f>IF(ABS(M428)&lt;Overview!$B$6,"OK",IF(I428=0,"REVIEW (zero base)",IF(ABS(M428/ABS(I428))&gt;=Overview!$B$5,"REVIEW","OK")))</f>
        <v>OK</v>
      </c>
      <c r="P428" s="31">
        <f t="shared" si="32"/>
        <v>4934</v>
      </c>
      <c r="Q428" s="32">
        <f t="shared" si="33"/>
        <v>0.16705037919826651</v>
      </c>
      <c r="R428" s="6" t="str">
        <f>IF(ABS(P428)&lt;Overview!$B$6,"OK",IF(J428=0,"REVIEW (zero base)",IF(ABS(P428/ABS(J428))&gt;=Overview!$B$5,"REVIEW","OK")))</f>
        <v>OK</v>
      </c>
      <c r="S428" s="33">
        <f t="shared" si="34"/>
        <v>22628.000427999999</v>
      </c>
    </row>
    <row r="429" spans="1:19" x14ac:dyDescent="0.2">
      <c r="A429" s="17">
        <v>427</v>
      </c>
      <c r="B429" s="17" t="s">
        <v>171</v>
      </c>
      <c r="C429" s="17" t="s">
        <v>338</v>
      </c>
      <c r="D429" s="17" t="s">
        <v>63</v>
      </c>
      <c r="E429" s="17" t="s">
        <v>128</v>
      </c>
      <c r="F429" s="17" t="s">
        <v>341</v>
      </c>
      <c r="G429" s="17" t="s">
        <v>344</v>
      </c>
      <c r="H429" s="30">
        <v>1791</v>
      </c>
      <c r="I429" s="30">
        <v>7305</v>
      </c>
      <c r="J429" s="30">
        <v>9281</v>
      </c>
      <c r="K429" s="30">
        <v>10740</v>
      </c>
      <c r="L429" s="30">
        <v>10955</v>
      </c>
      <c r="M429" s="31">
        <f t="shared" si="30"/>
        <v>1976</v>
      </c>
      <c r="N429" s="32">
        <f t="shared" si="31"/>
        <v>0.27049965776865159</v>
      </c>
      <c r="O429" s="6" t="str">
        <f>IF(ABS(M429)&lt;Overview!$B$6,"OK",IF(I429=0,"REVIEW (zero base)",IF(ABS(M429/ABS(I429))&gt;=Overview!$B$5,"REVIEW","OK")))</f>
        <v>OK</v>
      </c>
      <c r="P429" s="31">
        <f t="shared" si="32"/>
        <v>1459</v>
      </c>
      <c r="Q429" s="32">
        <f t="shared" si="33"/>
        <v>0.15720288761986856</v>
      </c>
      <c r="R429" s="6" t="str">
        <f>IF(ABS(P429)&lt;Overview!$B$6,"OK",IF(J429=0,"REVIEW (zero base)",IF(ABS(P429/ABS(J429))&gt;=Overview!$B$5,"REVIEW","OK")))</f>
        <v>OK</v>
      </c>
      <c r="S429" s="33">
        <f t="shared" si="34"/>
        <v>1976.0004289999999</v>
      </c>
    </row>
    <row r="430" spans="1:19" x14ac:dyDescent="0.2">
      <c r="A430" s="17">
        <v>428</v>
      </c>
      <c r="B430" s="17" t="s">
        <v>171</v>
      </c>
      <c r="C430" s="17" t="s">
        <v>338</v>
      </c>
      <c r="D430" s="17" t="s">
        <v>63</v>
      </c>
      <c r="E430" s="17" t="s">
        <v>128</v>
      </c>
      <c r="F430" s="17" t="s">
        <v>364</v>
      </c>
      <c r="G430" s="17" t="s">
        <v>383</v>
      </c>
      <c r="H430" s="30">
        <v>0</v>
      </c>
      <c r="I430" s="30">
        <v>0</v>
      </c>
      <c r="J430" s="30">
        <v>1500</v>
      </c>
      <c r="K430" s="30">
        <v>2000</v>
      </c>
      <c r="L430" s="30">
        <v>2000</v>
      </c>
      <c r="M430" s="31">
        <f t="shared" si="30"/>
        <v>1500</v>
      </c>
      <c r="N430" s="32" t="str">
        <f t="shared" si="31"/>
        <v>n/a</v>
      </c>
      <c r="O430" s="6" t="str">
        <f>IF(ABS(M430)&lt;Overview!$B$6,"OK",IF(I430=0,"REVIEW (zero base)",IF(ABS(M430/ABS(I430))&gt;=Overview!$B$5,"REVIEW","OK")))</f>
        <v>OK</v>
      </c>
      <c r="P430" s="31">
        <f t="shared" si="32"/>
        <v>500</v>
      </c>
      <c r="Q430" s="32">
        <f t="shared" si="33"/>
        <v>0.33333333333333331</v>
      </c>
      <c r="R430" s="6" t="str">
        <f>IF(ABS(P430)&lt;Overview!$B$6,"OK",IF(J430=0,"REVIEW (zero base)",IF(ABS(P430/ABS(J430))&gt;=Overview!$B$5,"REVIEW","OK")))</f>
        <v>OK</v>
      </c>
      <c r="S430" s="33">
        <f t="shared" si="34"/>
        <v>1500.0004300000001</v>
      </c>
    </row>
    <row r="431" spans="1:19" x14ac:dyDescent="0.2">
      <c r="A431" s="17">
        <v>429</v>
      </c>
      <c r="B431" s="17" t="s">
        <v>171</v>
      </c>
      <c r="C431" s="17" t="s">
        <v>338</v>
      </c>
      <c r="D431" s="17" t="s">
        <v>63</v>
      </c>
      <c r="E431" s="17" t="s">
        <v>128</v>
      </c>
      <c r="F431" s="17" t="s">
        <v>364</v>
      </c>
      <c r="G431" s="17" t="s">
        <v>397</v>
      </c>
      <c r="H431" s="30">
        <v>0</v>
      </c>
      <c r="I431" s="30">
        <v>0</v>
      </c>
      <c r="J431" s="30">
        <v>6996</v>
      </c>
      <c r="K431" s="30">
        <v>30000</v>
      </c>
      <c r="L431" s="30">
        <v>30210</v>
      </c>
      <c r="M431" s="31">
        <f t="shared" si="30"/>
        <v>6996</v>
      </c>
      <c r="N431" s="32" t="str">
        <f t="shared" si="31"/>
        <v>n/a</v>
      </c>
      <c r="O431" s="6" t="str">
        <f>IF(ABS(M431)&lt;Overview!$B$6,"OK",IF(I431=0,"REVIEW (zero base)",IF(ABS(M431/ABS(I431))&gt;=Overview!$B$5,"REVIEW","OK")))</f>
        <v>OK</v>
      </c>
      <c r="P431" s="31">
        <f t="shared" si="32"/>
        <v>23004</v>
      </c>
      <c r="Q431" s="32">
        <f t="shared" si="33"/>
        <v>3.2881646655231562</v>
      </c>
      <c r="R431" s="6" t="str">
        <f>IF(ABS(P431)&lt;Overview!$B$6,"OK",IF(J431=0,"REVIEW (zero base)",IF(ABS(P431/ABS(J431))&gt;=Overview!$B$5,"REVIEW","OK")))</f>
        <v>OK</v>
      </c>
      <c r="S431" s="33">
        <f t="shared" si="34"/>
        <v>6996.0004310000004</v>
      </c>
    </row>
    <row r="432" spans="1:19" x14ac:dyDescent="0.2">
      <c r="A432" s="17">
        <v>430</v>
      </c>
      <c r="B432" s="17" t="s">
        <v>171</v>
      </c>
      <c r="C432" s="17" t="s">
        <v>338</v>
      </c>
      <c r="D432" s="17" t="s">
        <v>63</v>
      </c>
      <c r="E432" s="17" t="s">
        <v>128</v>
      </c>
      <c r="F432" s="17" t="s">
        <v>364</v>
      </c>
      <c r="G432" s="17" t="s">
        <v>398</v>
      </c>
      <c r="H432" s="30">
        <v>0</v>
      </c>
      <c r="I432" s="30">
        <v>0</v>
      </c>
      <c r="J432" s="30">
        <v>0</v>
      </c>
      <c r="K432" s="30">
        <v>1200</v>
      </c>
      <c r="L432" s="30">
        <v>1208</v>
      </c>
      <c r="M432" s="31">
        <f t="shared" si="30"/>
        <v>0</v>
      </c>
      <c r="N432" s="32" t="str">
        <f t="shared" si="31"/>
        <v>n/a</v>
      </c>
      <c r="O432" s="6" t="str">
        <f>IF(ABS(M432)&lt;Overview!$B$6,"OK",IF(I432=0,"REVIEW (zero base)",IF(ABS(M432/ABS(I432))&gt;=Overview!$B$5,"REVIEW","OK")))</f>
        <v>OK</v>
      </c>
      <c r="P432" s="31">
        <f t="shared" si="32"/>
        <v>1200</v>
      </c>
      <c r="Q432" s="32" t="str">
        <f t="shared" si="33"/>
        <v>n/a</v>
      </c>
      <c r="R432" s="6" t="str">
        <f>IF(ABS(P432)&lt;Overview!$B$6,"OK",IF(J432=0,"REVIEW (zero base)",IF(ABS(P432/ABS(J432))&gt;=Overview!$B$5,"REVIEW","OK")))</f>
        <v>OK</v>
      </c>
      <c r="S432" s="33">
        <f t="shared" si="34"/>
        <v>4.3199999999999998E-4</v>
      </c>
    </row>
    <row r="433" spans="1:19" x14ac:dyDescent="0.2">
      <c r="A433" s="17">
        <v>431</v>
      </c>
      <c r="B433" s="17" t="s">
        <v>171</v>
      </c>
      <c r="C433" s="17" t="s">
        <v>338</v>
      </c>
      <c r="D433" s="17" t="s">
        <v>63</v>
      </c>
      <c r="E433" s="17" t="s">
        <v>128</v>
      </c>
      <c r="F433" s="17" t="s">
        <v>364</v>
      </c>
      <c r="G433" s="17" t="s">
        <v>399</v>
      </c>
      <c r="H433" s="30">
        <v>0</v>
      </c>
      <c r="I433" s="30">
        <v>0</v>
      </c>
      <c r="J433" s="30">
        <v>0</v>
      </c>
      <c r="K433" s="30">
        <v>10000</v>
      </c>
      <c r="L433" s="30">
        <v>10070</v>
      </c>
      <c r="M433" s="31">
        <f t="shared" si="30"/>
        <v>0</v>
      </c>
      <c r="N433" s="32" t="str">
        <f t="shared" si="31"/>
        <v>n/a</v>
      </c>
      <c r="O433" s="6" t="str">
        <f>IF(ABS(M433)&lt;Overview!$B$6,"OK",IF(I433=0,"REVIEW (zero base)",IF(ABS(M433/ABS(I433))&gt;=Overview!$B$5,"REVIEW","OK")))</f>
        <v>OK</v>
      </c>
      <c r="P433" s="31">
        <f t="shared" si="32"/>
        <v>10000</v>
      </c>
      <c r="Q433" s="32" t="str">
        <f t="shared" si="33"/>
        <v>n/a</v>
      </c>
      <c r="R433" s="6" t="str">
        <f>IF(ABS(P433)&lt;Overview!$B$6,"OK",IF(J433=0,"REVIEW (zero base)",IF(ABS(P433/ABS(J433))&gt;=Overview!$B$5,"REVIEW","OK")))</f>
        <v>OK</v>
      </c>
      <c r="S433" s="33">
        <f t="shared" si="34"/>
        <v>4.3300000000000001E-4</v>
      </c>
    </row>
    <row r="434" spans="1:19" x14ac:dyDescent="0.2">
      <c r="A434" s="17">
        <v>432</v>
      </c>
      <c r="B434" s="17" t="s">
        <v>171</v>
      </c>
      <c r="C434" s="17" t="s">
        <v>338</v>
      </c>
      <c r="D434" s="17" t="s">
        <v>63</v>
      </c>
      <c r="E434" s="17" t="s">
        <v>128</v>
      </c>
      <c r="F434" s="17" t="s">
        <v>407</v>
      </c>
      <c r="G434" s="17" t="s">
        <v>427</v>
      </c>
      <c r="H434" s="30">
        <v>0</v>
      </c>
      <c r="I434" s="30">
        <v>0</v>
      </c>
      <c r="J434" s="30">
        <v>6000</v>
      </c>
      <c r="K434" s="30">
        <v>25000</v>
      </c>
      <c r="L434" s="30">
        <v>25000</v>
      </c>
      <c r="M434" s="31">
        <f t="shared" si="30"/>
        <v>6000</v>
      </c>
      <c r="N434" s="32" t="str">
        <f t="shared" si="31"/>
        <v>n/a</v>
      </c>
      <c r="O434" s="6" t="str">
        <f>IF(ABS(M434)&lt;Overview!$B$6,"OK",IF(I434=0,"REVIEW (zero base)",IF(ABS(M434/ABS(I434))&gt;=Overview!$B$5,"REVIEW","OK")))</f>
        <v>OK</v>
      </c>
      <c r="P434" s="31">
        <f t="shared" si="32"/>
        <v>19000</v>
      </c>
      <c r="Q434" s="32">
        <f t="shared" si="33"/>
        <v>3.1666666666666665</v>
      </c>
      <c r="R434" s="6" t="str">
        <f>IF(ABS(P434)&lt;Overview!$B$6,"OK",IF(J434=0,"REVIEW (zero base)",IF(ABS(P434/ABS(J434))&gt;=Overview!$B$5,"REVIEW","OK")))</f>
        <v>OK</v>
      </c>
      <c r="S434" s="33">
        <f t="shared" si="34"/>
        <v>6000.0004339999996</v>
      </c>
    </row>
    <row r="435" spans="1:19" x14ac:dyDescent="0.2">
      <c r="A435" s="17">
        <v>433</v>
      </c>
      <c r="B435" s="17" t="s">
        <v>171</v>
      </c>
      <c r="C435" s="17" t="s">
        <v>338</v>
      </c>
      <c r="D435" s="17" t="s">
        <v>63</v>
      </c>
      <c r="E435" s="17" t="s">
        <v>128</v>
      </c>
      <c r="F435" s="17" t="s">
        <v>409</v>
      </c>
      <c r="G435" s="17" t="s">
        <v>410</v>
      </c>
      <c r="H435" s="30">
        <v>0</v>
      </c>
      <c r="I435" s="30">
        <v>0</v>
      </c>
      <c r="J435" s="30">
        <v>18000</v>
      </c>
      <c r="K435" s="30">
        <v>40000</v>
      </c>
      <c r="L435" s="30">
        <v>40280</v>
      </c>
      <c r="M435" s="31">
        <f t="shared" si="30"/>
        <v>18000</v>
      </c>
      <c r="N435" s="32" t="str">
        <f t="shared" si="31"/>
        <v>n/a</v>
      </c>
      <c r="O435" s="6" t="str">
        <f>IF(ABS(M435)&lt;Overview!$B$6,"OK",IF(I435=0,"REVIEW (zero base)",IF(ABS(M435/ABS(I435))&gt;=Overview!$B$5,"REVIEW","OK")))</f>
        <v>OK</v>
      </c>
      <c r="P435" s="31">
        <f t="shared" si="32"/>
        <v>22000</v>
      </c>
      <c r="Q435" s="32">
        <f t="shared" si="33"/>
        <v>1.2222222222222223</v>
      </c>
      <c r="R435" s="6" t="str">
        <f>IF(ABS(P435)&lt;Overview!$B$6,"OK",IF(J435=0,"REVIEW (zero base)",IF(ABS(P435/ABS(J435))&gt;=Overview!$B$5,"REVIEW","OK")))</f>
        <v>OK</v>
      </c>
      <c r="S435" s="33">
        <f t="shared" si="34"/>
        <v>18000.000435000002</v>
      </c>
    </row>
    <row r="436" spans="1:19" x14ac:dyDescent="0.2">
      <c r="A436" s="17">
        <v>434</v>
      </c>
      <c r="B436" s="17" t="s">
        <v>171</v>
      </c>
      <c r="C436" s="17" t="s">
        <v>338</v>
      </c>
      <c r="D436" s="17" t="s">
        <v>63</v>
      </c>
      <c r="E436" s="17" t="s">
        <v>128</v>
      </c>
      <c r="F436" s="17" t="s">
        <v>409</v>
      </c>
      <c r="G436" s="17" t="s">
        <v>428</v>
      </c>
      <c r="H436" s="30">
        <v>0</v>
      </c>
      <c r="I436" s="30">
        <v>0</v>
      </c>
      <c r="J436" s="30">
        <v>0</v>
      </c>
      <c r="K436" s="30">
        <v>10000</v>
      </c>
      <c r="L436" s="30">
        <v>10000</v>
      </c>
      <c r="M436" s="31">
        <f t="shared" si="30"/>
        <v>0</v>
      </c>
      <c r="N436" s="32" t="str">
        <f t="shared" si="31"/>
        <v>n/a</v>
      </c>
      <c r="O436" s="6" t="str">
        <f>IF(ABS(M436)&lt;Overview!$B$6,"OK",IF(I436=0,"REVIEW (zero base)",IF(ABS(M436/ABS(I436))&gt;=Overview!$B$5,"REVIEW","OK")))</f>
        <v>OK</v>
      </c>
      <c r="P436" s="31">
        <f t="shared" si="32"/>
        <v>10000</v>
      </c>
      <c r="Q436" s="32" t="str">
        <f t="shared" si="33"/>
        <v>n/a</v>
      </c>
      <c r="R436" s="6" t="str">
        <f>IF(ABS(P436)&lt;Overview!$B$6,"OK",IF(J436=0,"REVIEW (zero base)",IF(ABS(P436/ABS(J436))&gt;=Overview!$B$5,"REVIEW","OK")))</f>
        <v>OK</v>
      </c>
      <c r="S436" s="33">
        <f t="shared" si="34"/>
        <v>4.3600000000000003E-4</v>
      </c>
    </row>
    <row r="437" spans="1:19" x14ac:dyDescent="0.2">
      <c r="A437" s="17">
        <v>435</v>
      </c>
      <c r="B437" s="17" t="s">
        <v>171</v>
      </c>
      <c r="C437" s="17" t="s">
        <v>338</v>
      </c>
      <c r="D437" s="17" t="s">
        <v>63</v>
      </c>
      <c r="E437" s="17" t="s">
        <v>128</v>
      </c>
      <c r="F437" s="17" t="s">
        <v>347</v>
      </c>
      <c r="G437" s="17" t="s">
        <v>348</v>
      </c>
      <c r="H437" s="30">
        <v>1043</v>
      </c>
      <c r="I437" s="30">
        <v>46807</v>
      </c>
      <c r="J437" s="30">
        <v>50000</v>
      </c>
      <c r="K437" s="30">
        <v>84000</v>
      </c>
      <c r="L437" s="30">
        <v>84588</v>
      </c>
      <c r="M437" s="31">
        <f t="shared" si="30"/>
        <v>3193</v>
      </c>
      <c r="N437" s="32">
        <f t="shared" si="31"/>
        <v>6.8216292434892217E-2</v>
      </c>
      <c r="O437" s="6" t="str">
        <f>IF(ABS(M437)&lt;Overview!$B$6,"OK",IF(I437=0,"REVIEW (zero base)",IF(ABS(M437/ABS(I437))&gt;=Overview!$B$5,"REVIEW","OK")))</f>
        <v>OK</v>
      </c>
      <c r="P437" s="31">
        <f t="shared" si="32"/>
        <v>34000</v>
      </c>
      <c r="Q437" s="32">
        <f t="shared" si="33"/>
        <v>0.68</v>
      </c>
      <c r="R437" s="6" t="str">
        <f>IF(ABS(P437)&lt;Overview!$B$6,"OK",IF(J437=0,"REVIEW (zero base)",IF(ABS(P437/ABS(J437))&gt;=Overview!$B$5,"REVIEW","OK")))</f>
        <v>OK</v>
      </c>
      <c r="S437" s="33">
        <f t="shared" si="34"/>
        <v>3193.0004370000001</v>
      </c>
    </row>
    <row r="438" spans="1:19" x14ac:dyDescent="0.2">
      <c r="A438" s="17">
        <v>436</v>
      </c>
      <c r="B438" s="17" t="s">
        <v>171</v>
      </c>
      <c r="C438" s="17" t="s">
        <v>338</v>
      </c>
      <c r="D438" s="17" t="s">
        <v>63</v>
      </c>
      <c r="E438" s="17" t="s">
        <v>128</v>
      </c>
      <c r="F438" s="17" t="s">
        <v>386</v>
      </c>
      <c r="G438" s="17" t="s">
        <v>387</v>
      </c>
      <c r="H438" s="30">
        <v>0</v>
      </c>
      <c r="I438" s="30">
        <v>0</v>
      </c>
      <c r="J438" s="30">
        <v>3500</v>
      </c>
      <c r="K438" s="30">
        <v>0</v>
      </c>
      <c r="L438" s="30">
        <v>0</v>
      </c>
      <c r="M438" s="31">
        <f t="shared" si="30"/>
        <v>3500</v>
      </c>
      <c r="N438" s="32" t="str">
        <f t="shared" si="31"/>
        <v>n/a</v>
      </c>
      <c r="O438" s="6" t="str">
        <f>IF(ABS(M438)&lt;Overview!$B$6,"OK",IF(I438=0,"REVIEW (zero base)",IF(ABS(M438/ABS(I438))&gt;=Overview!$B$5,"REVIEW","OK")))</f>
        <v>OK</v>
      </c>
      <c r="P438" s="31">
        <f t="shared" si="32"/>
        <v>-3500</v>
      </c>
      <c r="Q438" s="32">
        <f t="shared" si="33"/>
        <v>-1</v>
      </c>
      <c r="R438" s="6" t="str">
        <f>IF(ABS(P438)&lt;Overview!$B$6,"OK",IF(J438=0,"REVIEW (zero base)",IF(ABS(P438/ABS(J438))&gt;=Overview!$B$5,"REVIEW","OK")))</f>
        <v>OK</v>
      </c>
      <c r="S438" s="33">
        <f t="shared" si="34"/>
        <v>3500.000438</v>
      </c>
    </row>
    <row r="439" spans="1:19" x14ac:dyDescent="0.2">
      <c r="A439" s="17">
        <v>437</v>
      </c>
      <c r="B439" s="17" t="s">
        <v>171</v>
      </c>
      <c r="C439" s="17" t="s">
        <v>338</v>
      </c>
      <c r="D439" s="17" t="s">
        <v>63</v>
      </c>
      <c r="E439" s="17" t="s">
        <v>140</v>
      </c>
      <c r="F439" s="17" t="s">
        <v>364</v>
      </c>
      <c r="G439" s="17" t="s">
        <v>398</v>
      </c>
      <c r="H439" s="30">
        <v>24123</v>
      </c>
      <c r="I439" s="30">
        <v>55032</v>
      </c>
      <c r="J439" s="30">
        <v>50690</v>
      </c>
      <c r="K439" s="30">
        <v>50960</v>
      </c>
      <c r="L439" s="30">
        <v>51317</v>
      </c>
      <c r="M439" s="31">
        <f t="shared" si="30"/>
        <v>-4342</v>
      </c>
      <c r="N439" s="32">
        <f t="shared" si="31"/>
        <v>-7.8899549353103643E-2</v>
      </c>
      <c r="O439" s="6" t="str">
        <f>IF(ABS(M439)&lt;Overview!$B$6,"OK",IF(I439=0,"REVIEW (zero base)",IF(ABS(M439/ABS(I439))&gt;=Overview!$B$5,"REVIEW","OK")))</f>
        <v>OK</v>
      </c>
      <c r="P439" s="31">
        <f t="shared" si="32"/>
        <v>270</v>
      </c>
      <c r="Q439" s="32">
        <f t="shared" si="33"/>
        <v>5.3264943775892682E-3</v>
      </c>
      <c r="R439" s="6" t="str">
        <f>IF(ABS(P439)&lt;Overview!$B$6,"OK",IF(J439=0,"REVIEW (zero base)",IF(ABS(P439/ABS(J439))&gt;=Overview!$B$5,"REVIEW","OK")))</f>
        <v>OK</v>
      </c>
      <c r="S439" s="33">
        <f t="shared" si="34"/>
        <v>4342.0004390000004</v>
      </c>
    </row>
    <row r="440" spans="1:19" x14ac:dyDescent="0.2">
      <c r="A440" s="17">
        <v>438</v>
      </c>
      <c r="B440" s="17" t="s">
        <v>171</v>
      </c>
      <c r="C440" s="17" t="s">
        <v>338</v>
      </c>
      <c r="D440" s="17" t="s">
        <v>63</v>
      </c>
      <c r="E440" s="17" t="s">
        <v>138</v>
      </c>
      <c r="F440" s="17" t="s">
        <v>339</v>
      </c>
      <c r="G440" s="17" t="s">
        <v>340</v>
      </c>
      <c r="H440" s="30">
        <v>33984</v>
      </c>
      <c r="I440" s="30">
        <v>24032</v>
      </c>
      <c r="J440" s="30">
        <v>52668</v>
      </c>
      <c r="K440" s="30">
        <v>57037</v>
      </c>
      <c r="L440" s="30">
        <v>57607</v>
      </c>
      <c r="M440" s="31">
        <f t="shared" si="30"/>
        <v>28636</v>
      </c>
      <c r="N440" s="32">
        <f t="shared" si="31"/>
        <v>1.191577896138482</v>
      </c>
      <c r="O440" s="6" t="str">
        <f>IF(ABS(M440)&lt;Overview!$B$6,"OK",IF(I440=0,"REVIEW (zero base)",IF(ABS(M440/ABS(I440))&gt;=Overview!$B$5,"REVIEW","OK")))</f>
        <v>OK</v>
      </c>
      <c r="P440" s="31">
        <f t="shared" si="32"/>
        <v>4369</v>
      </c>
      <c r="Q440" s="32">
        <f t="shared" si="33"/>
        <v>8.2953596111490849E-2</v>
      </c>
      <c r="R440" s="6" t="str">
        <f>IF(ABS(P440)&lt;Overview!$B$6,"OK",IF(J440=0,"REVIEW (zero base)",IF(ABS(P440/ABS(J440))&gt;=Overview!$B$5,"REVIEW","OK")))</f>
        <v>OK</v>
      </c>
      <c r="S440" s="33">
        <f t="shared" si="34"/>
        <v>28636.00044</v>
      </c>
    </row>
    <row r="441" spans="1:19" x14ac:dyDescent="0.2">
      <c r="A441" s="17">
        <v>439</v>
      </c>
      <c r="B441" s="17" t="s">
        <v>171</v>
      </c>
      <c r="C441" s="17" t="s">
        <v>338</v>
      </c>
      <c r="D441" s="17" t="s">
        <v>63</v>
      </c>
      <c r="E441" s="17" t="s">
        <v>138</v>
      </c>
      <c r="F441" s="17" t="s">
        <v>339</v>
      </c>
      <c r="G441" s="17" t="s">
        <v>391</v>
      </c>
      <c r="H441" s="30">
        <v>2046</v>
      </c>
      <c r="I441" s="30">
        <v>1885</v>
      </c>
      <c r="J441" s="30">
        <v>0</v>
      </c>
      <c r="K441" s="30">
        <v>0</v>
      </c>
      <c r="L441" s="30">
        <v>0</v>
      </c>
      <c r="M441" s="31">
        <f t="shared" si="30"/>
        <v>-1885</v>
      </c>
      <c r="N441" s="32">
        <f t="shared" si="31"/>
        <v>-1</v>
      </c>
      <c r="O441" s="6" t="str">
        <f>IF(ABS(M441)&lt;Overview!$B$6,"OK",IF(I441=0,"REVIEW (zero base)",IF(ABS(M441/ABS(I441))&gt;=Overview!$B$5,"REVIEW","OK")))</f>
        <v>OK</v>
      </c>
      <c r="P441" s="31">
        <f t="shared" si="32"/>
        <v>0</v>
      </c>
      <c r="Q441" s="32" t="str">
        <f t="shared" si="33"/>
        <v>n/a</v>
      </c>
      <c r="R441" s="6" t="str">
        <f>IF(ABS(P441)&lt;Overview!$B$6,"OK",IF(J441=0,"REVIEW (zero base)",IF(ABS(P441/ABS(J441))&gt;=Overview!$B$5,"REVIEW","OK")))</f>
        <v>OK</v>
      </c>
      <c r="S441" s="33">
        <f t="shared" si="34"/>
        <v>1885.0004409999999</v>
      </c>
    </row>
    <row r="442" spans="1:19" x14ac:dyDescent="0.2">
      <c r="A442" s="17">
        <v>440</v>
      </c>
      <c r="B442" s="17" t="s">
        <v>171</v>
      </c>
      <c r="C442" s="17" t="s">
        <v>338</v>
      </c>
      <c r="D442" s="17" t="s">
        <v>63</v>
      </c>
      <c r="E442" s="17" t="s">
        <v>138</v>
      </c>
      <c r="F442" s="17" t="s">
        <v>339</v>
      </c>
      <c r="G442" s="17" t="s">
        <v>392</v>
      </c>
      <c r="H442" s="30">
        <v>1957</v>
      </c>
      <c r="I442" s="30">
        <v>2698</v>
      </c>
      <c r="J442" s="30">
        <v>0</v>
      </c>
      <c r="K442" s="30">
        <v>0</v>
      </c>
      <c r="L442" s="30">
        <v>0</v>
      </c>
      <c r="M442" s="31">
        <f t="shared" si="30"/>
        <v>-2698</v>
      </c>
      <c r="N442" s="32">
        <f t="shared" si="31"/>
        <v>-1</v>
      </c>
      <c r="O442" s="6" t="str">
        <f>IF(ABS(M442)&lt;Overview!$B$6,"OK",IF(I442=0,"REVIEW (zero base)",IF(ABS(M442/ABS(I442))&gt;=Overview!$B$5,"REVIEW","OK")))</f>
        <v>OK</v>
      </c>
      <c r="P442" s="31">
        <f t="shared" si="32"/>
        <v>0</v>
      </c>
      <c r="Q442" s="32" t="str">
        <f t="shared" si="33"/>
        <v>n/a</v>
      </c>
      <c r="R442" s="6" t="str">
        <f>IF(ABS(P442)&lt;Overview!$B$6,"OK",IF(J442=0,"REVIEW (zero base)",IF(ABS(P442/ABS(J442))&gt;=Overview!$B$5,"REVIEW","OK")))</f>
        <v>OK</v>
      </c>
      <c r="S442" s="33">
        <f t="shared" si="34"/>
        <v>2698.000442</v>
      </c>
    </row>
    <row r="443" spans="1:19" x14ac:dyDescent="0.2">
      <c r="A443" s="17">
        <v>441</v>
      </c>
      <c r="B443" s="17" t="s">
        <v>171</v>
      </c>
      <c r="C443" s="17" t="s">
        <v>338</v>
      </c>
      <c r="D443" s="17" t="s">
        <v>63</v>
      </c>
      <c r="E443" s="17" t="s">
        <v>138</v>
      </c>
      <c r="F443" s="17" t="s">
        <v>339</v>
      </c>
      <c r="G443" s="17" t="s">
        <v>394</v>
      </c>
      <c r="H443" s="30">
        <v>2846</v>
      </c>
      <c r="I443" s="30">
        <v>1745</v>
      </c>
      <c r="J443" s="30">
        <v>0</v>
      </c>
      <c r="K443" s="30">
        <v>0</v>
      </c>
      <c r="L443" s="30">
        <v>0</v>
      </c>
      <c r="M443" s="31">
        <f t="shared" si="30"/>
        <v>-1745</v>
      </c>
      <c r="N443" s="32">
        <f t="shared" si="31"/>
        <v>-1</v>
      </c>
      <c r="O443" s="6" t="str">
        <f>IF(ABS(M443)&lt;Overview!$B$6,"OK",IF(I443=0,"REVIEW (zero base)",IF(ABS(M443/ABS(I443))&gt;=Overview!$B$5,"REVIEW","OK")))</f>
        <v>OK</v>
      </c>
      <c r="P443" s="31">
        <f t="shared" si="32"/>
        <v>0</v>
      </c>
      <c r="Q443" s="32" t="str">
        <f t="shared" si="33"/>
        <v>n/a</v>
      </c>
      <c r="R443" s="6" t="str">
        <f>IF(ABS(P443)&lt;Overview!$B$6,"OK",IF(J443=0,"REVIEW (zero base)",IF(ABS(P443/ABS(J443))&gt;=Overview!$B$5,"REVIEW","OK")))</f>
        <v>OK</v>
      </c>
      <c r="S443" s="33">
        <f t="shared" si="34"/>
        <v>1745.0004429999999</v>
      </c>
    </row>
    <row r="444" spans="1:19" x14ac:dyDescent="0.2">
      <c r="A444" s="17">
        <v>442</v>
      </c>
      <c r="B444" s="17" t="s">
        <v>171</v>
      </c>
      <c r="C444" s="17" t="s">
        <v>338</v>
      </c>
      <c r="D444" s="17" t="s">
        <v>63</v>
      </c>
      <c r="E444" s="17" t="s">
        <v>138</v>
      </c>
      <c r="F444" s="17" t="s">
        <v>341</v>
      </c>
      <c r="G444" s="17" t="s">
        <v>342</v>
      </c>
      <c r="H444" s="30">
        <v>0</v>
      </c>
      <c r="I444" s="30">
        <v>160</v>
      </c>
      <c r="J444" s="30">
        <v>360</v>
      </c>
      <c r="K444" s="30">
        <v>360</v>
      </c>
      <c r="L444" s="30">
        <v>360</v>
      </c>
      <c r="M444" s="31">
        <f t="shared" si="30"/>
        <v>200</v>
      </c>
      <c r="N444" s="32">
        <f t="shared" si="31"/>
        <v>1.25</v>
      </c>
      <c r="O444" s="6" t="str">
        <f>IF(ABS(M444)&lt;Overview!$B$6,"OK",IF(I444=0,"REVIEW (zero base)",IF(ABS(M444/ABS(I444))&gt;=Overview!$B$5,"REVIEW","OK")))</f>
        <v>OK</v>
      </c>
      <c r="P444" s="31">
        <f t="shared" si="32"/>
        <v>0</v>
      </c>
      <c r="Q444" s="32">
        <f t="shared" si="33"/>
        <v>0</v>
      </c>
      <c r="R444" s="6" t="str">
        <f>IF(ABS(P444)&lt;Overview!$B$6,"OK",IF(J444=0,"REVIEW (zero base)",IF(ABS(P444/ABS(J444))&gt;=Overview!$B$5,"REVIEW","OK")))</f>
        <v>OK</v>
      </c>
      <c r="S444" s="33">
        <f t="shared" si="34"/>
        <v>200.00044399999999</v>
      </c>
    </row>
    <row r="445" spans="1:19" x14ac:dyDescent="0.2">
      <c r="A445" s="17">
        <v>443</v>
      </c>
      <c r="B445" s="17" t="s">
        <v>171</v>
      </c>
      <c r="C445" s="17" t="s">
        <v>338</v>
      </c>
      <c r="D445" s="17" t="s">
        <v>63</v>
      </c>
      <c r="E445" s="17" t="s">
        <v>138</v>
      </c>
      <c r="F445" s="17" t="s">
        <v>341</v>
      </c>
      <c r="G445" s="17" t="s">
        <v>376</v>
      </c>
      <c r="H445" s="30">
        <v>11800</v>
      </c>
      <c r="I445" s="30">
        <v>8390</v>
      </c>
      <c r="J445" s="30">
        <v>14813</v>
      </c>
      <c r="K445" s="30">
        <v>8748</v>
      </c>
      <c r="L445" s="30">
        <v>9206</v>
      </c>
      <c r="M445" s="31">
        <f t="shared" si="30"/>
        <v>6423</v>
      </c>
      <c r="N445" s="32">
        <f t="shared" si="31"/>
        <v>0.76555423122765198</v>
      </c>
      <c r="O445" s="6" t="str">
        <f>IF(ABS(M445)&lt;Overview!$B$6,"OK",IF(I445=0,"REVIEW (zero base)",IF(ABS(M445/ABS(I445))&gt;=Overview!$B$5,"REVIEW","OK")))</f>
        <v>OK</v>
      </c>
      <c r="P445" s="31">
        <f t="shared" si="32"/>
        <v>-6065</v>
      </c>
      <c r="Q445" s="32">
        <f t="shared" si="33"/>
        <v>-0.4094376561128738</v>
      </c>
      <c r="R445" s="6" t="str">
        <f>IF(ABS(P445)&lt;Overview!$B$6,"OK",IF(J445=0,"REVIEW (zero base)",IF(ABS(P445/ABS(J445))&gt;=Overview!$B$5,"REVIEW","OK")))</f>
        <v>OK</v>
      </c>
      <c r="S445" s="33">
        <f t="shared" si="34"/>
        <v>6423.0004449999997</v>
      </c>
    </row>
    <row r="446" spans="1:19" x14ac:dyDescent="0.2">
      <c r="A446" s="17">
        <v>444</v>
      </c>
      <c r="B446" s="17" t="s">
        <v>171</v>
      </c>
      <c r="C446" s="17" t="s">
        <v>338</v>
      </c>
      <c r="D446" s="17" t="s">
        <v>63</v>
      </c>
      <c r="E446" s="17" t="s">
        <v>138</v>
      </c>
      <c r="F446" s="17" t="s">
        <v>341</v>
      </c>
      <c r="G446" s="17" t="s">
        <v>343</v>
      </c>
      <c r="H446" s="30">
        <v>3124</v>
      </c>
      <c r="I446" s="30">
        <v>2266</v>
      </c>
      <c r="J446" s="30">
        <v>4238</v>
      </c>
      <c r="K446" s="30">
        <v>4366</v>
      </c>
      <c r="L446" s="30">
        <v>4410</v>
      </c>
      <c r="M446" s="31">
        <f t="shared" si="30"/>
        <v>1972</v>
      </c>
      <c r="N446" s="32">
        <f t="shared" si="31"/>
        <v>0.8702559576345984</v>
      </c>
      <c r="O446" s="6" t="str">
        <f>IF(ABS(M446)&lt;Overview!$B$6,"OK",IF(I446=0,"REVIEW (zero base)",IF(ABS(M446/ABS(I446))&gt;=Overview!$B$5,"REVIEW","OK")))</f>
        <v>OK</v>
      </c>
      <c r="P446" s="31">
        <f t="shared" si="32"/>
        <v>128</v>
      </c>
      <c r="Q446" s="32">
        <f t="shared" si="33"/>
        <v>3.0202925908447382E-2</v>
      </c>
      <c r="R446" s="6" t="str">
        <f>IF(ABS(P446)&lt;Overview!$B$6,"OK",IF(J446=0,"REVIEW (zero base)",IF(ABS(P446/ABS(J446))&gt;=Overview!$B$5,"REVIEW","OK")))</f>
        <v>OK</v>
      </c>
      <c r="S446" s="33">
        <f t="shared" si="34"/>
        <v>1972.000446</v>
      </c>
    </row>
    <row r="447" spans="1:19" x14ac:dyDescent="0.2">
      <c r="A447" s="17">
        <v>445</v>
      </c>
      <c r="B447" s="17" t="s">
        <v>171</v>
      </c>
      <c r="C447" s="17" t="s">
        <v>338</v>
      </c>
      <c r="D447" s="17" t="s">
        <v>63</v>
      </c>
      <c r="E447" s="17" t="s">
        <v>138</v>
      </c>
      <c r="F447" s="17" t="s">
        <v>341</v>
      </c>
      <c r="G447" s="17" t="s">
        <v>344</v>
      </c>
      <c r="H447" s="30">
        <v>0</v>
      </c>
      <c r="I447" s="30">
        <v>3090</v>
      </c>
      <c r="J447" s="30">
        <v>9281</v>
      </c>
      <c r="K447" s="30">
        <v>4548</v>
      </c>
      <c r="L447" s="30">
        <v>4639</v>
      </c>
      <c r="M447" s="31">
        <f t="shared" si="30"/>
        <v>6191</v>
      </c>
      <c r="N447" s="32">
        <f t="shared" si="31"/>
        <v>2.0035598705501618</v>
      </c>
      <c r="O447" s="6" t="str">
        <f>IF(ABS(M447)&lt;Overview!$B$6,"OK",IF(I447=0,"REVIEW (zero base)",IF(ABS(M447/ABS(I447))&gt;=Overview!$B$5,"REVIEW","OK")))</f>
        <v>OK</v>
      </c>
      <c r="P447" s="31">
        <f t="shared" si="32"/>
        <v>-4733</v>
      </c>
      <c r="Q447" s="32">
        <f t="shared" si="33"/>
        <v>-0.50996659842689362</v>
      </c>
      <c r="R447" s="6" t="str">
        <f>IF(ABS(P447)&lt;Overview!$B$6,"OK",IF(J447=0,"REVIEW (zero base)",IF(ABS(P447/ABS(J447))&gt;=Overview!$B$5,"REVIEW","OK")))</f>
        <v>OK</v>
      </c>
      <c r="S447" s="33">
        <f t="shared" si="34"/>
        <v>6191.0004470000003</v>
      </c>
    </row>
    <row r="448" spans="1:19" x14ac:dyDescent="0.2">
      <c r="A448" s="17">
        <v>446</v>
      </c>
      <c r="B448" s="17" t="s">
        <v>171</v>
      </c>
      <c r="C448" s="17" t="s">
        <v>338</v>
      </c>
      <c r="D448" s="17" t="s">
        <v>63</v>
      </c>
      <c r="E448" s="17" t="s">
        <v>138</v>
      </c>
      <c r="F448" s="17" t="s">
        <v>364</v>
      </c>
      <c r="G448" s="17" t="s">
        <v>383</v>
      </c>
      <c r="H448" s="30">
        <v>240</v>
      </c>
      <c r="I448" s="30">
        <v>0</v>
      </c>
      <c r="J448" s="30">
        <v>0</v>
      </c>
      <c r="K448" s="30">
        <v>0</v>
      </c>
      <c r="L448" s="30">
        <v>0</v>
      </c>
      <c r="M448" s="31">
        <f t="shared" si="30"/>
        <v>0</v>
      </c>
      <c r="N448" s="32" t="str">
        <f t="shared" si="31"/>
        <v>n/a</v>
      </c>
      <c r="O448" s="6" t="str">
        <f>IF(ABS(M448)&lt;Overview!$B$6,"OK",IF(I448=0,"REVIEW (zero base)",IF(ABS(M448/ABS(I448))&gt;=Overview!$B$5,"REVIEW","OK")))</f>
        <v>OK</v>
      </c>
      <c r="P448" s="31">
        <f t="shared" si="32"/>
        <v>0</v>
      </c>
      <c r="Q448" s="32" t="str">
        <f t="shared" si="33"/>
        <v>n/a</v>
      </c>
      <c r="R448" s="6" t="str">
        <f>IF(ABS(P448)&lt;Overview!$B$6,"OK",IF(J448=0,"REVIEW (zero base)",IF(ABS(P448/ABS(J448))&gt;=Overview!$B$5,"REVIEW","OK")))</f>
        <v>OK</v>
      </c>
      <c r="S448" s="33">
        <f t="shared" si="34"/>
        <v>4.4799999999999999E-4</v>
      </c>
    </row>
    <row r="449" spans="1:19" x14ac:dyDescent="0.2">
      <c r="A449" s="17">
        <v>447</v>
      </c>
      <c r="B449" s="17" t="s">
        <v>171</v>
      </c>
      <c r="C449" s="17" t="s">
        <v>338</v>
      </c>
      <c r="D449" s="17" t="s">
        <v>63</v>
      </c>
      <c r="E449" s="17" t="s">
        <v>138</v>
      </c>
      <c r="F449" s="17" t="s">
        <v>364</v>
      </c>
      <c r="G449" s="17" t="s">
        <v>397</v>
      </c>
      <c r="H449" s="30">
        <v>715</v>
      </c>
      <c r="I449" s="30">
        <v>200</v>
      </c>
      <c r="J449" s="30">
        <v>120</v>
      </c>
      <c r="K449" s="30">
        <v>450</v>
      </c>
      <c r="L449" s="30">
        <v>453</v>
      </c>
      <c r="M449" s="31">
        <f t="shared" si="30"/>
        <v>-80</v>
      </c>
      <c r="N449" s="32">
        <f t="shared" si="31"/>
        <v>-0.4</v>
      </c>
      <c r="O449" s="6" t="str">
        <f>IF(ABS(M449)&lt;Overview!$B$6,"OK",IF(I449=0,"REVIEW (zero base)",IF(ABS(M449/ABS(I449))&gt;=Overview!$B$5,"REVIEW","OK")))</f>
        <v>OK</v>
      </c>
      <c r="P449" s="31">
        <f t="shared" si="32"/>
        <v>330</v>
      </c>
      <c r="Q449" s="32">
        <f t="shared" si="33"/>
        <v>2.75</v>
      </c>
      <c r="R449" s="6" t="str">
        <f>IF(ABS(P449)&lt;Overview!$B$6,"OK",IF(J449=0,"REVIEW (zero base)",IF(ABS(P449/ABS(J449))&gt;=Overview!$B$5,"REVIEW","OK")))</f>
        <v>OK</v>
      </c>
      <c r="S449" s="33">
        <f t="shared" si="34"/>
        <v>80.000449000000003</v>
      </c>
    </row>
    <row r="450" spans="1:19" x14ac:dyDescent="0.2">
      <c r="A450" s="17">
        <v>448</v>
      </c>
      <c r="B450" s="17" t="s">
        <v>171</v>
      </c>
      <c r="C450" s="17" t="s">
        <v>338</v>
      </c>
      <c r="D450" s="17" t="s">
        <v>63</v>
      </c>
      <c r="E450" s="17" t="s">
        <v>138</v>
      </c>
      <c r="F450" s="17" t="s">
        <v>364</v>
      </c>
      <c r="G450" s="17" t="s">
        <v>399</v>
      </c>
      <c r="H450" s="30">
        <v>810</v>
      </c>
      <c r="I450" s="30">
        <v>0</v>
      </c>
      <c r="J450" s="30">
        <v>0</v>
      </c>
      <c r="K450" s="30">
        <v>0</v>
      </c>
      <c r="L450" s="30">
        <v>0</v>
      </c>
      <c r="M450" s="31">
        <f t="shared" ref="M450:M513" si="35">J450-I450</f>
        <v>0</v>
      </c>
      <c r="N450" s="32" t="str">
        <f t="shared" ref="N450:N513" si="36">IF(I450=0,"n/a",M450/ABS(I450))</f>
        <v>n/a</v>
      </c>
      <c r="O450" s="6" t="str">
        <f>IF(ABS(M450)&lt;Overview!$B$6,"OK",IF(I450=0,"REVIEW (zero base)",IF(ABS(M450/ABS(I450))&gt;=Overview!$B$5,"REVIEW","OK")))</f>
        <v>OK</v>
      </c>
      <c r="P450" s="31">
        <f t="shared" ref="P450:P513" si="37">K450-J450</f>
        <v>0</v>
      </c>
      <c r="Q450" s="32" t="str">
        <f t="shared" ref="Q450:Q513" si="38">IF(J450=0,"n/a",P450/ABS(J450))</f>
        <v>n/a</v>
      </c>
      <c r="R450" s="6" t="str">
        <f>IF(ABS(P450)&lt;Overview!$B$6,"OK",IF(J450=0,"REVIEW (zero base)",IF(ABS(P450/ABS(J450))&gt;=Overview!$B$5,"REVIEW","OK")))</f>
        <v>OK</v>
      </c>
      <c r="S450" s="33">
        <f t="shared" ref="S450:S513" si="39">IF(C450="EXPENSES",ABS(M450)+ROW()/1000000,0)</f>
        <v>4.4999999999999999E-4</v>
      </c>
    </row>
    <row r="451" spans="1:19" x14ac:dyDescent="0.2">
      <c r="A451" s="17">
        <v>449</v>
      </c>
      <c r="B451" s="17" t="s">
        <v>171</v>
      </c>
      <c r="C451" s="17" t="s">
        <v>338</v>
      </c>
      <c r="D451" s="17" t="s">
        <v>63</v>
      </c>
      <c r="E451" s="17" t="s">
        <v>138</v>
      </c>
      <c r="F451" s="17" t="s">
        <v>364</v>
      </c>
      <c r="G451" s="17" t="s">
        <v>429</v>
      </c>
      <c r="H451" s="30">
        <v>0</v>
      </c>
      <c r="I451" s="30">
        <v>743</v>
      </c>
      <c r="J451" s="30">
        <v>13000</v>
      </c>
      <c r="K451" s="30">
        <v>22100</v>
      </c>
      <c r="L451" s="30">
        <v>22100</v>
      </c>
      <c r="M451" s="31">
        <f t="shared" si="35"/>
        <v>12257</v>
      </c>
      <c r="N451" s="32">
        <f t="shared" si="36"/>
        <v>16.49663526244953</v>
      </c>
      <c r="O451" s="6" t="str">
        <f>IF(ABS(M451)&lt;Overview!$B$6,"OK",IF(I451=0,"REVIEW (zero base)",IF(ABS(M451/ABS(I451))&gt;=Overview!$B$5,"REVIEW","OK")))</f>
        <v>OK</v>
      </c>
      <c r="P451" s="31">
        <f t="shared" si="37"/>
        <v>9100</v>
      </c>
      <c r="Q451" s="32">
        <f t="shared" si="38"/>
        <v>0.7</v>
      </c>
      <c r="R451" s="6" t="str">
        <f>IF(ABS(P451)&lt;Overview!$B$6,"OK",IF(J451=0,"REVIEW (zero base)",IF(ABS(P451/ABS(J451))&gt;=Overview!$B$5,"REVIEW","OK")))</f>
        <v>OK</v>
      </c>
      <c r="S451" s="33">
        <f t="shared" si="39"/>
        <v>12257.000451</v>
      </c>
    </row>
    <row r="452" spans="1:19" x14ac:dyDescent="0.2">
      <c r="A452" s="17">
        <v>450</v>
      </c>
      <c r="B452" s="17" t="s">
        <v>171</v>
      </c>
      <c r="C452" s="17" t="s">
        <v>338</v>
      </c>
      <c r="D452" s="17" t="s">
        <v>63</v>
      </c>
      <c r="E452" s="17" t="s">
        <v>138</v>
      </c>
      <c r="F452" s="17" t="s">
        <v>400</v>
      </c>
      <c r="G452" s="17" t="s">
        <v>401</v>
      </c>
      <c r="H452" s="30">
        <v>0</v>
      </c>
      <c r="I452" s="30">
        <v>240</v>
      </c>
      <c r="J452" s="30">
        <v>1000</v>
      </c>
      <c r="K452" s="30">
        <v>4500</v>
      </c>
      <c r="L452" s="30">
        <v>4500</v>
      </c>
      <c r="M452" s="31">
        <f t="shared" si="35"/>
        <v>760</v>
      </c>
      <c r="N452" s="32">
        <f t="shared" si="36"/>
        <v>3.1666666666666665</v>
      </c>
      <c r="O452" s="6" t="str">
        <f>IF(ABS(M452)&lt;Overview!$B$6,"OK",IF(I452=0,"REVIEW (zero base)",IF(ABS(M452/ABS(I452))&gt;=Overview!$B$5,"REVIEW","OK")))</f>
        <v>OK</v>
      </c>
      <c r="P452" s="31">
        <f t="shared" si="37"/>
        <v>3500</v>
      </c>
      <c r="Q452" s="32">
        <f t="shared" si="38"/>
        <v>3.5</v>
      </c>
      <c r="R452" s="6" t="str">
        <f>IF(ABS(P452)&lt;Overview!$B$6,"OK",IF(J452=0,"REVIEW (zero base)",IF(ABS(P452/ABS(J452))&gt;=Overview!$B$5,"REVIEW","OK")))</f>
        <v>OK</v>
      </c>
      <c r="S452" s="33">
        <f t="shared" si="39"/>
        <v>760.000452</v>
      </c>
    </row>
    <row r="453" spans="1:19" x14ac:dyDescent="0.2">
      <c r="A453" s="17">
        <v>451</v>
      </c>
      <c r="B453" s="17" t="s">
        <v>171</v>
      </c>
      <c r="C453" s="17" t="s">
        <v>338</v>
      </c>
      <c r="D453" s="17" t="s">
        <v>63</v>
      </c>
      <c r="E453" s="17" t="s">
        <v>138</v>
      </c>
      <c r="F453" s="17" t="s">
        <v>430</v>
      </c>
      <c r="G453" s="17" t="s">
        <v>431</v>
      </c>
      <c r="H453" s="30">
        <v>74</v>
      </c>
      <c r="I453" s="30">
        <v>0</v>
      </c>
      <c r="J453" s="30">
        <v>0</v>
      </c>
      <c r="K453" s="30">
        <v>0</v>
      </c>
      <c r="L453" s="30">
        <v>0</v>
      </c>
      <c r="M453" s="31">
        <f t="shared" si="35"/>
        <v>0</v>
      </c>
      <c r="N453" s="32" t="str">
        <f t="shared" si="36"/>
        <v>n/a</v>
      </c>
      <c r="O453" s="6" t="str">
        <f>IF(ABS(M453)&lt;Overview!$B$6,"OK",IF(I453=0,"REVIEW (zero base)",IF(ABS(M453/ABS(I453))&gt;=Overview!$B$5,"REVIEW","OK")))</f>
        <v>OK</v>
      </c>
      <c r="P453" s="31">
        <f t="shared" si="37"/>
        <v>0</v>
      </c>
      <c r="Q453" s="32" t="str">
        <f t="shared" si="38"/>
        <v>n/a</v>
      </c>
      <c r="R453" s="6" t="str">
        <f>IF(ABS(P453)&lt;Overview!$B$6,"OK",IF(J453=0,"REVIEW (zero base)",IF(ABS(P453/ABS(J453))&gt;=Overview!$B$5,"REVIEW","OK")))</f>
        <v>OK</v>
      </c>
      <c r="S453" s="33">
        <f t="shared" si="39"/>
        <v>4.5300000000000001E-4</v>
      </c>
    </row>
    <row r="454" spans="1:19" x14ac:dyDescent="0.2">
      <c r="A454" s="17">
        <v>452</v>
      </c>
      <c r="B454" s="17" t="s">
        <v>171</v>
      </c>
      <c r="C454" s="17" t="s">
        <v>338</v>
      </c>
      <c r="D454" s="17" t="s">
        <v>63</v>
      </c>
      <c r="E454" s="17" t="s">
        <v>138</v>
      </c>
      <c r="F454" s="17" t="s">
        <v>409</v>
      </c>
      <c r="G454" s="17" t="s">
        <v>432</v>
      </c>
      <c r="H454" s="30">
        <v>0</v>
      </c>
      <c r="I454" s="30">
        <v>10631</v>
      </c>
      <c r="J454" s="30">
        <v>15000</v>
      </c>
      <c r="K454" s="30">
        <v>23500</v>
      </c>
      <c r="L454" s="30">
        <v>23665</v>
      </c>
      <c r="M454" s="31">
        <f t="shared" si="35"/>
        <v>4369</v>
      </c>
      <c r="N454" s="32">
        <f t="shared" si="36"/>
        <v>0.41096792399586118</v>
      </c>
      <c r="O454" s="6" t="str">
        <f>IF(ABS(M454)&lt;Overview!$B$6,"OK",IF(I454=0,"REVIEW (zero base)",IF(ABS(M454/ABS(I454))&gt;=Overview!$B$5,"REVIEW","OK")))</f>
        <v>OK</v>
      </c>
      <c r="P454" s="31">
        <f t="shared" si="37"/>
        <v>8500</v>
      </c>
      <c r="Q454" s="32">
        <f t="shared" si="38"/>
        <v>0.56666666666666665</v>
      </c>
      <c r="R454" s="6" t="str">
        <f>IF(ABS(P454)&lt;Overview!$B$6,"OK",IF(J454=0,"REVIEW (zero base)",IF(ABS(P454/ABS(J454))&gt;=Overview!$B$5,"REVIEW","OK")))</f>
        <v>OK</v>
      </c>
      <c r="S454" s="33">
        <f t="shared" si="39"/>
        <v>4369.000454</v>
      </c>
    </row>
    <row r="455" spans="1:19" x14ac:dyDescent="0.2">
      <c r="A455" s="17">
        <v>453</v>
      </c>
      <c r="B455" s="17" t="s">
        <v>171</v>
      </c>
      <c r="C455" s="17" t="s">
        <v>338</v>
      </c>
      <c r="D455" s="17" t="s">
        <v>63</v>
      </c>
      <c r="E455" s="17" t="s">
        <v>138</v>
      </c>
      <c r="F455" s="17" t="s">
        <v>347</v>
      </c>
      <c r="G455" s="17" t="s">
        <v>348</v>
      </c>
      <c r="H455" s="30">
        <v>4228</v>
      </c>
      <c r="I455" s="30">
        <v>1912</v>
      </c>
      <c r="J455" s="30">
        <v>0</v>
      </c>
      <c r="K455" s="30">
        <v>0</v>
      </c>
      <c r="L455" s="30">
        <v>0</v>
      </c>
      <c r="M455" s="31">
        <f t="shared" si="35"/>
        <v>-1912</v>
      </c>
      <c r="N455" s="32">
        <f t="shared" si="36"/>
        <v>-1</v>
      </c>
      <c r="O455" s="6" t="str">
        <f>IF(ABS(M455)&lt;Overview!$B$6,"OK",IF(I455=0,"REVIEW (zero base)",IF(ABS(M455/ABS(I455))&gt;=Overview!$B$5,"REVIEW","OK")))</f>
        <v>OK</v>
      </c>
      <c r="P455" s="31">
        <f t="shared" si="37"/>
        <v>0</v>
      </c>
      <c r="Q455" s="32" t="str">
        <f t="shared" si="38"/>
        <v>n/a</v>
      </c>
      <c r="R455" s="6" t="str">
        <f>IF(ABS(P455)&lt;Overview!$B$6,"OK",IF(J455=0,"REVIEW (zero base)",IF(ABS(P455/ABS(J455))&gt;=Overview!$B$5,"REVIEW","OK")))</f>
        <v>OK</v>
      </c>
      <c r="S455" s="33">
        <f t="shared" si="39"/>
        <v>1912.0004550000001</v>
      </c>
    </row>
    <row r="456" spans="1:19" x14ac:dyDescent="0.2">
      <c r="A456" s="17">
        <v>454</v>
      </c>
      <c r="B456" s="17" t="s">
        <v>171</v>
      </c>
      <c r="C456" s="17" t="s">
        <v>338</v>
      </c>
      <c r="D456" s="17" t="s">
        <v>63</v>
      </c>
      <c r="E456" s="17" t="s">
        <v>138</v>
      </c>
      <c r="F456" s="17" t="s">
        <v>386</v>
      </c>
      <c r="G456" s="17" t="s">
        <v>413</v>
      </c>
      <c r="H456" s="30">
        <v>0</v>
      </c>
      <c r="I456" s="30">
        <v>0</v>
      </c>
      <c r="J456" s="30">
        <v>0</v>
      </c>
      <c r="K456" s="30">
        <v>450</v>
      </c>
      <c r="L456" s="30">
        <v>453</v>
      </c>
      <c r="M456" s="31">
        <f t="shared" si="35"/>
        <v>0</v>
      </c>
      <c r="N456" s="32" t="str">
        <f t="shared" si="36"/>
        <v>n/a</v>
      </c>
      <c r="O456" s="6" t="str">
        <f>IF(ABS(M456)&lt;Overview!$B$6,"OK",IF(I456=0,"REVIEW (zero base)",IF(ABS(M456/ABS(I456))&gt;=Overview!$B$5,"REVIEW","OK")))</f>
        <v>OK</v>
      </c>
      <c r="P456" s="31">
        <f t="shared" si="37"/>
        <v>450</v>
      </c>
      <c r="Q456" s="32" t="str">
        <f t="shared" si="38"/>
        <v>n/a</v>
      </c>
      <c r="R456" s="6" t="str">
        <f>IF(ABS(P456)&lt;Overview!$B$6,"OK",IF(J456=0,"REVIEW (zero base)",IF(ABS(P456/ABS(J456))&gt;=Overview!$B$5,"REVIEW","OK")))</f>
        <v>OK</v>
      </c>
      <c r="S456" s="33">
        <f t="shared" si="39"/>
        <v>4.5600000000000003E-4</v>
      </c>
    </row>
    <row r="457" spans="1:19" x14ac:dyDescent="0.2">
      <c r="A457" s="17">
        <v>455</v>
      </c>
      <c r="B457" s="17" t="s">
        <v>171</v>
      </c>
      <c r="C457" s="17" t="s">
        <v>338</v>
      </c>
      <c r="D457" s="17" t="s">
        <v>63</v>
      </c>
      <c r="E457" s="17" t="s">
        <v>138</v>
      </c>
      <c r="F457" s="17" t="s">
        <v>386</v>
      </c>
      <c r="G457" s="17" t="s">
        <v>387</v>
      </c>
      <c r="H457" s="30">
        <v>150</v>
      </c>
      <c r="I457" s="30">
        <v>166</v>
      </c>
      <c r="J457" s="30">
        <v>0</v>
      </c>
      <c r="K457" s="30">
        <v>0</v>
      </c>
      <c r="L457" s="30">
        <v>0</v>
      </c>
      <c r="M457" s="31">
        <f t="shared" si="35"/>
        <v>-166</v>
      </c>
      <c r="N457" s="32">
        <f t="shared" si="36"/>
        <v>-1</v>
      </c>
      <c r="O457" s="6" t="str">
        <f>IF(ABS(M457)&lt;Overview!$B$6,"OK",IF(I457=0,"REVIEW (zero base)",IF(ABS(M457/ABS(I457))&gt;=Overview!$B$5,"REVIEW","OK")))</f>
        <v>OK</v>
      </c>
      <c r="P457" s="31">
        <f t="shared" si="37"/>
        <v>0</v>
      </c>
      <c r="Q457" s="32" t="str">
        <f t="shared" si="38"/>
        <v>n/a</v>
      </c>
      <c r="R457" s="6" t="str">
        <f>IF(ABS(P457)&lt;Overview!$B$6,"OK",IF(J457=0,"REVIEW (zero base)",IF(ABS(P457/ABS(J457))&gt;=Overview!$B$5,"REVIEW","OK")))</f>
        <v>OK</v>
      </c>
      <c r="S457" s="33">
        <f t="shared" si="39"/>
        <v>166.00045700000001</v>
      </c>
    </row>
    <row r="458" spans="1:19" x14ac:dyDescent="0.2">
      <c r="A458" s="17">
        <v>456</v>
      </c>
      <c r="B458" s="17" t="s">
        <v>171</v>
      </c>
      <c r="C458" s="17" t="s">
        <v>338</v>
      </c>
      <c r="D458" s="17" t="s">
        <v>63</v>
      </c>
      <c r="E458" s="17" t="s">
        <v>138</v>
      </c>
      <c r="F458" s="17" t="s">
        <v>411</v>
      </c>
      <c r="G458" s="17" t="s">
        <v>433</v>
      </c>
      <c r="H458" s="30">
        <v>736</v>
      </c>
      <c r="I458" s="30">
        <v>518</v>
      </c>
      <c r="J458" s="30">
        <v>1400</v>
      </c>
      <c r="K458" s="30">
        <v>1400</v>
      </c>
      <c r="L458" s="30">
        <v>1410</v>
      </c>
      <c r="M458" s="31">
        <f t="shared" si="35"/>
        <v>882</v>
      </c>
      <c r="N458" s="32">
        <f t="shared" si="36"/>
        <v>1.7027027027027026</v>
      </c>
      <c r="O458" s="6" t="str">
        <f>IF(ABS(M458)&lt;Overview!$B$6,"OK",IF(I458=0,"REVIEW (zero base)",IF(ABS(M458/ABS(I458))&gt;=Overview!$B$5,"REVIEW","OK")))</f>
        <v>OK</v>
      </c>
      <c r="P458" s="31">
        <f t="shared" si="37"/>
        <v>0</v>
      </c>
      <c r="Q458" s="32">
        <f t="shared" si="38"/>
        <v>0</v>
      </c>
      <c r="R458" s="6" t="str">
        <f>IF(ABS(P458)&lt;Overview!$B$6,"OK",IF(J458=0,"REVIEW (zero base)",IF(ABS(P458/ABS(J458))&gt;=Overview!$B$5,"REVIEW","OK")))</f>
        <v>OK</v>
      </c>
      <c r="S458" s="33">
        <f t="shared" si="39"/>
        <v>882.00045799999998</v>
      </c>
    </row>
    <row r="459" spans="1:19" x14ac:dyDescent="0.2">
      <c r="A459" s="17">
        <v>457</v>
      </c>
      <c r="B459" s="17" t="s">
        <v>171</v>
      </c>
      <c r="C459" s="17" t="s">
        <v>338</v>
      </c>
      <c r="D459" s="17" t="s">
        <v>63</v>
      </c>
      <c r="E459" s="17" t="s">
        <v>104</v>
      </c>
      <c r="F459" s="17" t="s">
        <v>339</v>
      </c>
      <c r="G459" s="17" t="s">
        <v>340</v>
      </c>
      <c r="H459" s="30">
        <v>285620</v>
      </c>
      <c r="I459" s="30">
        <v>323815</v>
      </c>
      <c r="J459" s="30">
        <v>301636</v>
      </c>
      <c r="K459" s="30">
        <v>370109</v>
      </c>
      <c r="L459" s="30">
        <v>373810</v>
      </c>
      <c r="M459" s="31">
        <f t="shared" si="35"/>
        <v>-22179</v>
      </c>
      <c r="N459" s="32">
        <f t="shared" si="36"/>
        <v>-6.8492812253910407E-2</v>
      </c>
      <c r="O459" s="6" t="str">
        <f>IF(ABS(M459)&lt;Overview!$B$6,"OK",IF(I459=0,"REVIEW (zero base)",IF(ABS(M459/ABS(I459))&gt;=Overview!$B$5,"REVIEW","OK")))</f>
        <v>OK</v>
      </c>
      <c r="P459" s="31">
        <f t="shared" si="37"/>
        <v>68473</v>
      </c>
      <c r="Q459" s="32">
        <f t="shared" si="38"/>
        <v>0.22700539723375193</v>
      </c>
      <c r="R459" s="6" t="str">
        <f>IF(ABS(P459)&lt;Overview!$B$6,"OK",IF(J459=0,"REVIEW (zero base)",IF(ABS(P459/ABS(J459))&gt;=Overview!$B$5,"REVIEW","OK")))</f>
        <v>OK</v>
      </c>
      <c r="S459" s="33">
        <f t="shared" si="39"/>
        <v>22179.000458999999</v>
      </c>
    </row>
    <row r="460" spans="1:19" x14ac:dyDescent="0.2">
      <c r="A460" s="17">
        <v>458</v>
      </c>
      <c r="B460" s="17" t="s">
        <v>171</v>
      </c>
      <c r="C460" s="17" t="s">
        <v>338</v>
      </c>
      <c r="D460" s="17" t="s">
        <v>63</v>
      </c>
      <c r="E460" s="17" t="s">
        <v>104</v>
      </c>
      <c r="F460" s="17" t="s">
        <v>339</v>
      </c>
      <c r="G460" s="17" t="s">
        <v>389</v>
      </c>
      <c r="H460" s="30">
        <v>0</v>
      </c>
      <c r="I460" s="30">
        <v>0</v>
      </c>
      <c r="J460" s="30">
        <v>2000</v>
      </c>
      <c r="K460" s="30">
        <v>2000</v>
      </c>
      <c r="L460" s="30">
        <v>2000</v>
      </c>
      <c r="M460" s="31">
        <f t="shared" si="35"/>
        <v>2000</v>
      </c>
      <c r="N460" s="32" t="str">
        <f t="shared" si="36"/>
        <v>n/a</v>
      </c>
      <c r="O460" s="6" t="str">
        <f>IF(ABS(M460)&lt;Overview!$B$6,"OK",IF(I460=0,"REVIEW (zero base)",IF(ABS(M460/ABS(I460))&gt;=Overview!$B$5,"REVIEW","OK")))</f>
        <v>OK</v>
      </c>
      <c r="P460" s="31">
        <f t="shared" si="37"/>
        <v>0</v>
      </c>
      <c r="Q460" s="32">
        <f t="shared" si="38"/>
        <v>0</v>
      </c>
      <c r="R460" s="6" t="str">
        <f>IF(ABS(P460)&lt;Overview!$B$6,"OK",IF(J460=0,"REVIEW (zero base)",IF(ABS(P460/ABS(J460))&gt;=Overview!$B$5,"REVIEW","OK")))</f>
        <v>OK</v>
      </c>
      <c r="S460" s="33">
        <f t="shared" si="39"/>
        <v>2000.00046</v>
      </c>
    </row>
    <row r="461" spans="1:19" x14ac:dyDescent="0.2">
      <c r="A461" s="17">
        <v>459</v>
      </c>
      <c r="B461" s="17" t="s">
        <v>171</v>
      </c>
      <c r="C461" s="17" t="s">
        <v>338</v>
      </c>
      <c r="D461" s="17" t="s">
        <v>63</v>
      </c>
      <c r="E461" s="17" t="s">
        <v>104</v>
      </c>
      <c r="F461" s="17" t="s">
        <v>339</v>
      </c>
      <c r="G461" s="17" t="s">
        <v>390</v>
      </c>
      <c r="H461" s="30">
        <v>16961</v>
      </c>
      <c r="I461" s="30">
        <v>7677</v>
      </c>
      <c r="J461" s="30">
        <v>19000</v>
      </c>
      <c r="K461" s="30">
        <v>19000</v>
      </c>
      <c r="L461" s="30">
        <v>19000</v>
      </c>
      <c r="M461" s="31">
        <f t="shared" si="35"/>
        <v>11323</v>
      </c>
      <c r="N461" s="32">
        <f t="shared" si="36"/>
        <v>1.4749251009508924</v>
      </c>
      <c r="O461" s="6" t="str">
        <f>IF(ABS(M461)&lt;Overview!$B$6,"OK",IF(I461=0,"REVIEW (zero base)",IF(ABS(M461/ABS(I461))&gt;=Overview!$B$5,"REVIEW","OK")))</f>
        <v>OK</v>
      </c>
      <c r="P461" s="31">
        <f t="shared" si="37"/>
        <v>0</v>
      </c>
      <c r="Q461" s="32">
        <f t="shared" si="38"/>
        <v>0</v>
      </c>
      <c r="R461" s="6" t="str">
        <f>IF(ABS(P461)&lt;Overview!$B$6,"OK",IF(J461=0,"REVIEW (zero base)",IF(ABS(P461/ABS(J461))&gt;=Overview!$B$5,"REVIEW","OK")))</f>
        <v>OK</v>
      </c>
      <c r="S461" s="33">
        <f t="shared" si="39"/>
        <v>11323.000461</v>
      </c>
    </row>
    <row r="462" spans="1:19" x14ac:dyDescent="0.2">
      <c r="A462" s="17">
        <v>460</v>
      </c>
      <c r="B462" s="17" t="s">
        <v>171</v>
      </c>
      <c r="C462" s="17" t="s">
        <v>338</v>
      </c>
      <c r="D462" s="17" t="s">
        <v>63</v>
      </c>
      <c r="E462" s="17" t="s">
        <v>104</v>
      </c>
      <c r="F462" s="17" t="s">
        <v>339</v>
      </c>
      <c r="G462" s="17" t="s">
        <v>391</v>
      </c>
      <c r="H462" s="30">
        <v>11547</v>
      </c>
      <c r="I462" s="30">
        <v>8249</v>
      </c>
      <c r="J462" s="30">
        <v>0</v>
      </c>
      <c r="K462" s="30">
        <v>0</v>
      </c>
      <c r="L462" s="30">
        <v>0</v>
      </c>
      <c r="M462" s="31">
        <f t="shared" si="35"/>
        <v>-8249</v>
      </c>
      <c r="N462" s="32">
        <f t="shared" si="36"/>
        <v>-1</v>
      </c>
      <c r="O462" s="6" t="str">
        <f>IF(ABS(M462)&lt;Overview!$B$6,"OK",IF(I462=0,"REVIEW (zero base)",IF(ABS(M462/ABS(I462))&gt;=Overview!$B$5,"REVIEW","OK")))</f>
        <v>OK</v>
      </c>
      <c r="P462" s="31">
        <f t="shared" si="37"/>
        <v>0</v>
      </c>
      <c r="Q462" s="32" t="str">
        <f t="shared" si="38"/>
        <v>n/a</v>
      </c>
      <c r="R462" s="6" t="str">
        <f>IF(ABS(P462)&lt;Overview!$B$6,"OK",IF(J462=0,"REVIEW (zero base)",IF(ABS(P462/ABS(J462))&gt;=Overview!$B$5,"REVIEW","OK")))</f>
        <v>OK</v>
      </c>
      <c r="S462" s="33">
        <f t="shared" si="39"/>
        <v>8249.000462</v>
      </c>
    </row>
    <row r="463" spans="1:19" x14ac:dyDescent="0.2">
      <c r="A463" s="17">
        <v>461</v>
      </c>
      <c r="B463" s="17" t="s">
        <v>171</v>
      </c>
      <c r="C463" s="17" t="s">
        <v>338</v>
      </c>
      <c r="D463" s="17" t="s">
        <v>63</v>
      </c>
      <c r="E463" s="17" t="s">
        <v>104</v>
      </c>
      <c r="F463" s="17" t="s">
        <v>339</v>
      </c>
      <c r="G463" s="17" t="s">
        <v>392</v>
      </c>
      <c r="H463" s="30">
        <v>24035</v>
      </c>
      <c r="I463" s="30">
        <v>13143</v>
      </c>
      <c r="J463" s="30">
        <v>0</v>
      </c>
      <c r="K463" s="30">
        <v>0</v>
      </c>
      <c r="L463" s="30">
        <v>0</v>
      </c>
      <c r="M463" s="31">
        <f t="shared" si="35"/>
        <v>-13143</v>
      </c>
      <c r="N463" s="32">
        <f t="shared" si="36"/>
        <v>-1</v>
      </c>
      <c r="O463" s="6" t="str">
        <f>IF(ABS(M463)&lt;Overview!$B$6,"OK",IF(I463=0,"REVIEW (zero base)",IF(ABS(M463/ABS(I463))&gt;=Overview!$B$5,"REVIEW","OK")))</f>
        <v>OK</v>
      </c>
      <c r="P463" s="31">
        <f t="shared" si="37"/>
        <v>0</v>
      </c>
      <c r="Q463" s="32" t="str">
        <f t="shared" si="38"/>
        <v>n/a</v>
      </c>
      <c r="R463" s="6" t="str">
        <f>IF(ABS(P463)&lt;Overview!$B$6,"OK",IF(J463=0,"REVIEW (zero base)",IF(ABS(P463/ABS(J463))&gt;=Overview!$B$5,"REVIEW","OK")))</f>
        <v>OK</v>
      </c>
      <c r="S463" s="33">
        <f t="shared" si="39"/>
        <v>13143.000463</v>
      </c>
    </row>
    <row r="464" spans="1:19" x14ac:dyDescent="0.2">
      <c r="A464" s="17">
        <v>462</v>
      </c>
      <c r="B464" s="17" t="s">
        <v>171</v>
      </c>
      <c r="C464" s="17" t="s">
        <v>338</v>
      </c>
      <c r="D464" s="17" t="s">
        <v>63</v>
      </c>
      <c r="E464" s="17" t="s">
        <v>104</v>
      </c>
      <c r="F464" s="17" t="s">
        <v>339</v>
      </c>
      <c r="G464" s="17" t="s">
        <v>394</v>
      </c>
      <c r="H464" s="30">
        <v>23511</v>
      </c>
      <c r="I464" s="30">
        <v>24006</v>
      </c>
      <c r="J464" s="30">
        <v>0</v>
      </c>
      <c r="K464" s="30">
        <v>0</v>
      </c>
      <c r="L464" s="30">
        <v>0</v>
      </c>
      <c r="M464" s="31">
        <f t="shared" si="35"/>
        <v>-24006</v>
      </c>
      <c r="N464" s="32">
        <f t="shared" si="36"/>
        <v>-1</v>
      </c>
      <c r="O464" s="6" t="str">
        <f>IF(ABS(M464)&lt;Overview!$B$6,"OK",IF(I464=0,"REVIEW (zero base)",IF(ABS(M464/ABS(I464))&gt;=Overview!$B$5,"REVIEW","OK")))</f>
        <v>OK</v>
      </c>
      <c r="P464" s="31">
        <f t="shared" si="37"/>
        <v>0</v>
      </c>
      <c r="Q464" s="32" t="str">
        <f t="shared" si="38"/>
        <v>n/a</v>
      </c>
      <c r="R464" s="6" t="str">
        <f>IF(ABS(P464)&lt;Overview!$B$6,"OK",IF(J464=0,"REVIEW (zero base)",IF(ABS(P464/ABS(J464))&gt;=Overview!$B$5,"REVIEW","OK")))</f>
        <v>OK</v>
      </c>
      <c r="S464" s="33">
        <f t="shared" si="39"/>
        <v>24006.000464000001</v>
      </c>
    </row>
    <row r="465" spans="1:19" x14ac:dyDescent="0.2">
      <c r="A465" s="17">
        <v>463</v>
      </c>
      <c r="B465" s="17" t="s">
        <v>171</v>
      </c>
      <c r="C465" s="17" t="s">
        <v>338</v>
      </c>
      <c r="D465" s="17" t="s">
        <v>63</v>
      </c>
      <c r="E465" s="17" t="s">
        <v>104</v>
      </c>
      <c r="F465" s="17" t="s">
        <v>339</v>
      </c>
      <c r="G465" s="17" t="s">
        <v>395</v>
      </c>
      <c r="H465" s="30">
        <v>4433</v>
      </c>
      <c r="I465" s="30">
        <v>4491</v>
      </c>
      <c r="J465" s="30">
        <v>5103</v>
      </c>
      <c r="K465" s="30">
        <v>6540</v>
      </c>
      <c r="L465" s="30">
        <v>6605</v>
      </c>
      <c r="M465" s="31">
        <f t="shared" si="35"/>
        <v>612</v>
      </c>
      <c r="N465" s="32">
        <f t="shared" si="36"/>
        <v>0.13627254509018036</v>
      </c>
      <c r="O465" s="6" t="str">
        <f>IF(ABS(M465)&lt;Overview!$B$6,"OK",IF(I465=0,"REVIEW (zero base)",IF(ABS(M465/ABS(I465))&gt;=Overview!$B$5,"REVIEW","OK")))</f>
        <v>OK</v>
      </c>
      <c r="P465" s="31">
        <f t="shared" si="37"/>
        <v>1437</v>
      </c>
      <c r="Q465" s="32">
        <f t="shared" si="38"/>
        <v>0.28159905937683716</v>
      </c>
      <c r="R465" s="6" t="str">
        <f>IF(ABS(P465)&lt;Overview!$B$6,"OK",IF(J465=0,"REVIEW (zero base)",IF(ABS(P465/ABS(J465))&gt;=Overview!$B$5,"REVIEW","OK")))</f>
        <v>OK</v>
      </c>
      <c r="S465" s="33">
        <f t="shared" si="39"/>
        <v>612.00046499999996</v>
      </c>
    </row>
    <row r="466" spans="1:19" x14ac:dyDescent="0.2">
      <c r="A466" s="17">
        <v>464</v>
      </c>
      <c r="B466" s="17" t="s">
        <v>171</v>
      </c>
      <c r="C466" s="17" t="s">
        <v>338</v>
      </c>
      <c r="D466" s="17" t="s">
        <v>63</v>
      </c>
      <c r="E466" s="17" t="s">
        <v>104</v>
      </c>
      <c r="F466" s="17" t="s">
        <v>341</v>
      </c>
      <c r="G466" s="17" t="s">
        <v>342</v>
      </c>
      <c r="H466" s="30">
        <v>3473</v>
      </c>
      <c r="I466" s="30">
        <v>3925</v>
      </c>
      <c r="J466" s="30">
        <v>4332</v>
      </c>
      <c r="K466" s="30">
        <v>4332</v>
      </c>
      <c r="L466" s="30">
        <v>4332</v>
      </c>
      <c r="M466" s="31">
        <f t="shared" si="35"/>
        <v>407</v>
      </c>
      <c r="N466" s="32">
        <f t="shared" si="36"/>
        <v>0.10369426751592356</v>
      </c>
      <c r="O466" s="6" t="str">
        <f>IF(ABS(M466)&lt;Overview!$B$6,"OK",IF(I466=0,"REVIEW (zero base)",IF(ABS(M466/ABS(I466))&gt;=Overview!$B$5,"REVIEW","OK")))</f>
        <v>OK</v>
      </c>
      <c r="P466" s="31">
        <f t="shared" si="37"/>
        <v>0</v>
      </c>
      <c r="Q466" s="32">
        <f t="shared" si="38"/>
        <v>0</v>
      </c>
      <c r="R466" s="6" t="str">
        <f>IF(ABS(P466)&lt;Overview!$B$6,"OK",IF(J466=0,"REVIEW (zero base)",IF(ABS(P466/ABS(J466))&gt;=Overview!$B$5,"REVIEW","OK")))</f>
        <v>OK</v>
      </c>
      <c r="S466" s="33">
        <f t="shared" si="39"/>
        <v>407.00046600000002</v>
      </c>
    </row>
    <row r="467" spans="1:19" x14ac:dyDescent="0.2">
      <c r="A467" s="17">
        <v>465</v>
      </c>
      <c r="B467" s="17" t="s">
        <v>171</v>
      </c>
      <c r="C467" s="17" t="s">
        <v>338</v>
      </c>
      <c r="D467" s="17" t="s">
        <v>63</v>
      </c>
      <c r="E467" s="17" t="s">
        <v>104</v>
      </c>
      <c r="F467" s="17" t="s">
        <v>341</v>
      </c>
      <c r="G467" s="17" t="s">
        <v>406</v>
      </c>
      <c r="H467" s="30">
        <v>2000</v>
      </c>
      <c r="I467" s="30">
        <v>2000</v>
      </c>
      <c r="J467" s="30">
        <v>0</v>
      </c>
      <c r="K467" s="30">
        <v>0</v>
      </c>
      <c r="L467" s="30">
        <v>0</v>
      </c>
      <c r="M467" s="31">
        <f t="shared" si="35"/>
        <v>-2000</v>
      </c>
      <c r="N467" s="32">
        <f t="shared" si="36"/>
        <v>-1</v>
      </c>
      <c r="O467" s="6" t="str">
        <f>IF(ABS(M467)&lt;Overview!$B$6,"OK",IF(I467=0,"REVIEW (zero base)",IF(ABS(M467/ABS(I467))&gt;=Overview!$B$5,"REVIEW","OK")))</f>
        <v>OK</v>
      </c>
      <c r="P467" s="31">
        <f t="shared" si="37"/>
        <v>0</v>
      </c>
      <c r="Q467" s="32" t="str">
        <f t="shared" si="38"/>
        <v>n/a</v>
      </c>
      <c r="R467" s="6" t="str">
        <f>IF(ABS(P467)&lt;Overview!$B$6,"OK",IF(J467=0,"REVIEW (zero base)",IF(ABS(P467/ABS(J467))&gt;=Overview!$B$5,"REVIEW","OK")))</f>
        <v>OK</v>
      </c>
      <c r="S467" s="33">
        <f t="shared" si="39"/>
        <v>2000.0004670000001</v>
      </c>
    </row>
    <row r="468" spans="1:19" x14ac:dyDescent="0.2">
      <c r="A468" s="17">
        <v>466</v>
      </c>
      <c r="B468" s="17" t="s">
        <v>171</v>
      </c>
      <c r="C468" s="17" t="s">
        <v>338</v>
      </c>
      <c r="D468" s="17" t="s">
        <v>63</v>
      </c>
      <c r="E468" s="17" t="s">
        <v>104</v>
      </c>
      <c r="F468" s="17" t="s">
        <v>341</v>
      </c>
      <c r="G468" s="17" t="s">
        <v>376</v>
      </c>
      <c r="H468" s="30">
        <v>98077</v>
      </c>
      <c r="I468" s="30">
        <v>113900</v>
      </c>
      <c r="J468" s="30">
        <v>93036</v>
      </c>
      <c r="K468" s="30">
        <v>118680</v>
      </c>
      <c r="L468" s="30">
        <v>124887</v>
      </c>
      <c r="M468" s="31">
        <f t="shared" si="35"/>
        <v>-20864</v>
      </c>
      <c r="N468" s="32">
        <f t="shared" si="36"/>
        <v>-0.1831782265144864</v>
      </c>
      <c r="O468" s="6" t="str">
        <f>IF(ABS(M468)&lt;Overview!$B$6,"OK",IF(I468=0,"REVIEW (zero base)",IF(ABS(M468/ABS(I468))&gt;=Overview!$B$5,"REVIEW","OK")))</f>
        <v>OK</v>
      </c>
      <c r="P468" s="31">
        <f t="shared" si="37"/>
        <v>25644</v>
      </c>
      <c r="Q468" s="32">
        <f t="shared" si="38"/>
        <v>0.27563523797239781</v>
      </c>
      <c r="R468" s="6" t="str">
        <f>IF(ABS(P468)&lt;Overview!$B$6,"OK",IF(J468=0,"REVIEW (zero base)",IF(ABS(P468/ABS(J468))&gt;=Overview!$B$5,"REVIEW","OK")))</f>
        <v>OK</v>
      </c>
      <c r="S468" s="33">
        <f t="shared" si="39"/>
        <v>20864.000467999998</v>
      </c>
    </row>
    <row r="469" spans="1:19" x14ac:dyDescent="0.2">
      <c r="A469" s="17">
        <v>467</v>
      </c>
      <c r="B469" s="17" t="s">
        <v>171</v>
      </c>
      <c r="C469" s="17" t="s">
        <v>338</v>
      </c>
      <c r="D469" s="17" t="s">
        <v>63</v>
      </c>
      <c r="E469" s="17" t="s">
        <v>104</v>
      </c>
      <c r="F469" s="17" t="s">
        <v>341</v>
      </c>
      <c r="G469" s="17" t="s">
        <v>343</v>
      </c>
      <c r="H469" s="30">
        <v>26335</v>
      </c>
      <c r="I469" s="30">
        <v>27369</v>
      </c>
      <c r="J469" s="30">
        <v>30179</v>
      </c>
      <c r="K469" s="30">
        <v>31340</v>
      </c>
      <c r="L469" s="30">
        <v>31653</v>
      </c>
      <c r="M469" s="31">
        <f t="shared" si="35"/>
        <v>2810</v>
      </c>
      <c r="N469" s="32">
        <f t="shared" si="36"/>
        <v>0.10267090503854726</v>
      </c>
      <c r="O469" s="6" t="str">
        <f>IF(ABS(M469)&lt;Overview!$B$6,"OK",IF(I469=0,"REVIEW (zero base)",IF(ABS(M469/ABS(I469))&gt;=Overview!$B$5,"REVIEW","OK")))</f>
        <v>OK</v>
      </c>
      <c r="P469" s="31">
        <f t="shared" si="37"/>
        <v>1161</v>
      </c>
      <c r="Q469" s="32">
        <f t="shared" si="38"/>
        <v>3.8470459591106398E-2</v>
      </c>
      <c r="R469" s="6" t="str">
        <f>IF(ABS(P469)&lt;Overview!$B$6,"OK",IF(J469=0,"REVIEW (zero base)",IF(ABS(P469/ABS(J469))&gt;=Overview!$B$5,"REVIEW","OK")))</f>
        <v>OK</v>
      </c>
      <c r="S469" s="33">
        <f t="shared" si="39"/>
        <v>2810.0004690000001</v>
      </c>
    </row>
    <row r="470" spans="1:19" x14ac:dyDescent="0.2">
      <c r="A470" s="17">
        <v>468</v>
      </c>
      <c r="B470" s="17" t="s">
        <v>171</v>
      </c>
      <c r="C470" s="17" t="s">
        <v>338</v>
      </c>
      <c r="D470" s="17" t="s">
        <v>63</v>
      </c>
      <c r="E470" s="17" t="s">
        <v>104</v>
      </c>
      <c r="F470" s="17" t="s">
        <v>341</v>
      </c>
      <c r="G470" s="17" t="s">
        <v>344</v>
      </c>
      <c r="H470" s="30">
        <v>56551</v>
      </c>
      <c r="I470" s="30">
        <v>63318</v>
      </c>
      <c r="J470" s="30">
        <v>77420</v>
      </c>
      <c r="K470" s="30">
        <v>93132</v>
      </c>
      <c r="L470" s="30">
        <v>94995</v>
      </c>
      <c r="M470" s="31">
        <f t="shared" si="35"/>
        <v>14102</v>
      </c>
      <c r="N470" s="32">
        <f t="shared" si="36"/>
        <v>0.22271707887172684</v>
      </c>
      <c r="O470" s="6" t="str">
        <f>IF(ABS(M470)&lt;Overview!$B$6,"OK",IF(I470=0,"REVIEW (zero base)",IF(ABS(M470/ABS(I470))&gt;=Overview!$B$5,"REVIEW","OK")))</f>
        <v>OK</v>
      </c>
      <c r="P470" s="31">
        <f t="shared" si="37"/>
        <v>15712</v>
      </c>
      <c r="Q470" s="32">
        <f t="shared" si="38"/>
        <v>0.20294497545853785</v>
      </c>
      <c r="R470" s="6" t="str">
        <f>IF(ABS(P470)&lt;Overview!$B$6,"OK",IF(J470=0,"REVIEW (zero base)",IF(ABS(P470/ABS(J470))&gt;=Overview!$B$5,"REVIEW","OK")))</f>
        <v>OK</v>
      </c>
      <c r="S470" s="33">
        <f t="shared" si="39"/>
        <v>14102.000470000001</v>
      </c>
    </row>
    <row r="471" spans="1:19" x14ac:dyDescent="0.2">
      <c r="A471" s="17">
        <v>469</v>
      </c>
      <c r="B471" s="17" t="s">
        <v>171</v>
      </c>
      <c r="C471" s="17" t="s">
        <v>338</v>
      </c>
      <c r="D471" s="17" t="s">
        <v>63</v>
      </c>
      <c r="E471" s="17" t="s">
        <v>104</v>
      </c>
      <c r="F471" s="17" t="s">
        <v>364</v>
      </c>
      <c r="G471" s="17" t="s">
        <v>383</v>
      </c>
      <c r="H471" s="30">
        <v>60</v>
      </c>
      <c r="I471" s="30">
        <v>0</v>
      </c>
      <c r="J471" s="30">
        <v>300</v>
      </c>
      <c r="K471" s="30">
        <v>300</v>
      </c>
      <c r="L471" s="30">
        <v>300</v>
      </c>
      <c r="M471" s="31">
        <f t="shared" si="35"/>
        <v>300</v>
      </c>
      <c r="N471" s="32" t="str">
        <f t="shared" si="36"/>
        <v>n/a</v>
      </c>
      <c r="O471" s="6" t="str">
        <f>IF(ABS(M471)&lt;Overview!$B$6,"OK",IF(I471=0,"REVIEW (zero base)",IF(ABS(M471/ABS(I471))&gt;=Overview!$B$5,"REVIEW","OK")))</f>
        <v>OK</v>
      </c>
      <c r="P471" s="31">
        <f t="shared" si="37"/>
        <v>0</v>
      </c>
      <c r="Q471" s="32">
        <f t="shared" si="38"/>
        <v>0</v>
      </c>
      <c r="R471" s="6" t="str">
        <f>IF(ABS(P471)&lt;Overview!$B$6,"OK",IF(J471=0,"REVIEW (zero base)",IF(ABS(P471/ABS(J471))&gt;=Overview!$B$5,"REVIEW","OK")))</f>
        <v>OK</v>
      </c>
      <c r="S471" s="33">
        <f t="shared" si="39"/>
        <v>300.000471</v>
      </c>
    </row>
    <row r="472" spans="1:19" x14ac:dyDescent="0.2">
      <c r="A472" s="17">
        <v>470</v>
      </c>
      <c r="B472" s="17" t="s">
        <v>171</v>
      </c>
      <c r="C472" s="17" t="s">
        <v>338</v>
      </c>
      <c r="D472" s="17" t="s">
        <v>63</v>
      </c>
      <c r="E472" s="17" t="s">
        <v>104</v>
      </c>
      <c r="F472" s="17" t="s">
        <v>364</v>
      </c>
      <c r="G472" s="17" t="s">
        <v>397</v>
      </c>
      <c r="H472" s="30">
        <v>3489</v>
      </c>
      <c r="I472" s="30">
        <v>8684</v>
      </c>
      <c r="J472" s="30">
        <v>10500</v>
      </c>
      <c r="K472" s="30">
        <v>10500</v>
      </c>
      <c r="L472" s="30">
        <v>10574</v>
      </c>
      <c r="M472" s="31">
        <f t="shared" si="35"/>
        <v>1816</v>
      </c>
      <c r="N472" s="32">
        <f t="shared" si="36"/>
        <v>0.20912022109626899</v>
      </c>
      <c r="O472" s="6" t="str">
        <f>IF(ABS(M472)&lt;Overview!$B$6,"OK",IF(I472=0,"REVIEW (zero base)",IF(ABS(M472/ABS(I472))&gt;=Overview!$B$5,"REVIEW","OK")))</f>
        <v>OK</v>
      </c>
      <c r="P472" s="31">
        <f t="shared" si="37"/>
        <v>0</v>
      </c>
      <c r="Q472" s="32">
        <f t="shared" si="38"/>
        <v>0</v>
      </c>
      <c r="R472" s="6" t="str">
        <f>IF(ABS(P472)&lt;Overview!$B$6,"OK",IF(J472=0,"REVIEW (zero base)",IF(ABS(P472/ABS(J472))&gt;=Overview!$B$5,"REVIEW","OK")))</f>
        <v>OK</v>
      </c>
      <c r="S472" s="33">
        <f t="shared" si="39"/>
        <v>1816.0004719999999</v>
      </c>
    </row>
    <row r="473" spans="1:19" x14ac:dyDescent="0.2">
      <c r="A473" s="17">
        <v>471</v>
      </c>
      <c r="B473" s="17" t="s">
        <v>171</v>
      </c>
      <c r="C473" s="17" t="s">
        <v>338</v>
      </c>
      <c r="D473" s="17" t="s">
        <v>63</v>
      </c>
      <c r="E473" s="17" t="s">
        <v>104</v>
      </c>
      <c r="F473" s="17" t="s">
        <v>364</v>
      </c>
      <c r="G473" s="17" t="s">
        <v>398</v>
      </c>
      <c r="H473" s="30">
        <v>6600</v>
      </c>
      <c r="I473" s="30">
        <v>5950</v>
      </c>
      <c r="J473" s="30">
        <v>3700</v>
      </c>
      <c r="K473" s="30">
        <v>6500</v>
      </c>
      <c r="L473" s="30">
        <v>6546</v>
      </c>
      <c r="M473" s="31">
        <f t="shared" si="35"/>
        <v>-2250</v>
      </c>
      <c r="N473" s="32">
        <f t="shared" si="36"/>
        <v>-0.37815126050420167</v>
      </c>
      <c r="O473" s="6" t="str">
        <f>IF(ABS(M473)&lt;Overview!$B$6,"OK",IF(I473=0,"REVIEW (zero base)",IF(ABS(M473/ABS(I473))&gt;=Overview!$B$5,"REVIEW","OK")))</f>
        <v>OK</v>
      </c>
      <c r="P473" s="31">
        <f t="shared" si="37"/>
        <v>2800</v>
      </c>
      <c r="Q473" s="32">
        <f t="shared" si="38"/>
        <v>0.7567567567567568</v>
      </c>
      <c r="R473" s="6" t="str">
        <f>IF(ABS(P473)&lt;Overview!$B$6,"OK",IF(J473=0,"REVIEW (zero base)",IF(ABS(P473/ABS(J473))&gt;=Overview!$B$5,"REVIEW","OK")))</f>
        <v>OK</v>
      </c>
      <c r="S473" s="33">
        <f t="shared" si="39"/>
        <v>2250.0004730000001</v>
      </c>
    </row>
    <row r="474" spans="1:19" x14ac:dyDescent="0.2">
      <c r="A474" s="17">
        <v>472</v>
      </c>
      <c r="B474" s="17" t="s">
        <v>171</v>
      </c>
      <c r="C474" s="17" t="s">
        <v>338</v>
      </c>
      <c r="D474" s="17" t="s">
        <v>63</v>
      </c>
      <c r="E474" s="17" t="s">
        <v>104</v>
      </c>
      <c r="F474" s="17" t="s">
        <v>364</v>
      </c>
      <c r="G474" s="17" t="s">
        <v>399</v>
      </c>
      <c r="H474" s="30">
        <v>9296</v>
      </c>
      <c r="I474" s="30">
        <v>1300</v>
      </c>
      <c r="J474" s="30">
        <v>6000</v>
      </c>
      <c r="K474" s="30">
        <v>6000</v>
      </c>
      <c r="L474" s="30">
        <v>6042</v>
      </c>
      <c r="M474" s="31">
        <f t="shared" si="35"/>
        <v>4700</v>
      </c>
      <c r="N474" s="32">
        <f t="shared" si="36"/>
        <v>3.6153846153846154</v>
      </c>
      <c r="O474" s="6" t="str">
        <f>IF(ABS(M474)&lt;Overview!$B$6,"OK",IF(I474=0,"REVIEW (zero base)",IF(ABS(M474/ABS(I474))&gt;=Overview!$B$5,"REVIEW","OK")))</f>
        <v>OK</v>
      </c>
      <c r="P474" s="31">
        <f t="shared" si="37"/>
        <v>0</v>
      </c>
      <c r="Q474" s="32">
        <f t="shared" si="38"/>
        <v>0</v>
      </c>
      <c r="R474" s="6" t="str">
        <f>IF(ABS(P474)&lt;Overview!$B$6,"OK",IF(J474=0,"REVIEW (zero base)",IF(ABS(P474/ABS(J474))&gt;=Overview!$B$5,"REVIEW","OK")))</f>
        <v>OK</v>
      </c>
      <c r="S474" s="33">
        <f t="shared" si="39"/>
        <v>4700.0004740000004</v>
      </c>
    </row>
    <row r="475" spans="1:19" x14ac:dyDescent="0.2">
      <c r="A475" s="17">
        <v>473</v>
      </c>
      <c r="B475" s="17" t="s">
        <v>171</v>
      </c>
      <c r="C475" s="17" t="s">
        <v>338</v>
      </c>
      <c r="D475" s="17" t="s">
        <v>63</v>
      </c>
      <c r="E475" s="17" t="s">
        <v>104</v>
      </c>
      <c r="F475" s="17" t="s">
        <v>364</v>
      </c>
      <c r="G475" s="17" t="s">
        <v>434</v>
      </c>
      <c r="H475" s="30">
        <v>6860</v>
      </c>
      <c r="I475" s="30">
        <v>1531</v>
      </c>
      <c r="J475" s="30">
        <v>3700</v>
      </c>
      <c r="K475" s="30">
        <v>900</v>
      </c>
      <c r="L475" s="30">
        <v>906</v>
      </c>
      <c r="M475" s="31">
        <f t="shared" si="35"/>
        <v>2169</v>
      </c>
      <c r="N475" s="32">
        <f t="shared" si="36"/>
        <v>1.4167210973220117</v>
      </c>
      <c r="O475" s="6" t="str">
        <f>IF(ABS(M475)&lt;Overview!$B$6,"OK",IF(I475=0,"REVIEW (zero base)",IF(ABS(M475/ABS(I475))&gt;=Overview!$B$5,"REVIEW","OK")))</f>
        <v>OK</v>
      </c>
      <c r="P475" s="31">
        <f t="shared" si="37"/>
        <v>-2800</v>
      </c>
      <c r="Q475" s="32">
        <f t="shared" si="38"/>
        <v>-0.7567567567567568</v>
      </c>
      <c r="R475" s="6" t="str">
        <f>IF(ABS(P475)&lt;Overview!$B$6,"OK",IF(J475=0,"REVIEW (zero base)",IF(ABS(P475/ABS(J475))&gt;=Overview!$B$5,"REVIEW","OK")))</f>
        <v>OK</v>
      </c>
      <c r="S475" s="33">
        <f t="shared" si="39"/>
        <v>2169.0004749999998</v>
      </c>
    </row>
    <row r="476" spans="1:19" x14ac:dyDescent="0.2">
      <c r="A476" s="17">
        <v>474</v>
      </c>
      <c r="B476" s="17" t="s">
        <v>171</v>
      </c>
      <c r="C476" s="17" t="s">
        <v>338</v>
      </c>
      <c r="D476" s="17" t="s">
        <v>63</v>
      </c>
      <c r="E476" s="17" t="s">
        <v>104</v>
      </c>
      <c r="F476" s="17" t="s">
        <v>422</v>
      </c>
      <c r="G476" s="17" t="s">
        <v>435</v>
      </c>
      <c r="H476" s="30">
        <v>22155</v>
      </c>
      <c r="I476" s="30">
        <v>8676</v>
      </c>
      <c r="J476" s="30">
        <v>51100</v>
      </c>
      <c r="K476" s="30">
        <v>51100</v>
      </c>
      <c r="L476" s="30">
        <v>51458</v>
      </c>
      <c r="M476" s="31">
        <f t="shared" si="35"/>
        <v>42424</v>
      </c>
      <c r="N476" s="32">
        <f t="shared" si="36"/>
        <v>4.8898109727985251</v>
      </c>
      <c r="O476" s="6" t="str">
        <f>IF(ABS(M476)&lt;Overview!$B$6,"OK",IF(I476=0,"REVIEW (zero base)",IF(ABS(M476/ABS(I476))&gt;=Overview!$B$5,"REVIEW","OK")))</f>
        <v>OK</v>
      </c>
      <c r="P476" s="31">
        <f t="shared" si="37"/>
        <v>0</v>
      </c>
      <c r="Q476" s="32">
        <f t="shared" si="38"/>
        <v>0</v>
      </c>
      <c r="R476" s="6" t="str">
        <f>IF(ABS(P476)&lt;Overview!$B$6,"OK",IF(J476=0,"REVIEW (zero base)",IF(ABS(P476/ABS(J476))&gt;=Overview!$B$5,"REVIEW","OK")))</f>
        <v>OK</v>
      </c>
      <c r="S476" s="33">
        <f t="shared" si="39"/>
        <v>42424.000476000001</v>
      </c>
    </row>
    <row r="477" spans="1:19" x14ac:dyDescent="0.2">
      <c r="A477" s="17">
        <v>475</v>
      </c>
      <c r="B477" s="17" t="s">
        <v>171</v>
      </c>
      <c r="C477" s="17" t="s">
        <v>338</v>
      </c>
      <c r="D477" s="17" t="s">
        <v>63</v>
      </c>
      <c r="E477" s="17" t="s">
        <v>104</v>
      </c>
      <c r="F477" s="17" t="s">
        <v>409</v>
      </c>
      <c r="G477" s="17" t="s">
        <v>428</v>
      </c>
      <c r="H477" s="30">
        <v>766197</v>
      </c>
      <c r="I477" s="30">
        <v>700644</v>
      </c>
      <c r="J477" s="30">
        <v>781250</v>
      </c>
      <c r="K477" s="30">
        <v>800000</v>
      </c>
      <c r="L477" s="30">
        <v>800000</v>
      </c>
      <c r="M477" s="31">
        <f t="shared" si="35"/>
        <v>80606</v>
      </c>
      <c r="N477" s="32">
        <f t="shared" si="36"/>
        <v>0.11504558663172738</v>
      </c>
      <c r="O477" s="6" t="str">
        <f>IF(ABS(M477)&lt;Overview!$B$6,"OK",IF(I477=0,"REVIEW (zero base)",IF(ABS(M477/ABS(I477))&gt;=Overview!$B$5,"REVIEW","OK")))</f>
        <v>OK</v>
      </c>
      <c r="P477" s="31">
        <f t="shared" si="37"/>
        <v>18750</v>
      </c>
      <c r="Q477" s="32">
        <f t="shared" si="38"/>
        <v>2.4E-2</v>
      </c>
      <c r="R477" s="6" t="str">
        <f>IF(ABS(P477)&lt;Overview!$B$6,"OK",IF(J477=0,"REVIEW (zero base)",IF(ABS(P477/ABS(J477))&gt;=Overview!$B$5,"REVIEW","OK")))</f>
        <v>OK</v>
      </c>
      <c r="S477" s="33">
        <f t="shared" si="39"/>
        <v>80606.000476999994</v>
      </c>
    </row>
    <row r="478" spans="1:19" x14ac:dyDescent="0.2">
      <c r="A478" s="17">
        <v>476</v>
      </c>
      <c r="B478" s="17" t="s">
        <v>171</v>
      </c>
      <c r="C478" s="17" t="s">
        <v>338</v>
      </c>
      <c r="D478" s="17" t="s">
        <v>63</v>
      </c>
      <c r="E478" s="17" t="s">
        <v>104</v>
      </c>
      <c r="F478" s="17" t="s">
        <v>347</v>
      </c>
      <c r="G478" s="17" t="s">
        <v>348</v>
      </c>
      <c r="H478" s="30">
        <v>6276</v>
      </c>
      <c r="I478" s="30">
        <v>61260</v>
      </c>
      <c r="J478" s="30">
        <v>5000</v>
      </c>
      <c r="K478" s="30">
        <v>5000</v>
      </c>
      <c r="L478" s="30">
        <v>5035</v>
      </c>
      <c r="M478" s="31">
        <f t="shared" si="35"/>
        <v>-56260</v>
      </c>
      <c r="N478" s="32">
        <f t="shared" si="36"/>
        <v>-0.91838067254325828</v>
      </c>
      <c r="O478" s="6" t="str">
        <f>IF(ABS(M478)&lt;Overview!$B$6,"OK",IF(I478=0,"REVIEW (zero base)",IF(ABS(M478/ABS(I478))&gt;=Overview!$B$5,"REVIEW","OK")))</f>
        <v>OK</v>
      </c>
      <c r="P478" s="31">
        <f t="shared" si="37"/>
        <v>0</v>
      </c>
      <c r="Q478" s="32">
        <f t="shared" si="38"/>
        <v>0</v>
      </c>
      <c r="R478" s="6" t="str">
        <f>IF(ABS(P478)&lt;Overview!$B$6,"OK",IF(J478=0,"REVIEW (zero base)",IF(ABS(P478/ABS(J478))&gt;=Overview!$B$5,"REVIEW","OK")))</f>
        <v>OK</v>
      </c>
      <c r="S478" s="33">
        <f t="shared" si="39"/>
        <v>56260.000478000002</v>
      </c>
    </row>
    <row r="479" spans="1:19" x14ac:dyDescent="0.2">
      <c r="A479" s="17">
        <v>477</v>
      </c>
      <c r="B479" s="17" t="s">
        <v>171</v>
      </c>
      <c r="C479" s="17" t="s">
        <v>338</v>
      </c>
      <c r="D479" s="17" t="s">
        <v>63</v>
      </c>
      <c r="E479" s="17" t="s">
        <v>104</v>
      </c>
      <c r="F479" s="17" t="s">
        <v>386</v>
      </c>
      <c r="G479" s="17" t="s">
        <v>413</v>
      </c>
      <c r="H479" s="30">
        <v>0</v>
      </c>
      <c r="I479" s="30">
        <v>0</v>
      </c>
      <c r="J479" s="30">
        <v>0</v>
      </c>
      <c r="K479" s="30">
        <v>700</v>
      </c>
      <c r="L479" s="30">
        <v>705</v>
      </c>
      <c r="M479" s="31">
        <f t="shared" si="35"/>
        <v>0</v>
      </c>
      <c r="N479" s="32" t="str">
        <f t="shared" si="36"/>
        <v>n/a</v>
      </c>
      <c r="O479" s="6" t="str">
        <f>IF(ABS(M479)&lt;Overview!$B$6,"OK",IF(I479=0,"REVIEW (zero base)",IF(ABS(M479/ABS(I479))&gt;=Overview!$B$5,"REVIEW","OK")))</f>
        <v>OK</v>
      </c>
      <c r="P479" s="31">
        <f t="shared" si="37"/>
        <v>700</v>
      </c>
      <c r="Q479" s="32" t="str">
        <f t="shared" si="38"/>
        <v>n/a</v>
      </c>
      <c r="R479" s="6" t="str">
        <f>IF(ABS(P479)&lt;Overview!$B$6,"OK",IF(J479=0,"REVIEW (zero base)",IF(ABS(P479/ABS(J479))&gt;=Overview!$B$5,"REVIEW","OK")))</f>
        <v>OK</v>
      </c>
      <c r="S479" s="33">
        <f t="shared" si="39"/>
        <v>4.7899999999999999E-4</v>
      </c>
    </row>
    <row r="480" spans="1:19" x14ac:dyDescent="0.2">
      <c r="A480" s="17">
        <v>478</v>
      </c>
      <c r="B480" s="17" t="s">
        <v>171</v>
      </c>
      <c r="C480" s="17" t="s">
        <v>338</v>
      </c>
      <c r="D480" s="17" t="s">
        <v>63</v>
      </c>
      <c r="E480" s="17" t="s">
        <v>104</v>
      </c>
      <c r="F480" s="17" t="s">
        <v>386</v>
      </c>
      <c r="G480" s="17" t="s">
        <v>387</v>
      </c>
      <c r="H480" s="30">
        <v>148</v>
      </c>
      <c r="I480" s="30">
        <v>765</v>
      </c>
      <c r="J480" s="30">
        <v>700</v>
      </c>
      <c r="K480" s="30">
        <v>0</v>
      </c>
      <c r="L480" s="30">
        <v>0</v>
      </c>
      <c r="M480" s="31">
        <f t="shared" si="35"/>
        <v>-65</v>
      </c>
      <c r="N480" s="32">
        <f t="shared" si="36"/>
        <v>-8.4967320261437912E-2</v>
      </c>
      <c r="O480" s="6" t="str">
        <f>IF(ABS(M480)&lt;Overview!$B$6,"OK",IF(I480=0,"REVIEW (zero base)",IF(ABS(M480/ABS(I480))&gt;=Overview!$B$5,"REVIEW","OK")))</f>
        <v>OK</v>
      </c>
      <c r="P480" s="31">
        <f t="shared" si="37"/>
        <v>-700</v>
      </c>
      <c r="Q480" s="32">
        <f t="shared" si="38"/>
        <v>-1</v>
      </c>
      <c r="R480" s="6" t="str">
        <f>IF(ABS(P480)&lt;Overview!$B$6,"OK",IF(J480=0,"REVIEW (zero base)",IF(ABS(P480/ABS(J480))&gt;=Overview!$B$5,"REVIEW","OK")))</f>
        <v>OK</v>
      </c>
      <c r="S480" s="33">
        <f t="shared" si="39"/>
        <v>65.000479999999996</v>
      </c>
    </row>
    <row r="481" spans="1:19" x14ac:dyDescent="0.2">
      <c r="A481" s="17">
        <v>479</v>
      </c>
      <c r="B481" s="17" t="s">
        <v>171</v>
      </c>
      <c r="C481" s="17" t="s">
        <v>338</v>
      </c>
      <c r="D481" s="17" t="s">
        <v>63</v>
      </c>
      <c r="E481" s="17" t="s">
        <v>104</v>
      </c>
      <c r="F481" s="17" t="s">
        <v>349</v>
      </c>
      <c r="G481" s="17" t="s">
        <v>362</v>
      </c>
      <c r="H481" s="30">
        <v>128769</v>
      </c>
      <c r="I481" s="30">
        <v>149217</v>
      </c>
      <c r="J481" s="30">
        <v>150000</v>
      </c>
      <c r="K481" s="30">
        <v>165000</v>
      </c>
      <c r="L481" s="30">
        <v>165000</v>
      </c>
      <c r="M481" s="31">
        <f t="shared" si="35"/>
        <v>783</v>
      </c>
      <c r="N481" s="32">
        <f t="shared" si="36"/>
        <v>5.2473913830193607E-3</v>
      </c>
      <c r="O481" s="6" t="str">
        <f>IF(ABS(M481)&lt;Overview!$B$6,"OK",IF(I481=0,"REVIEW (zero base)",IF(ABS(M481/ABS(I481))&gt;=Overview!$B$5,"REVIEW","OK")))</f>
        <v>OK</v>
      </c>
      <c r="P481" s="31">
        <f t="shared" si="37"/>
        <v>15000</v>
      </c>
      <c r="Q481" s="32">
        <f t="shared" si="38"/>
        <v>0.1</v>
      </c>
      <c r="R481" s="6" t="str">
        <f>IF(ABS(P481)&lt;Overview!$B$6,"OK",IF(J481=0,"REVIEW (zero base)",IF(ABS(P481/ABS(J481))&gt;=Overview!$B$5,"REVIEW","OK")))</f>
        <v>OK</v>
      </c>
      <c r="S481" s="33">
        <f t="shared" si="39"/>
        <v>783.00048100000004</v>
      </c>
    </row>
    <row r="482" spans="1:19" x14ac:dyDescent="0.2">
      <c r="A482" s="17">
        <v>480</v>
      </c>
      <c r="B482" s="17" t="s">
        <v>171</v>
      </c>
      <c r="C482" s="17" t="s">
        <v>338</v>
      </c>
      <c r="D482" s="17" t="s">
        <v>63</v>
      </c>
      <c r="E482" s="17" t="s">
        <v>106</v>
      </c>
      <c r="F482" s="17" t="s">
        <v>339</v>
      </c>
      <c r="G482" s="17" t="s">
        <v>340</v>
      </c>
      <c r="H482" s="30">
        <v>160256</v>
      </c>
      <c r="I482" s="30">
        <v>149872</v>
      </c>
      <c r="J482" s="30">
        <v>331294</v>
      </c>
      <c r="K482" s="30">
        <v>394416</v>
      </c>
      <c r="L482" s="30">
        <v>398360</v>
      </c>
      <c r="M482" s="31">
        <f t="shared" si="35"/>
        <v>181422</v>
      </c>
      <c r="N482" s="32">
        <f t="shared" si="36"/>
        <v>1.2105129710686453</v>
      </c>
      <c r="O482" s="6" t="str">
        <f>IF(ABS(M482)&lt;Overview!$B$6,"OK",IF(I482=0,"REVIEW (zero base)",IF(ABS(M482/ABS(I482))&gt;=Overview!$B$5,"REVIEW","OK")))</f>
        <v>OK</v>
      </c>
      <c r="P482" s="31">
        <f t="shared" si="37"/>
        <v>63122</v>
      </c>
      <c r="Q482" s="32">
        <f t="shared" si="38"/>
        <v>0.19053167277403152</v>
      </c>
      <c r="R482" s="6" t="str">
        <f>IF(ABS(P482)&lt;Overview!$B$6,"OK",IF(J482=0,"REVIEW (zero base)",IF(ABS(P482/ABS(J482))&gt;=Overview!$B$5,"REVIEW","OK")))</f>
        <v>OK</v>
      </c>
      <c r="S482" s="33">
        <f t="shared" si="39"/>
        <v>181422.000482</v>
      </c>
    </row>
    <row r="483" spans="1:19" x14ac:dyDescent="0.2">
      <c r="A483" s="17">
        <v>481</v>
      </c>
      <c r="B483" s="17" t="s">
        <v>171</v>
      </c>
      <c r="C483" s="17" t="s">
        <v>338</v>
      </c>
      <c r="D483" s="17" t="s">
        <v>63</v>
      </c>
      <c r="E483" s="17" t="s">
        <v>106</v>
      </c>
      <c r="F483" s="17" t="s">
        <v>339</v>
      </c>
      <c r="G483" s="17" t="s">
        <v>391</v>
      </c>
      <c r="H483" s="30">
        <v>4906</v>
      </c>
      <c r="I483" s="30">
        <v>7221</v>
      </c>
      <c r="J483" s="30">
        <v>0</v>
      </c>
      <c r="K483" s="30">
        <v>0</v>
      </c>
      <c r="L483" s="30">
        <v>0</v>
      </c>
      <c r="M483" s="31">
        <f t="shared" si="35"/>
        <v>-7221</v>
      </c>
      <c r="N483" s="32">
        <f t="shared" si="36"/>
        <v>-1</v>
      </c>
      <c r="O483" s="6" t="str">
        <f>IF(ABS(M483)&lt;Overview!$B$6,"OK",IF(I483=0,"REVIEW (zero base)",IF(ABS(M483/ABS(I483))&gt;=Overview!$B$5,"REVIEW","OK")))</f>
        <v>OK</v>
      </c>
      <c r="P483" s="31">
        <f t="shared" si="37"/>
        <v>0</v>
      </c>
      <c r="Q483" s="32" t="str">
        <f t="shared" si="38"/>
        <v>n/a</v>
      </c>
      <c r="R483" s="6" t="str">
        <f>IF(ABS(P483)&lt;Overview!$B$6,"OK",IF(J483=0,"REVIEW (zero base)",IF(ABS(P483/ABS(J483))&gt;=Overview!$B$5,"REVIEW","OK")))</f>
        <v>OK</v>
      </c>
      <c r="S483" s="33">
        <f t="shared" si="39"/>
        <v>7221.0004829999998</v>
      </c>
    </row>
    <row r="484" spans="1:19" x14ac:dyDescent="0.2">
      <c r="A484" s="17">
        <v>482</v>
      </c>
      <c r="B484" s="17" t="s">
        <v>171</v>
      </c>
      <c r="C484" s="17" t="s">
        <v>338</v>
      </c>
      <c r="D484" s="17" t="s">
        <v>63</v>
      </c>
      <c r="E484" s="17" t="s">
        <v>106</v>
      </c>
      <c r="F484" s="17" t="s">
        <v>339</v>
      </c>
      <c r="G484" s="17" t="s">
        <v>392</v>
      </c>
      <c r="H484" s="30">
        <v>14543</v>
      </c>
      <c r="I484" s="30">
        <v>12809</v>
      </c>
      <c r="J484" s="30">
        <v>0</v>
      </c>
      <c r="K484" s="30">
        <v>0</v>
      </c>
      <c r="L484" s="30">
        <v>0</v>
      </c>
      <c r="M484" s="31">
        <f t="shared" si="35"/>
        <v>-12809</v>
      </c>
      <c r="N484" s="32">
        <f t="shared" si="36"/>
        <v>-1</v>
      </c>
      <c r="O484" s="6" t="str">
        <f>IF(ABS(M484)&lt;Overview!$B$6,"OK",IF(I484=0,"REVIEW (zero base)",IF(ABS(M484/ABS(I484))&gt;=Overview!$B$5,"REVIEW","OK")))</f>
        <v>OK</v>
      </c>
      <c r="P484" s="31">
        <f t="shared" si="37"/>
        <v>0</v>
      </c>
      <c r="Q484" s="32" t="str">
        <f t="shared" si="38"/>
        <v>n/a</v>
      </c>
      <c r="R484" s="6" t="str">
        <f>IF(ABS(P484)&lt;Overview!$B$6,"OK",IF(J484=0,"REVIEW (zero base)",IF(ABS(P484/ABS(J484))&gt;=Overview!$B$5,"REVIEW","OK")))</f>
        <v>OK</v>
      </c>
      <c r="S484" s="33">
        <f t="shared" si="39"/>
        <v>12809.000484</v>
      </c>
    </row>
    <row r="485" spans="1:19" x14ac:dyDescent="0.2">
      <c r="A485" s="17">
        <v>483</v>
      </c>
      <c r="B485" s="17" t="s">
        <v>171</v>
      </c>
      <c r="C485" s="17" t="s">
        <v>338</v>
      </c>
      <c r="D485" s="17" t="s">
        <v>63</v>
      </c>
      <c r="E485" s="17" t="s">
        <v>106</v>
      </c>
      <c r="F485" s="17" t="s">
        <v>339</v>
      </c>
      <c r="G485" s="17" t="s">
        <v>394</v>
      </c>
      <c r="H485" s="30">
        <v>10399</v>
      </c>
      <c r="I485" s="30">
        <v>14924</v>
      </c>
      <c r="J485" s="30">
        <v>0</v>
      </c>
      <c r="K485" s="30">
        <v>0</v>
      </c>
      <c r="L485" s="30">
        <v>0</v>
      </c>
      <c r="M485" s="31">
        <f t="shared" si="35"/>
        <v>-14924</v>
      </c>
      <c r="N485" s="32">
        <f t="shared" si="36"/>
        <v>-1</v>
      </c>
      <c r="O485" s="6" t="str">
        <f>IF(ABS(M485)&lt;Overview!$B$6,"OK",IF(I485=0,"REVIEW (zero base)",IF(ABS(M485/ABS(I485))&gt;=Overview!$B$5,"REVIEW","OK")))</f>
        <v>OK</v>
      </c>
      <c r="P485" s="31">
        <f t="shared" si="37"/>
        <v>0</v>
      </c>
      <c r="Q485" s="32" t="str">
        <f t="shared" si="38"/>
        <v>n/a</v>
      </c>
      <c r="R485" s="6" t="str">
        <f>IF(ABS(P485)&lt;Overview!$B$6,"OK",IF(J485=0,"REVIEW (zero base)",IF(ABS(P485/ABS(J485))&gt;=Overview!$B$5,"REVIEW","OK")))</f>
        <v>OK</v>
      </c>
      <c r="S485" s="33">
        <f t="shared" si="39"/>
        <v>14924.000485</v>
      </c>
    </row>
    <row r="486" spans="1:19" x14ac:dyDescent="0.2">
      <c r="A486" s="17">
        <v>484</v>
      </c>
      <c r="B486" s="17" t="s">
        <v>171</v>
      </c>
      <c r="C486" s="17" t="s">
        <v>338</v>
      </c>
      <c r="D486" s="17" t="s">
        <v>63</v>
      </c>
      <c r="E486" s="17" t="s">
        <v>106</v>
      </c>
      <c r="F486" s="17" t="s">
        <v>339</v>
      </c>
      <c r="G486" s="17" t="s">
        <v>395</v>
      </c>
      <c r="H486" s="30">
        <v>1829</v>
      </c>
      <c r="I486" s="30">
        <v>4074</v>
      </c>
      <c r="J486" s="30">
        <v>6790</v>
      </c>
      <c r="K486" s="30">
        <v>4401</v>
      </c>
      <c r="L486" s="30">
        <v>4445</v>
      </c>
      <c r="M486" s="31">
        <f t="shared" si="35"/>
        <v>2716</v>
      </c>
      <c r="N486" s="32">
        <f t="shared" si="36"/>
        <v>0.66666666666666663</v>
      </c>
      <c r="O486" s="6" t="str">
        <f>IF(ABS(M486)&lt;Overview!$B$6,"OK",IF(I486=0,"REVIEW (zero base)",IF(ABS(M486/ABS(I486))&gt;=Overview!$B$5,"REVIEW","OK")))</f>
        <v>OK</v>
      </c>
      <c r="P486" s="31">
        <f t="shared" si="37"/>
        <v>-2389</v>
      </c>
      <c r="Q486" s="32">
        <f t="shared" si="38"/>
        <v>-0.35184094256259207</v>
      </c>
      <c r="R486" s="6" t="str">
        <f>IF(ABS(P486)&lt;Overview!$B$6,"OK",IF(J486=0,"REVIEW (zero base)",IF(ABS(P486/ABS(J486))&gt;=Overview!$B$5,"REVIEW","OK")))</f>
        <v>OK</v>
      </c>
      <c r="S486" s="33">
        <f t="shared" si="39"/>
        <v>2716.0004859999999</v>
      </c>
    </row>
    <row r="487" spans="1:19" x14ac:dyDescent="0.2">
      <c r="A487" s="17">
        <v>485</v>
      </c>
      <c r="B487" s="17" t="s">
        <v>171</v>
      </c>
      <c r="C487" s="17" t="s">
        <v>338</v>
      </c>
      <c r="D487" s="17" t="s">
        <v>63</v>
      </c>
      <c r="E487" s="17" t="s">
        <v>106</v>
      </c>
      <c r="F487" s="17" t="s">
        <v>341</v>
      </c>
      <c r="G487" s="17" t="s">
        <v>342</v>
      </c>
      <c r="H487" s="30">
        <v>2873</v>
      </c>
      <c r="I487" s="30">
        <v>3918</v>
      </c>
      <c r="J487" s="30">
        <v>3348</v>
      </c>
      <c r="K487" s="30">
        <v>3348</v>
      </c>
      <c r="L487" s="30">
        <v>3348</v>
      </c>
      <c r="M487" s="31">
        <f t="shared" si="35"/>
        <v>-570</v>
      </c>
      <c r="N487" s="32">
        <f t="shared" si="36"/>
        <v>-0.14548238897396631</v>
      </c>
      <c r="O487" s="6" t="str">
        <f>IF(ABS(M487)&lt;Overview!$B$6,"OK",IF(I487=0,"REVIEW (zero base)",IF(ABS(M487/ABS(I487))&gt;=Overview!$B$5,"REVIEW","OK")))</f>
        <v>OK</v>
      </c>
      <c r="P487" s="31">
        <f t="shared" si="37"/>
        <v>0</v>
      </c>
      <c r="Q487" s="32">
        <f t="shared" si="38"/>
        <v>0</v>
      </c>
      <c r="R487" s="6" t="str">
        <f>IF(ABS(P487)&lt;Overview!$B$6,"OK",IF(J487=0,"REVIEW (zero base)",IF(ABS(P487/ABS(J487))&gt;=Overview!$B$5,"REVIEW","OK")))</f>
        <v>OK</v>
      </c>
      <c r="S487" s="33">
        <f t="shared" si="39"/>
        <v>570.00048700000002</v>
      </c>
    </row>
    <row r="488" spans="1:19" x14ac:dyDescent="0.2">
      <c r="A488" s="17">
        <v>486</v>
      </c>
      <c r="B488" s="17" t="s">
        <v>171</v>
      </c>
      <c r="C488" s="17" t="s">
        <v>338</v>
      </c>
      <c r="D488" s="17" t="s">
        <v>63</v>
      </c>
      <c r="E488" s="17" t="s">
        <v>106</v>
      </c>
      <c r="F488" s="17" t="s">
        <v>341</v>
      </c>
      <c r="G488" s="17" t="s">
        <v>406</v>
      </c>
      <c r="H488" s="30">
        <v>0</v>
      </c>
      <c r="I488" s="30">
        <v>1000</v>
      </c>
      <c r="J488" s="30">
        <v>1000</v>
      </c>
      <c r="K488" s="30">
        <v>0</v>
      </c>
      <c r="L488" s="30">
        <v>0</v>
      </c>
      <c r="M488" s="31">
        <f t="shared" si="35"/>
        <v>0</v>
      </c>
      <c r="N488" s="32">
        <f t="shared" si="36"/>
        <v>0</v>
      </c>
      <c r="O488" s="6" t="str">
        <f>IF(ABS(M488)&lt;Overview!$B$6,"OK",IF(I488=0,"REVIEW (zero base)",IF(ABS(M488/ABS(I488))&gt;=Overview!$B$5,"REVIEW","OK")))</f>
        <v>OK</v>
      </c>
      <c r="P488" s="31">
        <f t="shared" si="37"/>
        <v>-1000</v>
      </c>
      <c r="Q488" s="32">
        <f t="shared" si="38"/>
        <v>-1</v>
      </c>
      <c r="R488" s="6" t="str">
        <f>IF(ABS(P488)&lt;Overview!$B$6,"OK",IF(J488=0,"REVIEW (zero base)",IF(ABS(P488/ABS(J488))&gt;=Overview!$B$5,"REVIEW","OK")))</f>
        <v>OK</v>
      </c>
      <c r="S488" s="33">
        <f t="shared" si="39"/>
        <v>4.8799999999999999E-4</v>
      </c>
    </row>
    <row r="489" spans="1:19" x14ac:dyDescent="0.2">
      <c r="A489" s="17">
        <v>487</v>
      </c>
      <c r="B489" s="17" t="s">
        <v>171</v>
      </c>
      <c r="C489" s="17" t="s">
        <v>338</v>
      </c>
      <c r="D489" s="17" t="s">
        <v>63</v>
      </c>
      <c r="E489" s="17" t="s">
        <v>106</v>
      </c>
      <c r="F489" s="17" t="s">
        <v>341</v>
      </c>
      <c r="G489" s="17" t="s">
        <v>376</v>
      </c>
      <c r="H489" s="30">
        <v>54229</v>
      </c>
      <c r="I489" s="30">
        <v>77264</v>
      </c>
      <c r="J489" s="30">
        <v>83875</v>
      </c>
      <c r="K489" s="30">
        <v>80508</v>
      </c>
      <c r="L489" s="30">
        <v>84719</v>
      </c>
      <c r="M489" s="31">
        <f t="shared" si="35"/>
        <v>6611</v>
      </c>
      <c r="N489" s="32">
        <f t="shared" si="36"/>
        <v>8.5563781321184515E-2</v>
      </c>
      <c r="O489" s="6" t="str">
        <f>IF(ABS(M489)&lt;Overview!$B$6,"OK",IF(I489=0,"REVIEW (zero base)",IF(ABS(M489/ABS(I489))&gt;=Overview!$B$5,"REVIEW","OK")))</f>
        <v>OK</v>
      </c>
      <c r="P489" s="31">
        <f t="shared" si="37"/>
        <v>-3367</v>
      </c>
      <c r="Q489" s="32">
        <f t="shared" si="38"/>
        <v>-4.0143070044709392E-2</v>
      </c>
      <c r="R489" s="6" t="str">
        <f>IF(ABS(P489)&lt;Overview!$B$6,"OK",IF(J489=0,"REVIEW (zero base)",IF(ABS(P489/ABS(J489))&gt;=Overview!$B$5,"REVIEW","OK")))</f>
        <v>OK</v>
      </c>
      <c r="S489" s="33">
        <f t="shared" si="39"/>
        <v>6611.000489</v>
      </c>
    </row>
    <row r="490" spans="1:19" x14ac:dyDescent="0.2">
      <c r="A490" s="17">
        <v>488</v>
      </c>
      <c r="B490" s="17" t="s">
        <v>171</v>
      </c>
      <c r="C490" s="17" t="s">
        <v>338</v>
      </c>
      <c r="D490" s="17" t="s">
        <v>63</v>
      </c>
      <c r="E490" s="17" t="s">
        <v>106</v>
      </c>
      <c r="F490" s="17" t="s">
        <v>341</v>
      </c>
      <c r="G490" s="17" t="s">
        <v>343</v>
      </c>
      <c r="H490" s="30">
        <v>13565</v>
      </c>
      <c r="I490" s="30">
        <v>18820</v>
      </c>
      <c r="J490" s="30">
        <v>25688</v>
      </c>
      <c r="K490" s="30">
        <v>26650</v>
      </c>
      <c r="L490" s="30">
        <v>26917</v>
      </c>
      <c r="M490" s="31">
        <f t="shared" si="35"/>
        <v>6868</v>
      </c>
      <c r="N490" s="32">
        <f t="shared" si="36"/>
        <v>0.3649309245483528</v>
      </c>
      <c r="O490" s="6" t="str">
        <f>IF(ABS(M490)&lt;Overview!$B$6,"OK",IF(I490=0,"REVIEW (zero base)",IF(ABS(M490/ABS(I490))&gt;=Overview!$B$5,"REVIEW","OK")))</f>
        <v>OK</v>
      </c>
      <c r="P490" s="31">
        <f t="shared" si="37"/>
        <v>962</v>
      </c>
      <c r="Q490" s="32">
        <f t="shared" si="38"/>
        <v>3.7449392712550607E-2</v>
      </c>
      <c r="R490" s="6" t="str">
        <f>IF(ABS(P490)&lt;Overview!$B$6,"OK",IF(J490=0,"REVIEW (zero base)",IF(ABS(P490/ABS(J490))&gt;=Overview!$B$5,"REVIEW","OK")))</f>
        <v>OK</v>
      </c>
      <c r="S490" s="33">
        <f t="shared" si="39"/>
        <v>6868.0004900000004</v>
      </c>
    </row>
    <row r="491" spans="1:19" x14ac:dyDescent="0.2">
      <c r="A491" s="17">
        <v>489</v>
      </c>
      <c r="B491" s="17" t="s">
        <v>171</v>
      </c>
      <c r="C491" s="17" t="s">
        <v>338</v>
      </c>
      <c r="D491" s="17" t="s">
        <v>63</v>
      </c>
      <c r="E491" s="17" t="s">
        <v>106</v>
      </c>
      <c r="F491" s="17" t="s">
        <v>341</v>
      </c>
      <c r="G491" s="17" t="s">
        <v>344</v>
      </c>
      <c r="H491" s="30">
        <v>43123</v>
      </c>
      <c r="I491" s="30">
        <v>55703</v>
      </c>
      <c r="J491" s="30">
        <v>74490</v>
      </c>
      <c r="K491" s="30">
        <v>81924</v>
      </c>
      <c r="L491" s="30">
        <v>83562</v>
      </c>
      <c r="M491" s="31">
        <f t="shared" si="35"/>
        <v>18787</v>
      </c>
      <c r="N491" s="32">
        <f t="shared" si="36"/>
        <v>0.33727088307631548</v>
      </c>
      <c r="O491" s="6" t="str">
        <f>IF(ABS(M491)&lt;Overview!$B$6,"OK",IF(I491=0,"REVIEW (zero base)",IF(ABS(M491/ABS(I491))&gt;=Overview!$B$5,"REVIEW","OK")))</f>
        <v>OK</v>
      </c>
      <c r="P491" s="31">
        <f t="shared" si="37"/>
        <v>7434</v>
      </c>
      <c r="Q491" s="32">
        <f t="shared" si="38"/>
        <v>9.979863068868304E-2</v>
      </c>
      <c r="R491" s="6" t="str">
        <f>IF(ABS(P491)&lt;Overview!$B$6,"OK",IF(J491=0,"REVIEW (zero base)",IF(ABS(P491/ABS(J491))&gt;=Overview!$B$5,"REVIEW","OK")))</f>
        <v>OK</v>
      </c>
      <c r="S491" s="33">
        <f t="shared" si="39"/>
        <v>18787.000490999999</v>
      </c>
    </row>
    <row r="492" spans="1:19" x14ac:dyDescent="0.2">
      <c r="A492" s="17">
        <v>490</v>
      </c>
      <c r="B492" s="17" t="s">
        <v>171</v>
      </c>
      <c r="C492" s="17" t="s">
        <v>338</v>
      </c>
      <c r="D492" s="17" t="s">
        <v>63</v>
      </c>
      <c r="E492" s="17" t="s">
        <v>106</v>
      </c>
      <c r="F492" s="17" t="s">
        <v>364</v>
      </c>
      <c r="G492" s="17" t="s">
        <v>383</v>
      </c>
      <c r="H492" s="30">
        <v>0</v>
      </c>
      <c r="I492" s="30">
        <v>0</v>
      </c>
      <c r="J492" s="30">
        <v>500</v>
      </c>
      <c r="K492" s="30">
        <v>500</v>
      </c>
      <c r="L492" s="30">
        <v>500</v>
      </c>
      <c r="M492" s="31">
        <f t="shared" si="35"/>
        <v>500</v>
      </c>
      <c r="N492" s="32" t="str">
        <f t="shared" si="36"/>
        <v>n/a</v>
      </c>
      <c r="O492" s="6" t="str">
        <f>IF(ABS(M492)&lt;Overview!$B$6,"OK",IF(I492=0,"REVIEW (zero base)",IF(ABS(M492/ABS(I492))&gt;=Overview!$B$5,"REVIEW","OK")))</f>
        <v>OK</v>
      </c>
      <c r="P492" s="31">
        <f t="shared" si="37"/>
        <v>0</v>
      </c>
      <c r="Q492" s="32">
        <f t="shared" si="38"/>
        <v>0</v>
      </c>
      <c r="R492" s="6" t="str">
        <f>IF(ABS(P492)&lt;Overview!$B$6,"OK",IF(J492=0,"REVIEW (zero base)",IF(ABS(P492/ABS(J492))&gt;=Overview!$B$5,"REVIEW","OK")))</f>
        <v>OK</v>
      </c>
      <c r="S492" s="33">
        <f t="shared" si="39"/>
        <v>500.00049200000001</v>
      </c>
    </row>
    <row r="493" spans="1:19" x14ac:dyDescent="0.2">
      <c r="A493" s="17">
        <v>491</v>
      </c>
      <c r="B493" s="17" t="s">
        <v>171</v>
      </c>
      <c r="C493" s="17" t="s">
        <v>338</v>
      </c>
      <c r="D493" s="17" t="s">
        <v>63</v>
      </c>
      <c r="E493" s="17" t="s">
        <v>106</v>
      </c>
      <c r="F493" s="17" t="s">
        <v>364</v>
      </c>
      <c r="G493" s="17" t="s">
        <v>397</v>
      </c>
      <c r="H493" s="30">
        <v>80</v>
      </c>
      <c r="I493" s="30">
        <v>0</v>
      </c>
      <c r="J493" s="30">
        <v>18250</v>
      </c>
      <c r="K493" s="30">
        <v>20700</v>
      </c>
      <c r="L493" s="30">
        <v>20845</v>
      </c>
      <c r="M493" s="31">
        <f t="shared" si="35"/>
        <v>18250</v>
      </c>
      <c r="N493" s="32" t="str">
        <f t="shared" si="36"/>
        <v>n/a</v>
      </c>
      <c r="O493" s="6" t="str">
        <f>IF(ABS(M493)&lt;Overview!$B$6,"OK",IF(I493=0,"REVIEW (zero base)",IF(ABS(M493/ABS(I493))&gt;=Overview!$B$5,"REVIEW","OK")))</f>
        <v>OK</v>
      </c>
      <c r="P493" s="31">
        <f t="shared" si="37"/>
        <v>2450</v>
      </c>
      <c r="Q493" s="32">
        <f t="shared" si="38"/>
        <v>0.13424657534246576</v>
      </c>
      <c r="R493" s="6" t="str">
        <f>IF(ABS(P493)&lt;Overview!$B$6,"OK",IF(J493=0,"REVIEW (zero base)",IF(ABS(P493/ABS(J493))&gt;=Overview!$B$5,"REVIEW","OK")))</f>
        <v>OK</v>
      </c>
      <c r="S493" s="33">
        <f t="shared" si="39"/>
        <v>18250.000493</v>
      </c>
    </row>
    <row r="494" spans="1:19" x14ac:dyDescent="0.2">
      <c r="A494" s="17">
        <v>492</v>
      </c>
      <c r="B494" s="17" t="s">
        <v>171</v>
      </c>
      <c r="C494" s="17" t="s">
        <v>338</v>
      </c>
      <c r="D494" s="17" t="s">
        <v>63</v>
      </c>
      <c r="E494" s="17" t="s">
        <v>106</v>
      </c>
      <c r="F494" s="17" t="s">
        <v>364</v>
      </c>
      <c r="G494" s="17" t="s">
        <v>398</v>
      </c>
      <c r="H494" s="30">
        <v>116</v>
      </c>
      <c r="I494" s="30">
        <v>6522</v>
      </c>
      <c r="J494" s="30">
        <v>15050</v>
      </c>
      <c r="K494" s="30">
        <v>15050</v>
      </c>
      <c r="L494" s="30">
        <v>15155</v>
      </c>
      <c r="M494" s="31">
        <f t="shared" si="35"/>
        <v>8528</v>
      </c>
      <c r="N494" s="32">
        <f t="shared" si="36"/>
        <v>1.3075743636921189</v>
      </c>
      <c r="O494" s="6" t="str">
        <f>IF(ABS(M494)&lt;Overview!$B$6,"OK",IF(I494=0,"REVIEW (zero base)",IF(ABS(M494/ABS(I494))&gt;=Overview!$B$5,"REVIEW","OK")))</f>
        <v>OK</v>
      </c>
      <c r="P494" s="31">
        <f t="shared" si="37"/>
        <v>0</v>
      </c>
      <c r="Q494" s="32">
        <f t="shared" si="38"/>
        <v>0</v>
      </c>
      <c r="R494" s="6" t="str">
        <f>IF(ABS(P494)&lt;Overview!$B$6,"OK",IF(J494=0,"REVIEW (zero base)",IF(ABS(P494/ABS(J494))&gt;=Overview!$B$5,"REVIEW","OK")))</f>
        <v>OK</v>
      </c>
      <c r="S494" s="33">
        <f t="shared" si="39"/>
        <v>8528.0004939999999</v>
      </c>
    </row>
    <row r="495" spans="1:19" x14ac:dyDescent="0.2">
      <c r="A495" s="17">
        <v>493</v>
      </c>
      <c r="B495" s="17" t="s">
        <v>171</v>
      </c>
      <c r="C495" s="17" t="s">
        <v>338</v>
      </c>
      <c r="D495" s="17" t="s">
        <v>63</v>
      </c>
      <c r="E495" s="17" t="s">
        <v>106</v>
      </c>
      <c r="F495" s="17" t="s">
        <v>364</v>
      </c>
      <c r="G495" s="17" t="s">
        <v>399</v>
      </c>
      <c r="H495" s="30">
        <v>538</v>
      </c>
      <c r="I495" s="30">
        <v>1110</v>
      </c>
      <c r="J495" s="30">
        <v>4500</v>
      </c>
      <c r="K495" s="30">
        <v>2000</v>
      </c>
      <c r="L495" s="30">
        <v>2014</v>
      </c>
      <c r="M495" s="31">
        <f t="shared" si="35"/>
        <v>3390</v>
      </c>
      <c r="N495" s="32">
        <f t="shared" si="36"/>
        <v>3.0540540540540539</v>
      </c>
      <c r="O495" s="6" t="str">
        <f>IF(ABS(M495)&lt;Overview!$B$6,"OK",IF(I495=0,"REVIEW (zero base)",IF(ABS(M495/ABS(I495))&gt;=Overview!$B$5,"REVIEW","OK")))</f>
        <v>OK</v>
      </c>
      <c r="P495" s="31">
        <f t="shared" si="37"/>
        <v>-2500</v>
      </c>
      <c r="Q495" s="32">
        <f t="shared" si="38"/>
        <v>-0.55555555555555558</v>
      </c>
      <c r="R495" s="6" t="str">
        <f>IF(ABS(P495)&lt;Overview!$B$6,"OK",IF(J495=0,"REVIEW (zero base)",IF(ABS(P495/ABS(J495))&gt;=Overview!$B$5,"REVIEW","OK")))</f>
        <v>OK</v>
      </c>
      <c r="S495" s="33">
        <f t="shared" si="39"/>
        <v>3390.0004949999998</v>
      </c>
    </row>
    <row r="496" spans="1:19" x14ac:dyDescent="0.2">
      <c r="A496" s="17">
        <v>494</v>
      </c>
      <c r="B496" s="17" t="s">
        <v>171</v>
      </c>
      <c r="C496" s="17" t="s">
        <v>338</v>
      </c>
      <c r="D496" s="17" t="s">
        <v>63</v>
      </c>
      <c r="E496" s="17" t="s">
        <v>106</v>
      </c>
      <c r="F496" s="17" t="s">
        <v>364</v>
      </c>
      <c r="G496" s="17" t="s">
        <v>429</v>
      </c>
      <c r="H496" s="30">
        <v>73630</v>
      </c>
      <c r="I496" s="30">
        <v>6336</v>
      </c>
      <c r="J496" s="30">
        <v>286000</v>
      </c>
      <c r="K496" s="30">
        <v>266000</v>
      </c>
      <c r="L496" s="30">
        <v>266000</v>
      </c>
      <c r="M496" s="31">
        <f t="shared" si="35"/>
        <v>279664</v>
      </c>
      <c r="N496" s="32">
        <f t="shared" si="36"/>
        <v>44.138888888888886</v>
      </c>
      <c r="O496" s="6" t="str">
        <f>IF(ABS(M496)&lt;Overview!$B$6,"OK",IF(I496=0,"REVIEW (zero base)",IF(ABS(M496/ABS(I496))&gt;=Overview!$B$5,"REVIEW","OK")))</f>
        <v>REVIEW</v>
      </c>
      <c r="P496" s="31">
        <f t="shared" si="37"/>
        <v>-20000</v>
      </c>
      <c r="Q496" s="32">
        <f t="shared" si="38"/>
        <v>-6.9930069930069935E-2</v>
      </c>
      <c r="R496" s="6" t="str">
        <f>IF(ABS(P496)&lt;Overview!$B$6,"OK",IF(J496=0,"REVIEW (zero base)",IF(ABS(P496/ABS(J496))&gt;=Overview!$B$5,"REVIEW","OK")))</f>
        <v>OK</v>
      </c>
      <c r="S496" s="33">
        <f t="shared" si="39"/>
        <v>279664.00049599999</v>
      </c>
    </row>
    <row r="497" spans="1:19" x14ac:dyDescent="0.2">
      <c r="A497" s="17">
        <v>495</v>
      </c>
      <c r="B497" s="17" t="s">
        <v>171</v>
      </c>
      <c r="C497" s="17" t="s">
        <v>338</v>
      </c>
      <c r="D497" s="17" t="s">
        <v>63</v>
      </c>
      <c r="E497" s="17" t="s">
        <v>106</v>
      </c>
      <c r="F497" s="17" t="s">
        <v>409</v>
      </c>
      <c r="G497" s="17" t="s">
        <v>432</v>
      </c>
      <c r="H497" s="30">
        <v>74638</v>
      </c>
      <c r="I497" s="30">
        <v>102307</v>
      </c>
      <c r="J497" s="30">
        <v>620000</v>
      </c>
      <c r="K497" s="30">
        <v>1224500</v>
      </c>
      <c r="L497" s="30">
        <v>1233072</v>
      </c>
      <c r="M497" s="31">
        <f t="shared" si="35"/>
        <v>517693</v>
      </c>
      <c r="N497" s="32">
        <f t="shared" si="36"/>
        <v>5.0601913847537316</v>
      </c>
      <c r="O497" s="6" t="str">
        <f>IF(ABS(M497)&lt;Overview!$B$6,"OK",IF(I497=0,"REVIEW (zero base)",IF(ABS(M497/ABS(I497))&gt;=Overview!$B$5,"REVIEW","OK")))</f>
        <v>REVIEW</v>
      </c>
      <c r="P497" s="31">
        <f t="shared" si="37"/>
        <v>604500</v>
      </c>
      <c r="Q497" s="32">
        <f t="shared" si="38"/>
        <v>0.97499999999999998</v>
      </c>
      <c r="R497" s="6" t="str">
        <f>IF(ABS(P497)&lt;Overview!$B$6,"OK",IF(J497=0,"REVIEW (zero base)",IF(ABS(P497/ABS(J497))&gt;=Overview!$B$5,"REVIEW","OK")))</f>
        <v>REVIEW</v>
      </c>
      <c r="S497" s="33">
        <f t="shared" si="39"/>
        <v>517693.000497</v>
      </c>
    </row>
    <row r="498" spans="1:19" x14ac:dyDescent="0.2">
      <c r="A498" s="17">
        <v>496</v>
      </c>
      <c r="B498" s="17" t="s">
        <v>171</v>
      </c>
      <c r="C498" s="17" t="s">
        <v>338</v>
      </c>
      <c r="D498" s="17" t="s">
        <v>63</v>
      </c>
      <c r="E498" s="17" t="s">
        <v>106</v>
      </c>
      <c r="F498" s="17" t="s">
        <v>347</v>
      </c>
      <c r="G498" s="17" t="s">
        <v>348</v>
      </c>
      <c r="H498" s="30">
        <v>27019</v>
      </c>
      <c r="I498" s="30">
        <v>29573</v>
      </c>
      <c r="J498" s="30">
        <v>15133</v>
      </c>
      <c r="K498" s="30">
        <v>12885</v>
      </c>
      <c r="L498" s="30">
        <v>12975</v>
      </c>
      <c r="M498" s="31">
        <f t="shared" si="35"/>
        <v>-14440</v>
      </c>
      <c r="N498" s="32">
        <f t="shared" si="36"/>
        <v>-0.48828323132587159</v>
      </c>
      <c r="O498" s="6" t="str">
        <f>IF(ABS(M498)&lt;Overview!$B$6,"OK",IF(I498=0,"REVIEW (zero base)",IF(ABS(M498/ABS(I498))&gt;=Overview!$B$5,"REVIEW","OK")))</f>
        <v>OK</v>
      </c>
      <c r="P498" s="31">
        <f t="shared" si="37"/>
        <v>-2248</v>
      </c>
      <c r="Q498" s="32">
        <f t="shared" si="38"/>
        <v>-0.14854952752263265</v>
      </c>
      <c r="R498" s="6" t="str">
        <f>IF(ABS(P498)&lt;Overview!$B$6,"OK",IF(J498=0,"REVIEW (zero base)",IF(ABS(P498/ABS(J498))&gt;=Overview!$B$5,"REVIEW","OK")))</f>
        <v>OK</v>
      </c>
      <c r="S498" s="33">
        <f t="shared" si="39"/>
        <v>14440.000497999999</v>
      </c>
    </row>
    <row r="499" spans="1:19" x14ac:dyDescent="0.2">
      <c r="A499" s="17">
        <v>497</v>
      </c>
      <c r="B499" s="17" t="s">
        <v>171</v>
      </c>
      <c r="C499" s="17" t="s">
        <v>338</v>
      </c>
      <c r="D499" s="17" t="s">
        <v>63</v>
      </c>
      <c r="E499" s="17" t="s">
        <v>106</v>
      </c>
      <c r="F499" s="17" t="s">
        <v>386</v>
      </c>
      <c r="G499" s="17" t="s">
        <v>413</v>
      </c>
      <c r="H499" s="30">
        <v>0</v>
      </c>
      <c r="I499" s="30">
        <v>0</v>
      </c>
      <c r="J499" s="30">
        <v>0</v>
      </c>
      <c r="K499" s="30">
        <v>2700</v>
      </c>
      <c r="L499" s="30">
        <v>2719</v>
      </c>
      <c r="M499" s="31">
        <f t="shared" si="35"/>
        <v>0</v>
      </c>
      <c r="N499" s="32" t="str">
        <f t="shared" si="36"/>
        <v>n/a</v>
      </c>
      <c r="O499" s="6" t="str">
        <f>IF(ABS(M499)&lt;Overview!$B$6,"OK",IF(I499=0,"REVIEW (zero base)",IF(ABS(M499/ABS(I499))&gt;=Overview!$B$5,"REVIEW","OK")))</f>
        <v>OK</v>
      </c>
      <c r="P499" s="31">
        <f t="shared" si="37"/>
        <v>2700</v>
      </c>
      <c r="Q499" s="32" t="str">
        <f t="shared" si="38"/>
        <v>n/a</v>
      </c>
      <c r="R499" s="6" t="str">
        <f>IF(ABS(P499)&lt;Overview!$B$6,"OK",IF(J499=0,"REVIEW (zero base)",IF(ABS(P499/ABS(J499))&gt;=Overview!$B$5,"REVIEW","OK")))</f>
        <v>OK</v>
      </c>
      <c r="S499" s="33">
        <f t="shared" si="39"/>
        <v>4.9899999999999999E-4</v>
      </c>
    </row>
    <row r="500" spans="1:19" x14ac:dyDescent="0.2">
      <c r="A500" s="17">
        <v>498</v>
      </c>
      <c r="B500" s="17" t="s">
        <v>171</v>
      </c>
      <c r="C500" s="17" t="s">
        <v>338</v>
      </c>
      <c r="D500" s="17" t="s">
        <v>63</v>
      </c>
      <c r="E500" s="17" t="s">
        <v>106</v>
      </c>
      <c r="F500" s="17" t="s">
        <v>386</v>
      </c>
      <c r="G500" s="17" t="s">
        <v>387</v>
      </c>
      <c r="H500" s="30">
        <v>990</v>
      </c>
      <c r="I500" s="30">
        <v>641</v>
      </c>
      <c r="J500" s="30">
        <v>2000</v>
      </c>
      <c r="K500" s="30">
        <v>2700</v>
      </c>
      <c r="L500" s="30">
        <v>2719</v>
      </c>
      <c r="M500" s="31">
        <f t="shared" si="35"/>
        <v>1359</v>
      </c>
      <c r="N500" s="32">
        <f t="shared" si="36"/>
        <v>2.1201248049921997</v>
      </c>
      <c r="O500" s="6" t="str">
        <f>IF(ABS(M500)&lt;Overview!$B$6,"OK",IF(I500=0,"REVIEW (zero base)",IF(ABS(M500/ABS(I500))&gt;=Overview!$B$5,"REVIEW","OK")))</f>
        <v>OK</v>
      </c>
      <c r="P500" s="31">
        <f t="shared" si="37"/>
        <v>700</v>
      </c>
      <c r="Q500" s="32">
        <f t="shared" si="38"/>
        <v>0.35</v>
      </c>
      <c r="R500" s="6" t="str">
        <f>IF(ABS(P500)&lt;Overview!$B$6,"OK",IF(J500=0,"REVIEW (zero base)",IF(ABS(P500/ABS(J500))&gt;=Overview!$B$5,"REVIEW","OK")))</f>
        <v>OK</v>
      </c>
      <c r="S500" s="33">
        <f t="shared" si="39"/>
        <v>1359.0005000000001</v>
      </c>
    </row>
    <row r="501" spans="1:19" x14ac:dyDescent="0.2">
      <c r="A501" s="17">
        <v>499</v>
      </c>
      <c r="B501" s="17" t="s">
        <v>171</v>
      </c>
      <c r="C501" s="17" t="s">
        <v>338</v>
      </c>
      <c r="D501" s="17" t="s">
        <v>63</v>
      </c>
      <c r="E501" s="17" t="s">
        <v>106</v>
      </c>
      <c r="F501" s="17" t="s">
        <v>411</v>
      </c>
      <c r="G501" s="17" t="s">
        <v>433</v>
      </c>
      <c r="H501" s="30">
        <v>24692</v>
      </c>
      <c r="I501" s="30">
        <v>16414</v>
      </c>
      <c r="J501" s="30">
        <v>25550</v>
      </c>
      <c r="K501" s="30">
        <v>25500</v>
      </c>
      <c r="L501" s="30">
        <v>25679</v>
      </c>
      <c r="M501" s="31">
        <f t="shared" si="35"/>
        <v>9136</v>
      </c>
      <c r="N501" s="32">
        <f t="shared" si="36"/>
        <v>0.55659802607530162</v>
      </c>
      <c r="O501" s="6" t="str">
        <f>IF(ABS(M501)&lt;Overview!$B$6,"OK",IF(I501=0,"REVIEW (zero base)",IF(ABS(M501/ABS(I501))&gt;=Overview!$B$5,"REVIEW","OK")))</f>
        <v>OK</v>
      </c>
      <c r="P501" s="31">
        <f t="shared" si="37"/>
        <v>-50</v>
      </c>
      <c r="Q501" s="32">
        <f t="shared" si="38"/>
        <v>-1.9569471624266144E-3</v>
      </c>
      <c r="R501" s="6" t="str">
        <f>IF(ABS(P501)&lt;Overview!$B$6,"OK",IF(J501=0,"REVIEW (zero base)",IF(ABS(P501/ABS(J501))&gt;=Overview!$B$5,"REVIEW","OK")))</f>
        <v>OK</v>
      </c>
      <c r="S501" s="33">
        <f t="shared" si="39"/>
        <v>9136.0005010000004</v>
      </c>
    </row>
    <row r="502" spans="1:19" x14ac:dyDescent="0.2">
      <c r="A502" s="17">
        <v>500</v>
      </c>
      <c r="B502" s="17" t="s">
        <v>171</v>
      </c>
      <c r="C502" s="17" t="s">
        <v>338</v>
      </c>
      <c r="D502" s="17" t="s">
        <v>63</v>
      </c>
      <c r="E502" s="17" t="s">
        <v>148</v>
      </c>
      <c r="F502" s="17" t="s">
        <v>339</v>
      </c>
      <c r="G502" s="17" t="s">
        <v>340</v>
      </c>
      <c r="H502" s="30">
        <v>7286</v>
      </c>
      <c r="I502" s="30">
        <v>0</v>
      </c>
      <c r="J502" s="30">
        <v>0</v>
      </c>
      <c r="K502" s="30">
        <v>0</v>
      </c>
      <c r="L502" s="30">
        <v>0</v>
      </c>
      <c r="M502" s="31">
        <f t="shared" si="35"/>
        <v>0</v>
      </c>
      <c r="N502" s="32" t="str">
        <f t="shared" si="36"/>
        <v>n/a</v>
      </c>
      <c r="O502" s="6" t="str">
        <f>IF(ABS(M502)&lt;Overview!$B$6,"OK",IF(I502=0,"REVIEW (zero base)",IF(ABS(M502/ABS(I502))&gt;=Overview!$B$5,"REVIEW","OK")))</f>
        <v>OK</v>
      </c>
      <c r="P502" s="31">
        <f t="shared" si="37"/>
        <v>0</v>
      </c>
      <c r="Q502" s="32" t="str">
        <f t="shared" si="38"/>
        <v>n/a</v>
      </c>
      <c r="R502" s="6" t="str">
        <f>IF(ABS(P502)&lt;Overview!$B$6,"OK",IF(J502=0,"REVIEW (zero base)",IF(ABS(P502/ABS(J502))&gt;=Overview!$B$5,"REVIEW","OK")))</f>
        <v>OK</v>
      </c>
      <c r="S502" s="33">
        <f t="shared" si="39"/>
        <v>5.0199999999999995E-4</v>
      </c>
    </row>
    <row r="503" spans="1:19" x14ac:dyDescent="0.2">
      <c r="A503" s="17">
        <v>501</v>
      </c>
      <c r="B503" s="17" t="s">
        <v>171</v>
      </c>
      <c r="C503" s="17" t="s">
        <v>338</v>
      </c>
      <c r="D503" s="17" t="s">
        <v>63</v>
      </c>
      <c r="E503" s="17" t="s">
        <v>148</v>
      </c>
      <c r="F503" s="17" t="s">
        <v>341</v>
      </c>
      <c r="G503" s="17" t="s">
        <v>342</v>
      </c>
      <c r="H503" s="30">
        <v>31</v>
      </c>
      <c r="I503" s="30">
        <v>0</v>
      </c>
      <c r="J503" s="30">
        <v>0</v>
      </c>
      <c r="K503" s="30">
        <v>0</v>
      </c>
      <c r="L503" s="30">
        <v>0</v>
      </c>
      <c r="M503" s="31">
        <f t="shared" si="35"/>
        <v>0</v>
      </c>
      <c r="N503" s="32" t="str">
        <f t="shared" si="36"/>
        <v>n/a</v>
      </c>
      <c r="O503" s="6" t="str">
        <f>IF(ABS(M503)&lt;Overview!$B$6,"OK",IF(I503=0,"REVIEW (zero base)",IF(ABS(M503/ABS(I503))&gt;=Overview!$B$5,"REVIEW","OK")))</f>
        <v>OK</v>
      </c>
      <c r="P503" s="31">
        <f t="shared" si="37"/>
        <v>0</v>
      </c>
      <c r="Q503" s="32" t="str">
        <f t="shared" si="38"/>
        <v>n/a</v>
      </c>
      <c r="R503" s="6" t="str">
        <f>IF(ABS(P503)&lt;Overview!$B$6,"OK",IF(J503=0,"REVIEW (zero base)",IF(ABS(P503/ABS(J503))&gt;=Overview!$B$5,"REVIEW","OK")))</f>
        <v>OK</v>
      </c>
      <c r="S503" s="33">
        <f t="shared" si="39"/>
        <v>5.0299999999999997E-4</v>
      </c>
    </row>
    <row r="504" spans="1:19" x14ac:dyDescent="0.2">
      <c r="A504" s="17">
        <v>502</v>
      </c>
      <c r="B504" s="17" t="s">
        <v>171</v>
      </c>
      <c r="C504" s="17" t="s">
        <v>338</v>
      </c>
      <c r="D504" s="17" t="s">
        <v>63</v>
      </c>
      <c r="E504" s="17" t="s">
        <v>148</v>
      </c>
      <c r="F504" s="17" t="s">
        <v>341</v>
      </c>
      <c r="G504" s="17" t="s">
        <v>376</v>
      </c>
      <c r="H504" s="30">
        <v>2106</v>
      </c>
      <c r="I504" s="30">
        <v>0</v>
      </c>
      <c r="J504" s="30">
        <v>0</v>
      </c>
      <c r="K504" s="30">
        <v>0</v>
      </c>
      <c r="L504" s="30">
        <v>0</v>
      </c>
      <c r="M504" s="31">
        <f t="shared" si="35"/>
        <v>0</v>
      </c>
      <c r="N504" s="32" t="str">
        <f t="shared" si="36"/>
        <v>n/a</v>
      </c>
      <c r="O504" s="6" t="str">
        <f>IF(ABS(M504)&lt;Overview!$B$6,"OK",IF(I504=0,"REVIEW (zero base)",IF(ABS(M504/ABS(I504))&gt;=Overview!$B$5,"REVIEW","OK")))</f>
        <v>OK</v>
      </c>
      <c r="P504" s="31">
        <f t="shared" si="37"/>
        <v>0</v>
      </c>
      <c r="Q504" s="32" t="str">
        <f t="shared" si="38"/>
        <v>n/a</v>
      </c>
      <c r="R504" s="6" t="str">
        <f>IF(ABS(P504)&lt;Overview!$B$6,"OK",IF(J504=0,"REVIEW (zero base)",IF(ABS(P504/ABS(J504))&gt;=Overview!$B$5,"REVIEW","OK")))</f>
        <v>OK</v>
      </c>
      <c r="S504" s="33">
        <f t="shared" si="39"/>
        <v>5.04E-4</v>
      </c>
    </row>
    <row r="505" spans="1:19" x14ac:dyDescent="0.2">
      <c r="A505" s="17">
        <v>503</v>
      </c>
      <c r="B505" s="17" t="s">
        <v>171</v>
      </c>
      <c r="C505" s="17" t="s">
        <v>338</v>
      </c>
      <c r="D505" s="17" t="s">
        <v>63</v>
      </c>
      <c r="E505" s="17" t="s">
        <v>148</v>
      </c>
      <c r="F505" s="17" t="s">
        <v>341</v>
      </c>
      <c r="G505" s="17" t="s">
        <v>343</v>
      </c>
      <c r="H505" s="30">
        <v>548</v>
      </c>
      <c r="I505" s="30">
        <v>0</v>
      </c>
      <c r="J505" s="30">
        <v>0</v>
      </c>
      <c r="K505" s="30">
        <v>0</v>
      </c>
      <c r="L505" s="30">
        <v>0</v>
      </c>
      <c r="M505" s="31">
        <f t="shared" si="35"/>
        <v>0</v>
      </c>
      <c r="N505" s="32" t="str">
        <f t="shared" si="36"/>
        <v>n/a</v>
      </c>
      <c r="O505" s="6" t="str">
        <f>IF(ABS(M505)&lt;Overview!$B$6,"OK",IF(I505=0,"REVIEW (zero base)",IF(ABS(M505/ABS(I505))&gt;=Overview!$B$5,"REVIEW","OK")))</f>
        <v>OK</v>
      </c>
      <c r="P505" s="31">
        <f t="shared" si="37"/>
        <v>0</v>
      </c>
      <c r="Q505" s="32" t="str">
        <f t="shared" si="38"/>
        <v>n/a</v>
      </c>
      <c r="R505" s="6" t="str">
        <f>IF(ABS(P505)&lt;Overview!$B$6,"OK",IF(J505=0,"REVIEW (zero base)",IF(ABS(P505/ABS(J505))&gt;=Overview!$B$5,"REVIEW","OK")))</f>
        <v>OK</v>
      </c>
      <c r="S505" s="33">
        <f t="shared" si="39"/>
        <v>5.0500000000000002E-4</v>
      </c>
    </row>
    <row r="506" spans="1:19" x14ac:dyDescent="0.2">
      <c r="A506" s="17">
        <v>504</v>
      </c>
      <c r="B506" s="17" t="s">
        <v>171</v>
      </c>
      <c r="C506" s="17" t="s">
        <v>338</v>
      </c>
      <c r="D506" s="17" t="s">
        <v>63</v>
      </c>
      <c r="E506" s="17" t="s">
        <v>148</v>
      </c>
      <c r="F506" s="17" t="s">
        <v>341</v>
      </c>
      <c r="G506" s="17" t="s">
        <v>344</v>
      </c>
      <c r="H506" s="30">
        <v>597</v>
      </c>
      <c r="I506" s="30">
        <v>0</v>
      </c>
      <c r="J506" s="30">
        <v>0</v>
      </c>
      <c r="K506" s="30">
        <v>0</v>
      </c>
      <c r="L506" s="30">
        <v>0</v>
      </c>
      <c r="M506" s="31">
        <f t="shared" si="35"/>
        <v>0</v>
      </c>
      <c r="N506" s="32" t="str">
        <f t="shared" si="36"/>
        <v>n/a</v>
      </c>
      <c r="O506" s="6" t="str">
        <f>IF(ABS(M506)&lt;Overview!$B$6,"OK",IF(I506=0,"REVIEW (zero base)",IF(ABS(M506/ABS(I506))&gt;=Overview!$B$5,"REVIEW","OK")))</f>
        <v>OK</v>
      </c>
      <c r="P506" s="31">
        <f t="shared" si="37"/>
        <v>0</v>
      </c>
      <c r="Q506" s="32" t="str">
        <f t="shared" si="38"/>
        <v>n/a</v>
      </c>
      <c r="R506" s="6" t="str">
        <f>IF(ABS(P506)&lt;Overview!$B$6,"OK",IF(J506=0,"REVIEW (zero base)",IF(ABS(P506/ABS(J506))&gt;=Overview!$B$5,"REVIEW","OK")))</f>
        <v>OK</v>
      </c>
      <c r="S506" s="33">
        <f t="shared" si="39"/>
        <v>5.0600000000000005E-4</v>
      </c>
    </row>
    <row r="507" spans="1:19" x14ac:dyDescent="0.2">
      <c r="A507" s="17">
        <v>505</v>
      </c>
      <c r="B507" s="17" t="s">
        <v>171</v>
      </c>
      <c r="C507" s="17" t="s">
        <v>338</v>
      </c>
      <c r="D507" s="17" t="s">
        <v>68</v>
      </c>
      <c r="E507" s="17" t="s">
        <v>110</v>
      </c>
      <c r="F507" s="17" t="s">
        <v>339</v>
      </c>
      <c r="G507" s="17" t="s">
        <v>340</v>
      </c>
      <c r="H507" s="30">
        <v>585103</v>
      </c>
      <c r="I507" s="30">
        <v>620373</v>
      </c>
      <c r="J507" s="30">
        <v>739653</v>
      </c>
      <c r="K507" s="30">
        <v>753047</v>
      </c>
      <c r="L507" s="30">
        <v>760577</v>
      </c>
      <c r="M507" s="31">
        <f t="shared" si="35"/>
        <v>119280</v>
      </c>
      <c r="N507" s="32">
        <f t="shared" si="36"/>
        <v>0.19227142380471104</v>
      </c>
      <c r="O507" s="6" t="str">
        <f>IF(ABS(M507)&lt;Overview!$B$6,"OK",IF(I507=0,"REVIEW (zero base)",IF(ABS(M507/ABS(I507))&gt;=Overview!$B$5,"REVIEW","OK")))</f>
        <v>OK</v>
      </c>
      <c r="P507" s="31">
        <f t="shared" si="37"/>
        <v>13394</v>
      </c>
      <c r="Q507" s="32">
        <f t="shared" si="38"/>
        <v>1.8108491414217207E-2</v>
      </c>
      <c r="R507" s="6" t="str">
        <f>IF(ABS(P507)&lt;Overview!$B$6,"OK",IF(J507=0,"REVIEW (zero base)",IF(ABS(P507/ABS(J507))&gt;=Overview!$B$5,"REVIEW","OK")))</f>
        <v>OK</v>
      </c>
      <c r="S507" s="33">
        <f t="shared" si="39"/>
        <v>119280.000507</v>
      </c>
    </row>
    <row r="508" spans="1:19" x14ac:dyDescent="0.2">
      <c r="A508" s="17">
        <v>506</v>
      </c>
      <c r="B508" s="17" t="s">
        <v>171</v>
      </c>
      <c r="C508" s="17" t="s">
        <v>338</v>
      </c>
      <c r="D508" s="17" t="s">
        <v>68</v>
      </c>
      <c r="E508" s="17" t="s">
        <v>110</v>
      </c>
      <c r="F508" s="17" t="s">
        <v>339</v>
      </c>
      <c r="G508" s="17" t="s">
        <v>390</v>
      </c>
      <c r="H508" s="30">
        <v>86009</v>
      </c>
      <c r="I508" s="30">
        <v>74030</v>
      </c>
      <c r="J508" s="30">
        <v>66000</v>
      </c>
      <c r="K508" s="30">
        <v>30000</v>
      </c>
      <c r="L508" s="30">
        <v>30000</v>
      </c>
      <c r="M508" s="31">
        <f t="shared" si="35"/>
        <v>-8030</v>
      </c>
      <c r="N508" s="32">
        <f t="shared" si="36"/>
        <v>-0.10846953937592868</v>
      </c>
      <c r="O508" s="6" t="str">
        <f>IF(ABS(M508)&lt;Overview!$B$6,"OK",IF(I508=0,"REVIEW (zero base)",IF(ABS(M508/ABS(I508))&gt;=Overview!$B$5,"REVIEW","OK")))</f>
        <v>OK</v>
      </c>
      <c r="P508" s="31">
        <f t="shared" si="37"/>
        <v>-36000</v>
      </c>
      <c r="Q508" s="32">
        <f t="shared" si="38"/>
        <v>-0.54545454545454541</v>
      </c>
      <c r="R508" s="6" t="str">
        <f>IF(ABS(P508)&lt;Overview!$B$6,"OK",IF(J508=0,"REVIEW (zero base)",IF(ABS(P508/ABS(J508))&gt;=Overview!$B$5,"REVIEW","OK")))</f>
        <v>OK</v>
      </c>
      <c r="S508" s="33">
        <f t="shared" si="39"/>
        <v>8030.0005080000001</v>
      </c>
    </row>
    <row r="509" spans="1:19" x14ac:dyDescent="0.2">
      <c r="A509" s="17">
        <v>507</v>
      </c>
      <c r="B509" s="17" t="s">
        <v>171</v>
      </c>
      <c r="C509" s="17" t="s">
        <v>338</v>
      </c>
      <c r="D509" s="17" t="s">
        <v>68</v>
      </c>
      <c r="E509" s="17" t="s">
        <v>110</v>
      </c>
      <c r="F509" s="17" t="s">
        <v>339</v>
      </c>
      <c r="G509" s="17" t="s">
        <v>391</v>
      </c>
      <c r="H509" s="30">
        <v>16759</v>
      </c>
      <c r="I509" s="30">
        <v>13271</v>
      </c>
      <c r="J509" s="30">
        <v>0</v>
      </c>
      <c r="K509" s="30">
        <v>0</v>
      </c>
      <c r="L509" s="30">
        <v>0</v>
      </c>
      <c r="M509" s="31">
        <f t="shared" si="35"/>
        <v>-13271</v>
      </c>
      <c r="N509" s="32">
        <f t="shared" si="36"/>
        <v>-1</v>
      </c>
      <c r="O509" s="6" t="str">
        <f>IF(ABS(M509)&lt;Overview!$B$6,"OK",IF(I509=0,"REVIEW (zero base)",IF(ABS(M509/ABS(I509))&gt;=Overview!$B$5,"REVIEW","OK")))</f>
        <v>OK</v>
      </c>
      <c r="P509" s="31">
        <f t="shared" si="37"/>
        <v>0</v>
      </c>
      <c r="Q509" s="32" t="str">
        <f t="shared" si="38"/>
        <v>n/a</v>
      </c>
      <c r="R509" s="6" t="str">
        <f>IF(ABS(P509)&lt;Overview!$B$6,"OK",IF(J509=0,"REVIEW (zero base)",IF(ABS(P509/ABS(J509))&gt;=Overview!$B$5,"REVIEW","OK")))</f>
        <v>OK</v>
      </c>
      <c r="S509" s="33">
        <f t="shared" si="39"/>
        <v>13271.000509</v>
      </c>
    </row>
    <row r="510" spans="1:19" x14ac:dyDescent="0.2">
      <c r="A510" s="17">
        <v>508</v>
      </c>
      <c r="B510" s="17" t="s">
        <v>171</v>
      </c>
      <c r="C510" s="17" t="s">
        <v>338</v>
      </c>
      <c r="D510" s="17" t="s">
        <v>68</v>
      </c>
      <c r="E510" s="17" t="s">
        <v>110</v>
      </c>
      <c r="F510" s="17" t="s">
        <v>339</v>
      </c>
      <c r="G510" s="17" t="s">
        <v>392</v>
      </c>
      <c r="H510" s="30">
        <v>37270</v>
      </c>
      <c r="I510" s="30">
        <v>36435</v>
      </c>
      <c r="J510" s="30">
        <v>0</v>
      </c>
      <c r="K510" s="30">
        <v>0</v>
      </c>
      <c r="L510" s="30">
        <v>0</v>
      </c>
      <c r="M510" s="31">
        <f t="shared" si="35"/>
        <v>-36435</v>
      </c>
      <c r="N510" s="32">
        <f t="shared" si="36"/>
        <v>-1</v>
      </c>
      <c r="O510" s="6" t="str">
        <f>IF(ABS(M510)&lt;Overview!$B$6,"OK",IF(I510=0,"REVIEW (zero base)",IF(ABS(M510/ABS(I510))&gt;=Overview!$B$5,"REVIEW","OK")))</f>
        <v>OK</v>
      </c>
      <c r="P510" s="31">
        <f t="shared" si="37"/>
        <v>0</v>
      </c>
      <c r="Q510" s="32" t="str">
        <f t="shared" si="38"/>
        <v>n/a</v>
      </c>
      <c r="R510" s="6" t="str">
        <f>IF(ABS(P510)&lt;Overview!$B$6,"OK",IF(J510=0,"REVIEW (zero base)",IF(ABS(P510/ABS(J510))&gt;=Overview!$B$5,"REVIEW","OK")))</f>
        <v>OK</v>
      </c>
      <c r="S510" s="33">
        <f t="shared" si="39"/>
        <v>36435.000509999998</v>
      </c>
    </row>
    <row r="511" spans="1:19" x14ac:dyDescent="0.2">
      <c r="A511" s="17">
        <v>509</v>
      </c>
      <c r="B511" s="17" t="s">
        <v>171</v>
      </c>
      <c r="C511" s="17" t="s">
        <v>338</v>
      </c>
      <c r="D511" s="17" t="s">
        <v>68</v>
      </c>
      <c r="E511" s="17" t="s">
        <v>110</v>
      </c>
      <c r="F511" s="17" t="s">
        <v>339</v>
      </c>
      <c r="G511" s="17" t="s">
        <v>394</v>
      </c>
      <c r="H511" s="30">
        <v>44088</v>
      </c>
      <c r="I511" s="30">
        <v>41257</v>
      </c>
      <c r="J511" s="30">
        <v>0</v>
      </c>
      <c r="K511" s="30">
        <v>0</v>
      </c>
      <c r="L511" s="30">
        <v>0</v>
      </c>
      <c r="M511" s="31">
        <f t="shared" si="35"/>
        <v>-41257</v>
      </c>
      <c r="N511" s="32">
        <f t="shared" si="36"/>
        <v>-1</v>
      </c>
      <c r="O511" s="6" t="str">
        <f>IF(ABS(M511)&lt;Overview!$B$6,"OK",IF(I511=0,"REVIEW (zero base)",IF(ABS(M511/ABS(I511))&gt;=Overview!$B$5,"REVIEW","OK")))</f>
        <v>OK</v>
      </c>
      <c r="P511" s="31">
        <f t="shared" si="37"/>
        <v>0</v>
      </c>
      <c r="Q511" s="32" t="str">
        <f t="shared" si="38"/>
        <v>n/a</v>
      </c>
      <c r="R511" s="6" t="str">
        <f>IF(ABS(P511)&lt;Overview!$B$6,"OK",IF(J511=0,"REVIEW (zero base)",IF(ABS(P511/ABS(J511))&gt;=Overview!$B$5,"REVIEW","OK")))</f>
        <v>OK</v>
      </c>
      <c r="S511" s="33">
        <f t="shared" si="39"/>
        <v>41257.000510999998</v>
      </c>
    </row>
    <row r="512" spans="1:19" x14ac:dyDescent="0.2">
      <c r="A512" s="17">
        <v>510</v>
      </c>
      <c r="B512" s="17" t="s">
        <v>171</v>
      </c>
      <c r="C512" s="17" t="s">
        <v>338</v>
      </c>
      <c r="D512" s="17" t="s">
        <v>68</v>
      </c>
      <c r="E512" s="17" t="s">
        <v>110</v>
      </c>
      <c r="F512" s="17" t="s">
        <v>339</v>
      </c>
      <c r="G512" s="17" t="s">
        <v>395</v>
      </c>
      <c r="H512" s="30">
        <v>24164</v>
      </c>
      <c r="I512" s="30">
        <v>26904</v>
      </c>
      <c r="J512" s="30">
        <v>29000</v>
      </c>
      <c r="K512" s="30">
        <v>30157</v>
      </c>
      <c r="L512" s="30">
        <v>30459</v>
      </c>
      <c r="M512" s="31">
        <f t="shared" si="35"/>
        <v>2096</v>
      </c>
      <c r="N512" s="32">
        <f t="shared" si="36"/>
        <v>7.7906630984240263E-2</v>
      </c>
      <c r="O512" s="6" t="str">
        <f>IF(ABS(M512)&lt;Overview!$B$6,"OK",IF(I512=0,"REVIEW (zero base)",IF(ABS(M512/ABS(I512))&gt;=Overview!$B$5,"REVIEW","OK")))</f>
        <v>OK</v>
      </c>
      <c r="P512" s="31">
        <f t="shared" si="37"/>
        <v>1157</v>
      </c>
      <c r="Q512" s="32">
        <f t="shared" si="38"/>
        <v>3.9896551724137932E-2</v>
      </c>
      <c r="R512" s="6" t="str">
        <f>IF(ABS(P512)&lt;Overview!$B$6,"OK",IF(J512=0,"REVIEW (zero base)",IF(ABS(P512/ABS(J512))&gt;=Overview!$B$5,"REVIEW","OK")))</f>
        <v>OK</v>
      </c>
      <c r="S512" s="33">
        <f t="shared" si="39"/>
        <v>2096.0005120000001</v>
      </c>
    </row>
    <row r="513" spans="1:19" x14ac:dyDescent="0.2">
      <c r="A513" s="17">
        <v>511</v>
      </c>
      <c r="B513" s="17" t="s">
        <v>171</v>
      </c>
      <c r="C513" s="17" t="s">
        <v>338</v>
      </c>
      <c r="D513" s="17" t="s">
        <v>68</v>
      </c>
      <c r="E513" s="17" t="s">
        <v>110</v>
      </c>
      <c r="F513" s="17" t="s">
        <v>339</v>
      </c>
      <c r="G513" s="17" t="s">
        <v>436</v>
      </c>
      <c r="H513" s="30">
        <v>0</v>
      </c>
      <c r="I513" s="30">
        <v>0</v>
      </c>
      <c r="J513" s="30">
        <v>1200</v>
      </c>
      <c r="K513" s="30">
        <v>0</v>
      </c>
      <c r="L513" s="30">
        <v>0</v>
      </c>
      <c r="M513" s="31">
        <f t="shared" si="35"/>
        <v>1200</v>
      </c>
      <c r="N513" s="32" t="str">
        <f t="shared" si="36"/>
        <v>n/a</v>
      </c>
      <c r="O513" s="6" t="str">
        <f>IF(ABS(M513)&lt;Overview!$B$6,"OK",IF(I513=0,"REVIEW (zero base)",IF(ABS(M513/ABS(I513))&gt;=Overview!$B$5,"REVIEW","OK")))</f>
        <v>OK</v>
      </c>
      <c r="P513" s="31">
        <f t="shared" si="37"/>
        <v>-1200</v>
      </c>
      <c r="Q513" s="32">
        <f t="shared" si="38"/>
        <v>-1</v>
      </c>
      <c r="R513" s="6" t="str">
        <f>IF(ABS(P513)&lt;Overview!$B$6,"OK",IF(J513=0,"REVIEW (zero base)",IF(ABS(P513/ABS(J513))&gt;=Overview!$B$5,"REVIEW","OK")))</f>
        <v>OK</v>
      </c>
      <c r="S513" s="33">
        <f t="shared" si="39"/>
        <v>1200.000513</v>
      </c>
    </row>
    <row r="514" spans="1:19" x14ac:dyDescent="0.2">
      <c r="A514" s="17">
        <v>512</v>
      </c>
      <c r="B514" s="17" t="s">
        <v>171</v>
      </c>
      <c r="C514" s="17" t="s">
        <v>338</v>
      </c>
      <c r="D514" s="17" t="s">
        <v>68</v>
      </c>
      <c r="E514" s="17" t="s">
        <v>110</v>
      </c>
      <c r="F514" s="17" t="s">
        <v>341</v>
      </c>
      <c r="G514" s="17" t="s">
        <v>342</v>
      </c>
      <c r="H514" s="30">
        <v>12828</v>
      </c>
      <c r="I514" s="30">
        <v>11994</v>
      </c>
      <c r="J514" s="30">
        <v>14040</v>
      </c>
      <c r="K514" s="30">
        <v>14040</v>
      </c>
      <c r="L514" s="30">
        <v>14040</v>
      </c>
      <c r="M514" s="31">
        <f t="shared" ref="M514:M577" si="40">J514-I514</f>
        <v>2046</v>
      </c>
      <c r="N514" s="32">
        <f t="shared" ref="N514:N577" si="41">IF(I514=0,"n/a",M514/ABS(I514))</f>
        <v>0.17058529264632316</v>
      </c>
      <c r="O514" s="6" t="str">
        <f>IF(ABS(M514)&lt;Overview!$B$6,"OK",IF(I514=0,"REVIEW (zero base)",IF(ABS(M514/ABS(I514))&gt;=Overview!$B$5,"REVIEW","OK")))</f>
        <v>OK</v>
      </c>
      <c r="P514" s="31">
        <f t="shared" ref="P514:P577" si="42">K514-J514</f>
        <v>0</v>
      </c>
      <c r="Q514" s="32">
        <f t="shared" ref="Q514:Q577" si="43">IF(J514=0,"n/a",P514/ABS(J514))</f>
        <v>0</v>
      </c>
      <c r="R514" s="6" t="str">
        <f>IF(ABS(P514)&lt;Overview!$B$6,"OK",IF(J514=0,"REVIEW (zero base)",IF(ABS(P514/ABS(J514))&gt;=Overview!$B$5,"REVIEW","OK")))</f>
        <v>OK</v>
      </c>
      <c r="S514" s="33">
        <f t="shared" ref="S514:S577" si="44">IF(C514="EXPENSES",ABS(M514)+ROW()/1000000,0)</f>
        <v>2046.0005140000001</v>
      </c>
    </row>
    <row r="515" spans="1:19" x14ac:dyDescent="0.2">
      <c r="A515" s="17">
        <v>513</v>
      </c>
      <c r="B515" s="17" t="s">
        <v>171</v>
      </c>
      <c r="C515" s="17" t="s">
        <v>338</v>
      </c>
      <c r="D515" s="17" t="s">
        <v>68</v>
      </c>
      <c r="E515" s="17" t="s">
        <v>110</v>
      </c>
      <c r="F515" s="17" t="s">
        <v>341</v>
      </c>
      <c r="G515" s="17" t="s">
        <v>375</v>
      </c>
      <c r="H515" s="30">
        <v>41314</v>
      </c>
      <c r="I515" s="30">
        <v>45333</v>
      </c>
      <c r="J515" s="30">
        <v>59150</v>
      </c>
      <c r="K515" s="30">
        <v>59150</v>
      </c>
      <c r="L515" s="30">
        <v>59150</v>
      </c>
      <c r="M515" s="31">
        <f t="shared" si="40"/>
        <v>13817</v>
      </c>
      <c r="N515" s="32">
        <f t="shared" si="41"/>
        <v>0.30478900580151325</v>
      </c>
      <c r="O515" s="6" t="str">
        <f>IF(ABS(M515)&lt;Overview!$B$6,"OK",IF(I515=0,"REVIEW (zero base)",IF(ABS(M515/ABS(I515))&gt;=Overview!$B$5,"REVIEW","OK")))</f>
        <v>OK</v>
      </c>
      <c r="P515" s="31">
        <f t="shared" si="42"/>
        <v>0</v>
      </c>
      <c r="Q515" s="32">
        <f t="shared" si="43"/>
        <v>0</v>
      </c>
      <c r="R515" s="6" t="str">
        <f>IF(ABS(P515)&lt;Overview!$B$6,"OK",IF(J515=0,"REVIEW (zero base)",IF(ABS(P515/ABS(J515))&gt;=Overview!$B$5,"REVIEW","OK")))</f>
        <v>OK</v>
      </c>
      <c r="S515" s="33">
        <f t="shared" si="44"/>
        <v>13817.000515</v>
      </c>
    </row>
    <row r="516" spans="1:19" x14ac:dyDescent="0.2">
      <c r="A516" s="17">
        <v>514</v>
      </c>
      <c r="B516" s="17" t="s">
        <v>171</v>
      </c>
      <c r="C516" s="17" t="s">
        <v>338</v>
      </c>
      <c r="D516" s="17" t="s">
        <v>68</v>
      </c>
      <c r="E516" s="17" t="s">
        <v>110</v>
      </c>
      <c r="F516" s="17" t="s">
        <v>341</v>
      </c>
      <c r="G516" s="17" t="s">
        <v>376</v>
      </c>
      <c r="H516" s="30">
        <v>194184</v>
      </c>
      <c r="I516" s="30">
        <v>205930</v>
      </c>
      <c r="J516" s="30">
        <v>208030</v>
      </c>
      <c r="K516" s="30">
        <v>214572</v>
      </c>
      <c r="L516" s="30">
        <v>225794</v>
      </c>
      <c r="M516" s="31">
        <f t="shared" si="40"/>
        <v>2100</v>
      </c>
      <c r="N516" s="32">
        <f t="shared" si="41"/>
        <v>1.0197639974748702E-2</v>
      </c>
      <c r="O516" s="6" t="str">
        <f>IF(ABS(M516)&lt;Overview!$B$6,"OK",IF(I516=0,"REVIEW (zero base)",IF(ABS(M516/ABS(I516))&gt;=Overview!$B$5,"REVIEW","OK")))</f>
        <v>OK</v>
      </c>
      <c r="P516" s="31">
        <f t="shared" si="42"/>
        <v>6542</v>
      </c>
      <c r="Q516" s="32">
        <f t="shared" si="43"/>
        <v>3.1447387396048646E-2</v>
      </c>
      <c r="R516" s="6" t="str">
        <f>IF(ABS(P516)&lt;Overview!$B$6,"OK",IF(J516=0,"REVIEW (zero base)",IF(ABS(P516/ABS(J516))&gt;=Overview!$B$5,"REVIEW","OK")))</f>
        <v>OK</v>
      </c>
      <c r="S516" s="33">
        <f t="shared" si="44"/>
        <v>2100.0005160000001</v>
      </c>
    </row>
    <row r="517" spans="1:19" x14ac:dyDescent="0.2">
      <c r="A517" s="17">
        <v>515</v>
      </c>
      <c r="B517" s="17" t="s">
        <v>171</v>
      </c>
      <c r="C517" s="17" t="s">
        <v>338</v>
      </c>
      <c r="D517" s="17" t="s">
        <v>68</v>
      </c>
      <c r="E517" s="17" t="s">
        <v>110</v>
      </c>
      <c r="F517" s="17" t="s">
        <v>341</v>
      </c>
      <c r="G517" s="17" t="s">
        <v>343</v>
      </c>
      <c r="H517" s="30">
        <v>58779</v>
      </c>
      <c r="I517" s="30">
        <v>60424</v>
      </c>
      <c r="J517" s="30">
        <v>62662</v>
      </c>
      <c r="K517" s="30">
        <v>63046</v>
      </c>
      <c r="L517" s="30">
        <v>63676</v>
      </c>
      <c r="M517" s="31">
        <f t="shared" si="40"/>
        <v>2238</v>
      </c>
      <c r="N517" s="32">
        <f t="shared" si="41"/>
        <v>3.7038262941877398E-2</v>
      </c>
      <c r="O517" s="6" t="str">
        <f>IF(ABS(M517)&lt;Overview!$B$6,"OK",IF(I517=0,"REVIEW (zero base)",IF(ABS(M517/ABS(I517))&gt;=Overview!$B$5,"REVIEW","OK")))</f>
        <v>OK</v>
      </c>
      <c r="P517" s="31">
        <f t="shared" si="42"/>
        <v>384</v>
      </c>
      <c r="Q517" s="32">
        <f t="shared" si="43"/>
        <v>6.1281159235262199E-3</v>
      </c>
      <c r="R517" s="6" t="str">
        <f>IF(ABS(P517)&lt;Overview!$B$6,"OK",IF(J517=0,"REVIEW (zero base)",IF(ABS(P517/ABS(J517))&gt;=Overview!$B$5,"REVIEW","OK")))</f>
        <v>OK</v>
      </c>
      <c r="S517" s="33">
        <f t="shared" si="44"/>
        <v>2238.0005169999999</v>
      </c>
    </row>
    <row r="518" spans="1:19" x14ac:dyDescent="0.2">
      <c r="A518" s="17">
        <v>516</v>
      </c>
      <c r="B518" s="17" t="s">
        <v>171</v>
      </c>
      <c r="C518" s="17" t="s">
        <v>338</v>
      </c>
      <c r="D518" s="17" t="s">
        <v>68</v>
      </c>
      <c r="E518" s="17" t="s">
        <v>110</v>
      </c>
      <c r="F518" s="17" t="s">
        <v>341</v>
      </c>
      <c r="G518" s="17" t="s">
        <v>378</v>
      </c>
      <c r="H518" s="30">
        <v>34006</v>
      </c>
      <c r="I518" s="30">
        <v>34216</v>
      </c>
      <c r="J518" s="30">
        <v>44720</v>
      </c>
      <c r="K518" s="30">
        <v>47320</v>
      </c>
      <c r="L518" s="30">
        <v>49416</v>
      </c>
      <c r="M518" s="31">
        <f t="shared" si="40"/>
        <v>10504</v>
      </c>
      <c r="N518" s="32">
        <f t="shared" si="41"/>
        <v>0.30699088145896658</v>
      </c>
      <c r="O518" s="6" t="str">
        <f>IF(ABS(M518)&lt;Overview!$B$6,"OK",IF(I518=0,"REVIEW (zero base)",IF(ABS(M518/ABS(I518))&gt;=Overview!$B$5,"REVIEW","OK")))</f>
        <v>OK</v>
      </c>
      <c r="P518" s="31">
        <f t="shared" si="42"/>
        <v>2600</v>
      </c>
      <c r="Q518" s="32">
        <f t="shared" si="43"/>
        <v>5.8139534883720929E-2</v>
      </c>
      <c r="R518" s="6" t="str">
        <f>IF(ABS(P518)&lt;Overview!$B$6,"OK",IF(J518=0,"REVIEW (zero base)",IF(ABS(P518/ABS(J518))&gt;=Overview!$B$5,"REVIEW","OK")))</f>
        <v>OK</v>
      </c>
      <c r="S518" s="33">
        <f t="shared" si="44"/>
        <v>10504.000518000001</v>
      </c>
    </row>
    <row r="519" spans="1:19" x14ac:dyDescent="0.2">
      <c r="A519" s="17">
        <v>517</v>
      </c>
      <c r="B519" s="17" t="s">
        <v>171</v>
      </c>
      <c r="C519" s="17" t="s">
        <v>338</v>
      </c>
      <c r="D519" s="17" t="s">
        <v>68</v>
      </c>
      <c r="E519" s="17" t="s">
        <v>110</v>
      </c>
      <c r="F519" s="17" t="s">
        <v>341</v>
      </c>
      <c r="G519" s="17" t="s">
        <v>344</v>
      </c>
      <c r="H519" s="30">
        <v>140555</v>
      </c>
      <c r="I519" s="30">
        <v>122176</v>
      </c>
      <c r="J519" s="30">
        <v>157041</v>
      </c>
      <c r="K519" s="30">
        <v>179700</v>
      </c>
      <c r="L519" s="30">
        <v>183294</v>
      </c>
      <c r="M519" s="31">
        <f t="shared" si="40"/>
        <v>34865</v>
      </c>
      <c r="N519" s="32">
        <f t="shared" si="41"/>
        <v>0.28536701152435828</v>
      </c>
      <c r="O519" s="6" t="str">
        <f>IF(ABS(M519)&lt;Overview!$B$6,"OK",IF(I519=0,"REVIEW (zero base)",IF(ABS(M519/ABS(I519))&gt;=Overview!$B$5,"REVIEW","OK")))</f>
        <v>OK</v>
      </c>
      <c r="P519" s="31">
        <f t="shared" si="42"/>
        <v>22659</v>
      </c>
      <c r="Q519" s="32">
        <f t="shared" si="43"/>
        <v>0.14428716067778477</v>
      </c>
      <c r="R519" s="6" t="str">
        <f>IF(ABS(P519)&lt;Overview!$B$6,"OK",IF(J519=0,"REVIEW (zero base)",IF(ABS(P519/ABS(J519))&gt;=Overview!$B$5,"REVIEW","OK")))</f>
        <v>OK</v>
      </c>
      <c r="S519" s="33">
        <f t="shared" si="44"/>
        <v>34865.000519000001</v>
      </c>
    </row>
    <row r="520" spans="1:19" x14ac:dyDescent="0.2">
      <c r="A520" s="17">
        <v>518</v>
      </c>
      <c r="B520" s="17" t="s">
        <v>171</v>
      </c>
      <c r="C520" s="17" t="s">
        <v>338</v>
      </c>
      <c r="D520" s="17" t="s">
        <v>68</v>
      </c>
      <c r="E520" s="17" t="s">
        <v>110</v>
      </c>
      <c r="F520" s="17" t="s">
        <v>364</v>
      </c>
      <c r="G520" s="17" t="s">
        <v>330</v>
      </c>
      <c r="H520" s="30">
        <v>220</v>
      </c>
      <c r="I520" s="30">
        <v>120</v>
      </c>
      <c r="J520" s="30">
        <v>0</v>
      </c>
      <c r="K520" s="30">
        <v>0</v>
      </c>
      <c r="L520" s="30">
        <v>0</v>
      </c>
      <c r="M520" s="31">
        <f t="shared" si="40"/>
        <v>-120</v>
      </c>
      <c r="N520" s="32">
        <f t="shared" si="41"/>
        <v>-1</v>
      </c>
      <c r="O520" s="6" t="str">
        <f>IF(ABS(M520)&lt;Overview!$B$6,"OK",IF(I520=0,"REVIEW (zero base)",IF(ABS(M520/ABS(I520))&gt;=Overview!$B$5,"REVIEW","OK")))</f>
        <v>OK</v>
      </c>
      <c r="P520" s="31">
        <f t="shared" si="42"/>
        <v>0</v>
      </c>
      <c r="Q520" s="32" t="str">
        <f t="shared" si="43"/>
        <v>n/a</v>
      </c>
      <c r="R520" s="6" t="str">
        <f>IF(ABS(P520)&lt;Overview!$B$6,"OK",IF(J520=0,"REVIEW (zero base)",IF(ABS(P520/ABS(J520))&gt;=Overview!$B$5,"REVIEW","OK")))</f>
        <v>OK</v>
      </c>
      <c r="S520" s="33">
        <f t="shared" si="44"/>
        <v>120.00051999999999</v>
      </c>
    </row>
    <row r="521" spans="1:19" x14ac:dyDescent="0.2">
      <c r="A521" s="17">
        <v>519</v>
      </c>
      <c r="B521" s="17" t="s">
        <v>171</v>
      </c>
      <c r="C521" s="17" t="s">
        <v>338</v>
      </c>
      <c r="D521" s="17" t="s">
        <v>68</v>
      </c>
      <c r="E521" s="17" t="s">
        <v>110</v>
      </c>
      <c r="F521" s="17" t="s">
        <v>364</v>
      </c>
      <c r="G521" s="17" t="s">
        <v>379</v>
      </c>
      <c r="H521" s="30">
        <v>16194</v>
      </c>
      <c r="I521" s="30">
        <v>55194</v>
      </c>
      <c r="J521" s="30">
        <v>7200</v>
      </c>
      <c r="K521" s="30">
        <v>7200</v>
      </c>
      <c r="L521" s="30">
        <v>7250</v>
      </c>
      <c r="M521" s="31">
        <f t="shared" si="40"/>
        <v>-47994</v>
      </c>
      <c r="N521" s="32">
        <f t="shared" si="41"/>
        <v>-0.86955103815632129</v>
      </c>
      <c r="O521" s="6" t="str">
        <f>IF(ABS(M521)&lt;Overview!$B$6,"OK",IF(I521=0,"REVIEW (zero base)",IF(ABS(M521/ABS(I521))&gt;=Overview!$B$5,"REVIEW","OK")))</f>
        <v>OK</v>
      </c>
      <c r="P521" s="31">
        <f t="shared" si="42"/>
        <v>0</v>
      </c>
      <c r="Q521" s="32">
        <f t="shared" si="43"/>
        <v>0</v>
      </c>
      <c r="R521" s="6" t="str">
        <f>IF(ABS(P521)&lt;Overview!$B$6,"OK",IF(J521=0,"REVIEW (zero base)",IF(ABS(P521/ABS(J521))&gt;=Overview!$B$5,"REVIEW","OK")))</f>
        <v>OK</v>
      </c>
      <c r="S521" s="33">
        <f t="shared" si="44"/>
        <v>47994.000521000002</v>
      </c>
    </row>
    <row r="522" spans="1:19" x14ac:dyDescent="0.2">
      <c r="A522" s="17">
        <v>520</v>
      </c>
      <c r="B522" s="17" t="s">
        <v>171</v>
      </c>
      <c r="C522" s="17" t="s">
        <v>338</v>
      </c>
      <c r="D522" s="17" t="s">
        <v>68</v>
      </c>
      <c r="E522" s="17" t="s">
        <v>110</v>
      </c>
      <c r="F522" s="17" t="s">
        <v>364</v>
      </c>
      <c r="G522" s="17" t="s">
        <v>383</v>
      </c>
      <c r="H522" s="30">
        <v>1549</v>
      </c>
      <c r="I522" s="30">
        <v>631</v>
      </c>
      <c r="J522" s="30">
        <v>2400</v>
      </c>
      <c r="K522" s="30">
        <v>2400</v>
      </c>
      <c r="L522" s="30">
        <v>2400</v>
      </c>
      <c r="M522" s="31">
        <f t="shared" si="40"/>
        <v>1769</v>
      </c>
      <c r="N522" s="32">
        <f t="shared" si="41"/>
        <v>2.8034865293185418</v>
      </c>
      <c r="O522" s="6" t="str">
        <f>IF(ABS(M522)&lt;Overview!$B$6,"OK",IF(I522=0,"REVIEW (zero base)",IF(ABS(M522/ABS(I522))&gt;=Overview!$B$5,"REVIEW","OK")))</f>
        <v>OK</v>
      </c>
      <c r="P522" s="31">
        <f t="shared" si="42"/>
        <v>0</v>
      </c>
      <c r="Q522" s="32">
        <f t="shared" si="43"/>
        <v>0</v>
      </c>
      <c r="R522" s="6" t="str">
        <f>IF(ABS(P522)&lt;Overview!$B$6,"OK",IF(J522=0,"REVIEW (zero base)",IF(ABS(P522/ABS(J522))&gt;=Overview!$B$5,"REVIEW","OK")))</f>
        <v>OK</v>
      </c>
      <c r="S522" s="33">
        <f t="shared" si="44"/>
        <v>1769.000522</v>
      </c>
    </row>
    <row r="523" spans="1:19" x14ac:dyDescent="0.2">
      <c r="A523" s="17">
        <v>521</v>
      </c>
      <c r="B523" s="17" t="s">
        <v>171</v>
      </c>
      <c r="C523" s="17" t="s">
        <v>338</v>
      </c>
      <c r="D523" s="17" t="s">
        <v>68</v>
      </c>
      <c r="E523" s="17" t="s">
        <v>110</v>
      </c>
      <c r="F523" s="17" t="s">
        <v>364</v>
      </c>
      <c r="G523" s="17" t="s">
        <v>399</v>
      </c>
      <c r="H523" s="30">
        <v>0</v>
      </c>
      <c r="I523" s="30">
        <v>0</v>
      </c>
      <c r="J523" s="30">
        <v>900</v>
      </c>
      <c r="K523" s="30">
        <v>900</v>
      </c>
      <c r="L523" s="30">
        <v>906</v>
      </c>
      <c r="M523" s="31">
        <f t="shared" si="40"/>
        <v>900</v>
      </c>
      <c r="N523" s="32" t="str">
        <f t="shared" si="41"/>
        <v>n/a</v>
      </c>
      <c r="O523" s="6" t="str">
        <f>IF(ABS(M523)&lt;Overview!$B$6,"OK",IF(I523=0,"REVIEW (zero base)",IF(ABS(M523/ABS(I523))&gt;=Overview!$B$5,"REVIEW","OK")))</f>
        <v>OK</v>
      </c>
      <c r="P523" s="31">
        <f t="shared" si="42"/>
        <v>0</v>
      </c>
      <c r="Q523" s="32">
        <f t="shared" si="43"/>
        <v>0</v>
      </c>
      <c r="R523" s="6" t="str">
        <f>IF(ABS(P523)&lt;Overview!$B$6,"OK",IF(J523=0,"REVIEW (zero base)",IF(ABS(P523/ABS(J523))&gt;=Overview!$B$5,"REVIEW","OK")))</f>
        <v>OK</v>
      </c>
      <c r="S523" s="33">
        <f t="shared" si="44"/>
        <v>900.00052300000004</v>
      </c>
    </row>
    <row r="524" spans="1:19" x14ac:dyDescent="0.2">
      <c r="A524" s="17">
        <v>522</v>
      </c>
      <c r="B524" s="17" t="s">
        <v>171</v>
      </c>
      <c r="C524" s="17" t="s">
        <v>338</v>
      </c>
      <c r="D524" s="17" t="s">
        <v>68</v>
      </c>
      <c r="E524" s="17" t="s">
        <v>110</v>
      </c>
      <c r="F524" s="17" t="s">
        <v>437</v>
      </c>
      <c r="G524" s="17" t="s">
        <v>438</v>
      </c>
      <c r="H524" s="30">
        <v>0</v>
      </c>
      <c r="I524" s="30">
        <v>0</v>
      </c>
      <c r="J524" s="30">
        <v>12000</v>
      </c>
      <c r="K524" s="30">
        <v>12000</v>
      </c>
      <c r="L524" s="30">
        <v>12084</v>
      </c>
      <c r="M524" s="31">
        <f t="shared" si="40"/>
        <v>12000</v>
      </c>
      <c r="N524" s="32" t="str">
        <f t="shared" si="41"/>
        <v>n/a</v>
      </c>
      <c r="O524" s="6" t="str">
        <f>IF(ABS(M524)&lt;Overview!$B$6,"OK",IF(I524=0,"REVIEW (zero base)",IF(ABS(M524/ABS(I524))&gt;=Overview!$B$5,"REVIEW","OK")))</f>
        <v>OK</v>
      </c>
      <c r="P524" s="31">
        <f t="shared" si="42"/>
        <v>0</v>
      </c>
      <c r="Q524" s="32">
        <f t="shared" si="43"/>
        <v>0</v>
      </c>
      <c r="R524" s="6" t="str">
        <f>IF(ABS(P524)&lt;Overview!$B$6,"OK",IF(J524=0,"REVIEW (zero base)",IF(ABS(P524/ABS(J524))&gt;=Overview!$B$5,"REVIEW","OK")))</f>
        <v>OK</v>
      </c>
      <c r="S524" s="33">
        <f t="shared" si="44"/>
        <v>12000.000523999999</v>
      </c>
    </row>
    <row r="525" spans="1:19" x14ac:dyDescent="0.2">
      <c r="A525" s="17">
        <v>523</v>
      </c>
      <c r="B525" s="17" t="s">
        <v>171</v>
      </c>
      <c r="C525" s="17" t="s">
        <v>338</v>
      </c>
      <c r="D525" s="17" t="s">
        <v>68</v>
      </c>
      <c r="E525" s="17" t="s">
        <v>110</v>
      </c>
      <c r="F525" s="17" t="s">
        <v>386</v>
      </c>
      <c r="G525" s="17" t="s">
        <v>387</v>
      </c>
      <c r="H525" s="30">
        <v>6211</v>
      </c>
      <c r="I525" s="30">
        <v>3460</v>
      </c>
      <c r="J525" s="30">
        <v>4200</v>
      </c>
      <c r="K525" s="30">
        <v>4200</v>
      </c>
      <c r="L525" s="30">
        <v>4229</v>
      </c>
      <c r="M525" s="31">
        <f t="shared" si="40"/>
        <v>740</v>
      </c>
      <c r="N525" s="32">
        <f t="shared" si="41"/>
        <v>0.2138728323699422</v>
      </c>
      <c r="O525" s="6" t="str">
        <f>IF(ABS(M525)&lt;Overview!$B$6,"OK",IF(I525=0,"REVIEW (zero base)",IF(ABS(M525/ABS(I525))&gt;=Overview!$B$5,"REVIEW","OK")))</f>
        <v>OK</v>
      </c>
      <c r="P525" s="31">
        <f t="shared" si="42"/>
        <v>0</v>
      </c>
      <c r="Q525" s="32">
        <f t="shared" si="43"/>
        <v>0</v>
      </c>
      <c r="R525" s="6" t="str">
        <f>IF(ABS(P525)&lt;Overview!$B$6,"OK",IF(J525=0,"REVIEW (zero base)",IF(ABS(P525/ABS(J525))&gt;=Overview!$B$5,"REVIEW","OK")))</f>
        <v>OK</v>
      </c>
      <c r="S525" s="33">
        <f t="shared" si="44"/>
        <v>740.00052500000004</v>
      </c>
    </row>
    <row r="526" spans="1:19" x14ac:dyDescent="0.2">
      <c r="A526" s="17">
        <v>524</v>
      </c>
      <c r="B526" s="17" t="s">
        <v>171</v>
      </c>
      <c r="C526" s="17" t="s">
        <v>338</v>
      </c>
      <c r="D526" s="17" t="s">
        <v>68</v>
      </c>
      <c r="E526" s="17" t="s">
        <v>130</v>
      </c>
      <c r="F526" s="17" t="s">
        <v>339</v>
      </c>
      <c r="G526" s="17" t="s">
        <v>340</v>
      </c>
      <c r="H526" s="30">
        <v>235722</v>
      </c>
      <c r="I526" s="30">
        <v>242975</v>
      </c>
      <c r="J526" s="30">
        <v>256054</v>
      </c>
      <c r="K526" s="30">
        <v>330895</v>
      </c>
      <c r="L526" s="30">
        <v>334204</v>
      </c>
      <c r="M526" s="31">
        <f t="shared" si="40"/>
        <v>13079</v>
      </c>
      <c r="N526" s="32">
        <f t="shared" si="41"/>
        <v>5.3828583187570736E-2</v>
      </c>
      <c r="O526" s="6" t="str">
        <f>IF(ABS(M526)&lt;Overview!$B$6,"OK",IF(I526=0,"REVIEW (zero base)",IF(ABS(M526/ABS(I526))&gt;=Overview!$B$5,"REVIEW","OK")))</f>
        <v>OK</v>
      </c>
      <c r="P526" s="31">
        <f t="shared" si="42"/>
        <v>74841</v>
      </c>
      <c r="Q526" s="32">
        <f t="shared" si="43"/>
        <v>0.29228600217141698</v>
      </c>
      <c r="R526" s="6" t="str">
        <f>IF(ABS(P526)&lt;Overview!$B$6,"OK",IF(J526=0,"REVIEW (zero base)",IF(ABS(P526/ABS(J526))&gt;=Overview!$B$5,"REVIEW","OK")))</f>
        <v>OK</v>
      </c>
      <c r="S526" s="33">
        <f t="shared" si="44"/>
        <v>13079.000526</v>
      </c>
    </row>
    <row r="527" spans="1:19" x14ac:dyDescent="0.2">
      <c r="A527" s="17">
        <v>525</v>
      </c>
      <c r="B527" s="17" t="s">
        <v>171</v>
      </c>
      <c r="C527" s="17" t="s">
        <v>338</v>
      </c>
      <c r="D527" s="17" t="s">
        <v>68</v>
      </c>
      <c r="E527" s="17" t="s">
        <v>130</v>
      </c>
      <c r="F527" s="17" t="s">
        <v>339</v>
      </c>
      <c r="G527" s="17" t="s">
        <v>391</v>
      </c>
      <c r="H527" s="30">
        <v>15432</v>
      </c>
      <c r="I527" s="30">
        <v>4289</v>
      </c>
      <c r="J527" s="30">
        <v>0</v>
      </c>
      <c r="K527" s="30">
        <v>0</v>
      </c>
      <c r="L527" s="30">
        <v>0</v>
      </c>
      <c r="M527" s="31">
        <f t="shared" si="40"/>
        <v>-4289</v>
      </c>
      <c r="N527" s="32">
        <f t="shared" si="41"/>
        <v>-1</v>
      </c>
      <c r="O527" s="6" t="str">
        <f>IF(ABS(M527)&lt;Overview!$B$6,"OK",IF(I527=0,"REVIEW (zero base)",IF(ABS(M527/ABS(I527))&gt;=Overview!$B$5,"REVIEW","OK")))</f>
        <v>OK</v>
      </c>
      <c r="P527" s="31">
        <f t="shared" si="42"/>
        <v>0</v>
      </c>
      <c r="Q527" s="32" t="str">
        <f t="shared" si="43"/>
        <v>n/a</v>
      </c>
      <c r="R527" s="6" t="str">
        <f>IF(ABS(P527)&lt;Overview!$B$6,"OK",IF(J527=0,"REVIEW (zero base)",IF(ABS(P527/ABS(J527))&gt;=Overview!$B$5,"REVIEW","OK")))</f>
        <v>OK</v>
      </c>
      <c r="S527" s="33">
        <f t="shared" si="44"/>
        <v>4289.0005270000001</v>
      </c>
    </row>
    <row r="528" spans="1:19" x14ac:dyDescent="0.2">
      <c r="A528" s="17">
        <v>526</v>
      </c>
      <c r="B528" s="17" t="s">
        <v>171</v>
      </c>
      <c r="C528" s="17" t="s">
        <v>338</v>
      </c>
      <c r="D528" s="17" t="s">
        <v>68</v>
      </c>
      <c r="E528" s="17" t="s">
        <v>130</v>
      </c>
      <c r="F528" s="17" t="s">
        <v>339</v>
      </c>
      <c r="G528" s="17" t="s">
        <v>392</v>
      </c>
      <c r="H528" s="30">
        <v>18913</v>
      </c>
      <c r="I528" s="30">
        <v>9813</v>
      </c>
      <c r="J528" s="30">
        <v>0</v>
      </c>
      <c r="K528" s="30">
        <v>0</v>
      </c>
      <c r="L528" s="30">
        <v>0</v>
      </c>
      <c r="M528" s="31">
        <f t="shared" si="40"/>
        <v>-9813</v>
      </c>
      <c r="N528" s="32">
        <f t="shared" si="41"/>
        <v>-1</v>
      </c>
      <c r="O528" s="6" t="str">
        <f>IF(ABS(M528)&lt;Overview!$B$6,"OK",IF(I528=0,"REVIEW (zero base)",IF(ABS(M528/ABS(I528))&gt;=Overview!$B$5,"REVIEW","OK")))</f>
        <v>OK</v>
      </c>
      <c r="P528" s="31">
        <f t="shared" si="42"/>
        <v>0</v>
      </c>
      <c r="Q528" s="32" t="str">
        <f t="shared" si="43"/>
        <v>n/a</v>
      </c>
      <c r="R528" s="6" t="str">
        <f>IF(ABS(P528)&lt;Overview!$B$6,"OK",IF(J528=0,"REVIEW (zero base)",IF(ABS(P528/ABS(J528))&gt;=Overview!$B$5,"REVIEW","OK")))</f>
        <v>OK</v>
      </c>
      <c r="S528" s="33">
        <f t="shared" si="44"/>
        <v>9813.0005280000005</v>
      </c>
    </row>
    <row r="529" spans="1:19" x14ac:dyDescent="0.2">
      <c r="A529" s="17">
        <v>527</v>
      </c>
      <c r="B529" s="17" t="s">
        <v>171</v>
      </c>
      <c r="C529" s="17" t="s">
        <v>338</v>
      </c>
      <c r="D529" s="17" t="s">
        <v>68</v>
      </c>
      <c r="E529" s="17" t="s">
        <v>130</v>
      </c>
      <c r="F529" s="17" t="s">
        <v>339</v>
      </c>
      <c r="G529" s="17" t="s">
        <v>394</v>
      </c>
      <c r="H529" s="30">
        <v>16206</v>
      </c>
      <c r="I529" s="30">
        <v>14764</v>
      </c>
      <c r="J529" s="30">
        <v>0</v>
      </c>
      <c r="K529" s="30">
        <v>0</v>
      </c>
      <c r="L529" s="30">
        <v>0</v>
      </c>
      <c r="M529" s="31">
        <f t="shared" si="40"/>
        <v>-14764</v>
      </c>
      <c r="N529" s="32">
        <f t="shared" si="41"/>
        <v>-1</v>
      </c>
      <c r="O529" s="6" t="str">
        <f>IF(ABS(M529)&lt;Overview!$B$6,"OK",IF(I529=0,"REVIEW (zero base)",IF(ABS(M529/ABS(I529))&gt;=Overview!$B$5,"REVIEW","OK")))</f>
        <v>OK</v>
      </c>
      <c r="P529" s="31">
        <f t="shared" si="42"/>
        <v>0</v>
      </c>
      <c r="Q529" s="32" t="str">
        <f t="shared" si="43"/>
        <v>n/a</v>
      </c>
      <c r="R529" s="6" t="str">
        <f>IF(ABS(P529)&lt;Overview!$B$6,"OK",IF(J529=0,"REVIEW (zero base)",IF(ABS(P529/ABS(J529))&gt;=Overview!$B$5,"REVIEW","OK")))</f>
        <v>OK</v>
      </c>
      <c r="S529" s="33">
        <f t="shared" si="44"/>
        <v>14764.000529000001</v>
      </c>
    </row>
    <row r="530" spans="1:19" x14ac:dyDescent="0.2">
      <c r="A530" s="17">
        <v>528</v>
      </c>
      <c r="B530" s="17" t="s">
        <v>171</v>
      </c>
      <c r="C530" s="17" t="s">
        <v>338</v>
      </c>
      <c r="D530" s="17" t="s">
        <v>68</v>
      </c>
      <c r="E530" s="17" t="s">
        <v>130</v>
      </c>
      <c r="F530" s="17" t="s">
        <v>339</v>
      </c>
      <c r="G530" s="17" t="s">
        <v>395</v>
      </c>
      <c r="H530" s="30">
        <v>9965</v>
      </c>
      <c r="I530" s="30">
        <v>7898</v>
      </c>
      <c r="J530" s="30">
        <v>9247</v>
      </c>
      <c r="K530" s="30">
        <v>9524</v>
      </c>
      <c r="L530" s="30">
        <v>9619</v>
      </c>
      <c r="M530" s="31">
        <f t="shared" si="40"/>
        <v>1349</v>
      </c>
      <c r="N530" s="32">
        <f t="shared" si="41"/>
        <v>0.17080273486958725</v>
      </c>
      <c r="O530" s="6" t="str">
        <f>IF(ABS(M530)&lt;Overview!$B$6,"OK",IF(I530=0,"REVIEW (zero base)",IF(ABS(M530/ABS(I530))&gt;=Overview!$B$5,"REVIEW","OK")))</f>
        <v>OK</v>
      </c>
      <c r="P530" s="31">
        <f t="shared" si="42"/>
        <v>277</v>
      </c>
      <c r="Q530" s="32">
        <f t="shared" si="43"/>
        <v>2.9955661295555314E-2</v>
      </c>
      <c r="R530" s="6" t="str">
        <f>IF(ABS(P530)&lt;Overview!$B$6,"OK",IF(J530=0,"REVIEW (zero base)",IF(ABS(P530/ABS(J530))&gt;=Overview!$B$5,"REVIEW","OK")))</f>
        <v>OK</v>
      </c>
      <c r="S530" s="33">
        <f t="shared" si="44"/>
        <v>1349.00053</v>
      </c>
    </row>
    <row r="531" spans="1:19" x14ac:dyDescent="0.2">
      <c r="A531" s="17">
        <v>529</v>
      </c>
      <c r="B531" s="17" t="s">
        <v>171</v>
      </c>
      <c r="C531" s="17" t="s">
        <v>338</v>
      </c>
      <c r="D531" s="17" t="s">
        <v>68</v>
      </c>
      <c r="E531" s="17" t="s">
        <v>130</v>
      </c>
      <c r="F531" s="17" t="s">
        <v>341</v>
      </c>
      <c r="G531" s="17" t="s">
        <v>342</v>
      </c>
      <c r="H531" s="30">
        <v>5413</v>
      </c>
      <c r="I531" s="30">
        <v>4701</v>
      </c>
      <c r="J531" s="30">
        <v>5820</v>
      </c>
      <c r="K531" s="30">
        <v>5820</v>
      </c>
      <c r="L531" s="30">
        <v>5820</v>
      </c>
      <c r="M531" s="31">
        <f t="shared" si="40"/>
        <v>1119</v>
      </c>
      <c r="N531" s="32">
        <f t="shared" si="41"/>
        <v>0.23803446075303128</v>
      </c>
      <c r="O531" s="6" t="str">
        <f>IF(ABS(M531)&lt;Overview!$B$6,"OK",IF(I531=0,"REVIEW (zero base)",IF(ABS(M531/ABS(I531))&gt;=Overview!$B$5,"REVIEW","OK")))</f>
        <v>OK</v>
      </c>
      <c r="P531" s="31">
        <f t="shared" si="42"/>
        <v>0</v>
      </c>
      <c r="Q531" s="32">
        <f t="shared" si="43"/>
        <v>0</v>
      </c>
      <c r="R531" s="6" t="str">
        <f>IF(ABS(P531)&lt;Overview!$B$6,"OK",IF(J531=0,"REVIEW (zero base)",IF(ABS(P531/ABS(J531))&gt;=Overview!$B$5,"REVIEW","OK")))</f>
        <v>OK</v>
      </c>
      <c r="S531" s="33">
        <f t="shared" si="44"/>
        <v>1119.0005309999999</v>
      </c>
    </row>
    <row r="532" spans="1:19" x14ac:dyDescent="0.2">
      <c r="A532" s="17">
        <v>530</v>
      </c>
      <c r="B532" s="17" t="s">
        <v>171</v>
      </c>
      <c r="C532" s="17" t="s">
        <v>338</v>
      </c>
      <c r="D532" s="17" t="s">
        <v>68</v>
      </c>
      <c r="E532" s="17" t="s">
        <v>130</v>
      </c>
      <c r="F532" s="17" t="s">
        <v>341</v>
      </c>
      <c r="G532" s="17" t="s">
        <v>375</v>
      </c>
      <c r="H532" s="30">
        <v>13824</v>
      </c>
      <c r="I532" s="30">
        <v>13600</v>
      </c>
      <c r="J532" s="30">
        <v>13650</v>
      </c>
      <c r="K532" s="30">
        <v>13650</v>
      </c>
      <c r="L532" s="30">
        <v>13650</v>
      </c>
      <c r="M532" s="31">
        <f t="shared" si="40"/>
        <v>50</v>
      </c>
      <c r="N532" s="32">
        <f t="shared" si="41"/>
        <v>3.6764705882352941E-3</v>
      </c>
      <c r="O532" s="6" t="str">
        <f>IF(ABS(M532)&lt;Overview!$B$6,"OK",IF(I532=0,"REVIEW (zero base)",IF(ABS(M532/ABS(I532))&gt;=Overview!$B$5,"REVIEW","OK")))</f>
        <v>OK</v>
      </c>
      <c r="P532" s="31">
        <f t="shared" si="42"/>
        <v>0</v>
      </c>
      <c r="Q532" s="32">
        <f t="shared" si="43"/>
        <v>0</v>
      </c>
      <c r="R532" s="6" t="str">
        <f>IF(ABS(P532)&lt;Overview!$B$6,"OK",IF(J532=0,"REVIEW (zero base)",IF(ABS(P532/ABS(J532))&gt;=Overview!$B$5,"REVIEW","OK")))</f>
        <v>OK</v>
      </c>
      <c r="S532" s="33">
        <f t="shared" si="44"/>
        <v>50.000532</v>
      </c>
    </row>
    <row r="533" spans="1:19" x14ac:dyDescent="0.2">
      <c r="A533" s="17">
        <v>531</v>
      </c>
      <c r="B533" s="17" t="s">
        <v>171</v>
      </c>
      <c r="C533" s="17" t="s">
        <v>338</v>
      </c>
      <c r="D533" s="17" t="s">
        <v>68</v>
      </c>
      <c r="E533" s="17" t="s">
        <v>130</v>
      </c>
      <c r="F533" s="17" t="s">
        <v>341</v>
      </c>
      <c r="G533" s="17" t="s">
        <v>376</v>
      </c>
      <c r="H533" s="30">
        <v>85419</v>
      </c>
      <c r="I533" s="30">
        <v>81432</v>
      </c>
      <c r="J533" s="30">
        <v>74676</v>
      </c>
      <c r="K533" s="30">
        <v>84852</v>
      </c>
      <c r="L533" s="30">
        <v>89290</v>
      </c>
      <c r="M533" s="31">
        <f t="shared" si="40"/>
        <v>-6756</v>
      </c>
      <c r="N533" s="32">
        <f t="shared" si="41"/>
        <v>-8.2964927792513993E-2</v>
      </c>
      <c r="O533" s="6" t="str">
        <f>IF(ABS(M533)&lt;Overview!$B$6,"OK",IF(I533=0,"REVIEW (zero base)",IF(ABS(M533/ABS(I533))&gt;=Overview!$B$5,"REVIEW","OK")))</f>
        <v>OK</v>
      </c>
      <c r="P533" s="31">
        <f t="shared" si="42"/>
        <v>10176</v>
      </c>
      <c r="Q533" s="32">
        <f t="shared" si="43"/>
        <v>0.1362686807006267</v>
      </c>
      <c r="R533" s="6" t="str">
        <f>IF(ABS(P533)&lt;Overview!$B$6,"OK",IF(J533=0,"REVIEW (zero base)",IF(ABS(P533/ABS(J533))&gt;=Overview!$B$5,"REVIEW","OK")))</f>
        <v>OK</v>
      </c>
      <c r="S533" s="33">
        <f t="shared" si="44"/>
        <v>6756.0005330000004</v>
      </c>
    </row>
    <row r="534" spans="1:19" x14ac:dyDescent="0.2">
      <c r="A534" s="17">
        <v>532</v>
      </c>
      <c r="B534" s="17" t="s">
        <v>171</v>
      </c>
      <c r="C534" s="17" t="s">
        <v>338</v>
      </c>
      <c r="D534" s="17" t="s">
        <v>68</v>
      </c>
      <c r="E534" s="17" t="s">
        <v>130</v>
      </c>
      <c r="F534" s="17" t="s">
        <v>341</v>
      </c>
      <c r="G534" s="17" t="s">
        <v>343</v>
      </c>
      <c r="H534" s="30">
        <v>21038</v>
      </c>
      <c r="I534" s="30">
        <v>19850</v>
      </c>
      <c r="J534" s="30">
        <v>21924</v>
      </c>
      <c r="K534" s="30">
        <v>22415</v>
      </c>
      <c r="L534" s="30">
        <v>22639</v>
      </c>
      <c r="M534" s="31">
        <f t="shared" si="40"/>
        <v>2074</v>
      </c>
      <c r="N534" s="32">
        <f t="shared" si="41"/>
        <v>0.10448362720403023</v>
      </c>
      <c r="O534" s="6" t="str">
        <f>IF(ABS(M534)&lt;Overview!$B$6,"OK",IF(I534=0,"REVIEW (zero base)",IF(ABS(M534/ABS(I534))&gt;=Overview!$B$5,"REVIEW","OK")))</f>
        <v>OK</v>
      </c>
      <c r="P534" s="31">
        <f t="shared" si="42"/>
        <v>491</v>
      </c>
      <c r="Q534" s="32">
        <f t="shared" si="43"/>
        <v>2.2395548257617224E-2</v>
      </c>
      <c r="R534" s="6" t="str">
        <f>IF(ABS(P534)&lt;Overview!$B$6,"OK",IF(J534=0,"REVIEW (zero base)",IF(ABS(P534/ABS(J534))&gt;=Overview!$B$5,"REVIEW","OK")))</f>
        <v>OK</v>
      </c>
      <c r="S534" s="33">
        <f t="shared" si="44"/>
        <v>2074.0005339999998</v>
      </c>
    </row>
    <row r="535" spans="1:19" x14ac:dyDescent="0.2">
      <c r="A535" s="17">
        <v>533</v>
      </c>
      <c r="B535" s="17" t="s">
        <v>171</v>
      </c>
      <c r="C535" s="17" t="s">
        <v>338</v>
      </c>
      <c r="D535" s="17" t="s">
        <v>68</v>
      </c>
      <c r="E535" s="17" t="s">
        <v>130</v>
      </c>
      <c r="F535" s="17" t="s">
        <v>341</v>
      </c>
      <c r="G535" s="17" t="s">
        <v>378</v>
      </c>
      <c r="H535" s="30">
        <v>11374</v>
      </c>
      <c r="I535" s="30">
        <v>10265</v>
      </c>
      <c r="J535" s="30">
        <v>10322</v>
      </c>
      <c r="K535" s="30">
        <v>10920</v>
      </c>
      <c r="L535" s="30">
        <v>11404</v>
      </c>
      <c r="M535" s="31">
        <f t="shared" si="40"/>
        <v>57</v>
      </c>
      <c r="N535" s="32">
        <f t="shared" si="41"/>
        <v>5.552849488553337E-3</v>
      </c>
      <c r="O535" s="6" t="str">
        <f>IF(ABS(M535)&lt;Overview!$B$6,"OK",IF(I535=0,"REVIEW (zero base)",IF(ABS(M535/ABS(I535))&gt;=Overview!$B$5,"REVIEW","OK")))</f>
        <v>OK</v>
      </c>
      <c r="P535" s="31">
        <f t="shared" si="42"/>
        <v>598</v>
      </c>
      <c r="Q535" s="32">
        <f t="shared" si="43"/>
        <v>5.793450881612091E-2</v>
      </c>
      <c r="R535" s="6" t="str">
        <f>IF(ABS(P535)&lt;Overview!$B$6,"OK",IF(J535=0,"REVIEW (zero base)",IF(ABS(P535/ABS(J535))&gt;=Overview!$B$5,"REVIEW","OK")))</f>
        <v>OK</v>
      </c>
      <c r="S535" s="33">
        <f t="shared" si="44"/>
        <v>57.000534999999999</v>
      </c>
    </row>
    <row r="536" spans="1:19" x14ac:dyDescent="0.2">
      <c r="A536" s="17">
        <v>534</v>
      </c>
      <c r="B536" s="17" t="s">
        <v>171</v>
      </c>
      <c r="C536" s="17" t="s">
        <v>338</v>
      </c>
      <c r="D536" s="17" t="s">
        <v>68</v>
      </c>
      <c r="E536" s="17" t="s">
        <v>130</v>
      </c>
      <c r="F536" s="17" t="s">
        <v>341</v>
      </c>
      <c r="G536" s="17" t="s">
        <v>344</v>
      </c>
      <c r="H536" s="30">
        <v>80121</v>
      </c>
      <c r="I536" s="30">
        <v>70509</v>
      </c>
      <c r="J536" s="30">
        <v>89609</v>
      </c>
      <c r="K536" s="30">
        <v>103704</v>
      </c>
      <c r="L536" s="30">
        <v>105778</v>
      </c>
      <c r="M536" s="31">
        <f t="shared" si="40"/>
        <v>19100</v>
      </c>
      <c r="N536" s="32">
        <f t="shared" si="41"/>
        <v>0.27088740444482262</v>
      </c>
      <c r="O536" s="6" t="str">
        <f>IF(ABS(M536)&lt;Overview!$B$6,"OK",IF(I536=0,"REVIEW (zero base)",IF(ABS(M536/ABS(I536))&gt;=Overview!$B$5,"REVIEW","OK")))</f>
        <v>OK</v>
      </c>
      <c r="P536" s="31">
        <f t="shared" si="42"/>
        <v>14095</v>
      </c>
      <c r="Q536" s="32">
        <f t="shared" si="43"/>
        <v>0.15729446818957918</v>
      </c>
      <c r="R536" s="6" t="str">
        <f>IF(ABS(P536)&lt;Overview!$B$6,"OK",IF(J536=0,"REVIEW (zero base)",IF(ABS(P536/ABS(J536))&gt;=Overview!$B$5,"REVIEW","OK")))</f>
        <v>OK</v>
      </c>
      <c r="S536" s="33">
        <f t="shared" si="44"/>
        <v>19100.000536</v>
      </c>
    </row>
    <row r="537" spans="1:19" x14ac:dyDescent="0.2">
      <c r="A537" s="17">
        <v>535</v>
      </c>
      <c r="B537" s="17" t="s">
        <v>171</v>
      </c>
      <c r="C537" s="17" t="s">
        <v>338</v>
      </c>
      <c r="D537" s="17" t="s">
        <v>68</v>
      </c>
      <c r="E537" s="17" t="s">
        <v>130</v>
      </c>
      <c r="F537" s="17" t="s">
        <v>364</v>
      </c>
      <c r="G537" s="17" t="s">
        <v>383</v>
      </c>
      <c r="H537" s="30">
        <v>761</v>
      </c>
      <c r="I537" s="30">
        <v>646</v>
      </c>
      <c r="J537" s="30">
        <v>900</v>
      </c>
      <c r="K537" s="30">
        <v>900</v>
      </c>
      <c r="L537" s="30">
        <v>900</v>
      </c>
      <c r="M537" s="31">
        <f t="shared" si="40"/>
        <v>254</v>
      </c>
      <c r="N537" s="32">
        <f t="shared" si="41"/>
        <v>0.39318885448916407</v>
      </c>
      <c r="O537" s="6" t="str">
        <f>IF(ABS(M537)&lt;Overview!$B$6,"OK",IF(I537=0,"REVIEW (zero base)",IF(ABS(M537/ABS(I537))&gt;=Overview!$B$5,"REVIEW","OK")))</f>
        <v>OK</v>
      </c>
      <c r="P537" s="31">
        <f t="shared" si="42"/>
        <v>0</v>
      </c>
      <c r="Q537" s="32">
        <f t="shared" si="43"/>
        <v>0</v>
      </c>
      <c r="R537" s="6" t="str">
        <f>IF(ABS(P537)&lt;Overview!$B$6,"OK",IF(J537=0,"REVIEW (zero base)",IF(ABS(P537/ABS(J537))&gt;=Overview!$B$5,"REVIEW","OK")))</f>
        <v>OK</v>
      </c>
      <c r="S537" s="33">
        <f t="shared" si="44"/>
        <v>254.00053700000001</v>
      </c>
    </row>
    <row r="538" spans="1:19" x14ac:dyDescent="0.2">
      <c r="A538" s="17">
        <v>536</v>
      </c>
      <c r="B538" s="17" t="s">
        <v>171</v>
      </c>
      <c r="C538" s="17" t="s">
        <v>338</v>
      </c>
      <c r="D538" s="17" t="s">
        <v>68</v>
      </c>
      <c r="E538" s="17" t="s">
        <v>130</v>
      </c>
      <c r="F538" s="17" t="s">
        <v>364</v>
      </c>
      <c r="G538" s="17" t="s">
        <v>397</v>
      </c>
      <c r="H538" s="30">
        <v>21178</v>
      </c>
      <c r="I538" s="30">
        <v>16725</v>
      </c>
      <c r="J538" s="30">
        <v>24552</v>
      </c>
      <c r="K538" s="30">
        <v>24552</v>
      </c>
      <c r="L538" s="30">
        <v>24724</v>
      </c>
      <c r="M538" s="31">
        <f t="shared" si="40"/>
        <v>7827</v>
      </c>
      <c r="N538" s="32">
        <f t="shared" si="41"/>
        <v>0.46798206278026905</v>
      </c>
      <c r="O538" s="6" t="str">
        <f>IF(ABS(M538)&lt;Overview!$B$6,"OK",IF(I538=0,"REVIEW (zero base)",IF(ABS(M538/ABS(I538))&gt;=Overview!$B$5,"REVIEW","OK")))</f>
        <v>OK</v>
      </c>
      <c r="P538" s="31">
        <f t="shared" si="42"/>
        <v>0</v>
      </c>
      <c r="Q538" s="32">
        <f t="shared" si="43"/>
        <v>0</v>
      </c>
      <c r="R538" s="6" t="str">
        <f>IF(ABS(P538)&lt;Overview!$B$6,"OK",IF(J538=0,"REVIEW (zero base)",IF(ABS(P538/ABS(J538))&gt;=Overview!$B$5,"REVIEW","OK")))</f>
        <v>OK</v>
      </c>
      <c r="S538" s="33">
        <f t="shared" si="44"/>
        <v>7827.0005380000002</v>
      </c>
    </row>
    <row r="539" spans="1:19" x14ac:dyDescent="0.2">
      <c r="A539" s="17">
        <v>537</v>
      </c>
      <c r="B539" s="17" t="s">
        <v>171</v>
      </c>
      <c r="C539" s="17" t="s">
        <v>338</v>
      </c>
      <c r="D539" s="17" t="s">
        <v>68</v>
      </c>
      <c r="E539" s="17" t="s">
        <v>130</v>
      </c>
      <c r="F539" s="17" t="s">
        <v>364</v>
      </c>
      <c r="G539" s="17" t="s">
        <v>398</v>
      </c>
      <c r="H539" s="30">
        <v>367</v>
      </c>
      <c r="I539" s="30">
        <v>425</v>
      </c>
      <c r="J539" s="30">
        <v>450</v>
      </c>
      <c r="K539" s="30">
        <v>450</v>
      </c>
      <c r="L539" s="30">
        <v>453</v>
      </c>
      <c r="M539" s="31">
        <f t="shared" si="40"/>
        <v>25</v>
      </c>
      <c r="N539" s="32">
        <f t="shared" si="41"/>
        <v>5.8823529411764705E-2</v>
      </c>
      <c r="O539" s="6" t="str">
        <f>IF(ABS(M539)&lt;Overview!$B$6,"OK",IF(I539=0,"REVIEW (zero base)",IF(ABS(M539/ABS(I539))&gt;=Overview!$B$5,"REVIEW","OK")))</f>
        <v>OK</v>
      </c>
      <c r="P539" s="31">
        <f t="shared" si="42"/>
        <v>0</v>
      </c>
      <c r="Q539" s="32">
        <f t="shared" si="43"/>
        <v>0</v>
      </c>
      <c r="R539" s="6" t="str">
        <f>IF(ABS(P539)&lt;Overview!$B$6,"OK",IF(J539=0,"REVIEW (zero base)",IF(ABS(P539/ABS(J539))&gt;=Overview!$B$5,"REVIEW","OK")))</f>
        <v>OK</v>
      </c>
      <c r="S539" s="33">
        <f t="shared" si="44"/>
        <v>25.000539</v>
      </c>
    </row>
    <row r="540" spans="1:19" x14ac:dyDescent="0.2">
      <c r="A540" s="17">
        <v>538</v>
      </c>
      <c r="B540" s="17" t="s">
        <v>171</v>
      </c>
      <c r="C540" s="17" t="s">
        <v>338</v>
      </c>
      <c r="D540" s="17" t="s">
        <v>68</v>
      </c>
      <c r="E540" s="17" t="s">
        <v>130</v>
      </c>
      <c r="F540" s="17" t="s">
        <v>364</v>
      </c>
      <c r="G540" s="17" t="s">
        <v>399</v>
      </c>
      <c r="H540" s="30">
        <v>475</v>
      </c>
      <c r="I540" s="30">
        <v>0</v>
      </c>
      <c r="J540" s="30">
        <v>475</v>
      </c>
      <c r="K540" s="30">
        <v>475</v>
      </c>
      <c r="L540" s="30">
        <v>478</v>
      </c>
      <c r="M540" s="31">
        <f t="shared" si="40"/>
        <v>475</v>
      </c>
      <c r="N540" s="32" t="str">
        <f t="shared" si="41"/>
        <v>n/a</v>
      </c>
      <c r="O540" s="6" t="str">
        <f>IF(ABS(M540)&lt;Overview!$B$6,"OK",IF(I540=0,"REVIEW (zero base)",IF(ABS(M540/ABS(I540))&gt;=Overview!$B$5,"REVIEW","OK")))</f>
        <v>OK</v>
      </c>
      <c r="P540" s="31">
        <f t="shared" si="42"/>
        <v>0</v>
      </c>
      <c r="Q540" s="32">
        <f t="shared" si="43"/>
        <v>0</v>
      </c>
      <c r="R540" s="6" t="str">
        <f>IF(ABS(P540)&lt;Overview!$B$6,"OK",IF(J540=0,"REVIEW (zero base)",IF(ABS(P540/ABS(J540))&gt;=Overview!$B$5,"REVIEW","OK")))</f>
        <v>OK</v>
      </c>
      <c r="S540" s="33">
        <f t="shared" si="44"/>
        <v>475.00054</v>
      </c>
    </row>
    <row r="541" spans="1:19" x14ac:dyDescent="0.2">
      <c r="A541" s="17">
        <v>539</v>
      </c>
      <c r="B541" s="17" t="s">
        <v>171</v>
      </c>
      <c r="C541" s="17" t="s">
        <v>338</v>
      </c>
      <c r="D541" s="17" t="s">
        <v>68</v>
      </c>
      <c r="E541" s="17" t="s">
        <v>130</v>
      </c>
      <c r="F541" s="17" t="s">
        <v>404</v>
      </c>
      <c r="G541" s="17" t="s">
        <v>405</v>
      </c>
      <c r="H541" s="30">
        <v>4574</v>
      </c>
      <c r="I541" s="30">
        <v>6684</v>
      </c>
      <c r="J541" s="30">
        <v>29745</v>
      </c>
      <c r="K541" s="30">
        <v>29745</v>
      </c>
      <c r="L541" s="30">
        <v>29953</v>
      </c>
      <c r="M541" s="31">
        <f t="shared" si="40"/>
        <v>23061</v>
      </c>
      <c r="N541" s="32">
        <f t="shared" si="41"/>
        <v>3.4501795332136447</v>
      </c>
      <c r="O541" s="6" t="str">
        <f>IF(ABS(M541)&lt;Overview!$B$6,"OK",IF(I541=0,"REVIEW (zero base)",IF(ABS(M541/ABS(I541))&gt;=Overview!$B$5,"REVIEW","OK")))</f>
        <v>OK</v>
      </c>
      <c r="P541" s="31">
        <f t="shared" si="42"/>
        <v>0</v>
      </c>
      <c r="Q541" s="32">
        <f t="shared" si="43"/>
        <v>0</v>
      </c>
      <c r="R541" s="6" t="str">
        <f>IF(ABS(P541)&lt;Overview!$B$6,"OK",IF(J541=0,"REVIEW (zero base)",IF(ABS(P541/ABS(J541))&gt;=Overview!$B$5,"REVIEW","OK")))</f>
        <v>OK</v>
      </c>
      <c r="S541" s="33">
        <f t="shared" si="44"/>
        <v>23061.000541000001</v>
      </c>
    </row>
    <row r="542" spans="1:19" x14ac:dyDescent="0.2">
      <c r="A542" s="17">
        <v>540</v>
      </c>
      <c r="B542" s="17" t="s">
        <v>171</v>
      </c>
      <c r="C542" s="17" t="s">
        <v>338</v>
      </c>
      <c r="D542" s="17" t="s">
        <v>68</v>
      </c>
      <c r="E542" s="17" t="s">
        <v>130</v>
      </c>
      <c r="F542" s="17" t="s">
        <v>347</v>
      </c>
      <c r="G542" s="17" t="s">
        <v>348</v>
      </c>
      <c r="H542" s="30">
        <v>377</v>
      </c>
      <c r="I542" s="30">
        <v>80</v>
      </c>
      <c r="J542" s="30">
        <v>180</v>
      </c>
      <c r="K542" s="30">
        <v>180</v>
      </c>
      <c r="L542" s="30">
        <v>181</v>
      </c>
      <c r="M542" s="31">
        <f t="shared" si="40"/>
        <v>100</v>
      </c>
      <c r="N542" s="32">
        <f t="shared" si="41"/>
        <v>1.25</v>
      </c>
      <c r="O542" s="6" t="str">
        <f>IF(ABS(M542)&lt;Overview!$B$6,"OK",IF(I542=0,"REVIEW (zero base)",IF(ABS(M542/ABS(I542))&gt;=Overview!$B$5,"REVIEW","OK")))</f>
        <v>OK</v>
      </c>
      <c r="P542" s="31">
        <f t="shared" si="42"/>
        <v>0</v>
      </c>
      <c r="Q542" s="32">
        <f t="shared" si="43"/>
        <v>0</v>
      </c>
      <c r="R542" s="6" t="str">
        <f>IF(ABS(P542)&lt;Overview!$B$6,"OK",IF(J542=0,"REVIEW (zero base)",IF(ABS(P542/ABS(J542))&gt;=Overview!$B$5,"REVIEW","OK")))</f>
        <v>OK</v>
      </c>
      <c r="S542" s="33">
        <f t="shared" si="44"/>
        <v>100.000542</v>
      </c>
    </row>
    <row r="543" spans="1:19" x14ac:dyDescent="0.2">
      <c r="A543" s="17">
        <v>541</v>
      </c>
      <c r="B543" s="17" t="s">
        <v>171</v>
      </c>
      <c r="C543" s="17" t="s">
        <v>338</v>
      </c>
      <c r="D543" s="17" t="s">
        <v>68</v>
      </c>
      <c r="E543" s="17" t="s">
        <v>130</v>
      </c>
      <c r="F543" s="17" t="s">
        <v>386</v>
      </c>
      <c r="G543" s="17" t="s">
        <v>387</v>
      </c>
      <c r="H543" s="30">
        <v>209</v>
      </c>
      <c r="I543" s="30">
        <v>593</v>
      </c>
      <c r="J543" s="30">
        <v>420</v>
      </c>
      <c r="K543" s="30">
        <v>420</v>
      </c>
      <c r="L543" s="30">
        <v>423</v>
      </c>
      <c r="M543" s="31">
        <f t="shared" si="40"/>
        <v>-173</v>
      </c>
      <c r="N543" s="32">
        <f t="shared" si="41"/>
        <v>-0.29173693086003372</v>
      </c>
      <c r="O543" s="6" t="str">
        <f>IF(ABS(M543)&lt;Overview!$B$6,"OK",IF(I543=0,"REVIEW (zero base)",IF(ABS(M543/ABS(I543))&gt;=Overview!$B$5,"REVIEW","OK")))</f>
        <v>OK</v>
      </c>
      <c r="P543" s="31">
        <f t="shared" si="42"/>
        <v>0</v>
      </c>
      <c r="Q543" s="32">
        <f t="shared" si="43"/>
        <v>0</v>
      </c>
      <c r="R543" s="6" t="str">
        <f>IF(ABS(P543)&lt;Overview!$B$6,"OK",IF(J543=0,"REVIEW (zero base)",IF(ABS(P543/ABS(J543))&gt;=Overview!$B$5,"REVIEW","OK")))</f>
        <v>OK</v>
      </c>
      <c r="S543" s="33">
        <f t="shared" si="44"/>
        <v>173.00054299999999</v>
      </c>
    </row>
    <row r="544" spans="1:19" x14ac:dyDescent="0.2">
      <c r="A544" s="17">
        <v>542</v>
      </c>
      <c r="B544" s="17" t="s">
        <v>171</v>
      </c>
      <c r="C544" s="17" t="s">
        <v>338</v>
      </c>
      <c r="D544" s="17" t="s">
        <v>68</v>
      </c>
      <c r="E544" s="17" t="s">
        <v>134</v>
      </c>
      <c r="F544" s="17" t="s">
        <v>339</v>
      </c>
      <c r="G544" s="17" t="s">
        <v>340</v>
      </c>
      <c r="H544" s="30">
        <v>216985</v>
      </c>
      <c r="I544" s="30">
        <v>235691</v>
      </c>
      <c r="J544" s="30">
        <v>256323</v>
      </c>
      <c r="K544" s="30">
        <v>267190</v>
      </c>
      <c r="L544" s="30">
        <v>269862</v>
      </c>
      <c r="M544" s="31">
        <f t="shared" si="40"/>
        <v>20632</v>
      </c>
      <c r="N544" s="32">
        <f t="shared" si="41"/>
        <v>8.7538344697082202E-2</v>
      </c>
      <c r="O544" s="6" t="str">
        <f>IF(ABS(M544)&lt;Overview!$B$6,"OK",IF(I544=0,"REVIEW (zero base)",IF(ABS(M544/ABS(I544))&gt;=Overview!$B$5,"REVIEW","OK")))</f>
        <v>OK</v>
      </c>
      <c r="P544" s="31">
        <f t="shared" si="42"/>
        <v>10867</v>
      </c>
      <c r="Q544" s="32">
        <f t="shared" si="43"/>
        <v>4.2395727265988614E-2</v>
      </c>
      <c r="R544" s="6" t="str">
        <f>IF(ABS(P544)&lt;Overview!$B$6,"OK",IF(J544=0,"REVIEW (zero base)",IF(ABS(P544/ABS(J544))&gt;=Overview!$B$5,"REVIEW","OK")))</f>
        <v>OK</v>
      </c>
      <c r="S544" s="33">
        <f t="shared" si="44"/>
        <v>20632.000543999999</v>
      </c>
    </row>
    <row r="545" spans="1:19" x14ac:dyDescent="0.2">
      <c r="A545" s="17">
        <v>543</v>
      </c>
      <c r="B545" s="17" t="s">
        <v>171</v>
      </c>
      <c r="C545" s="17" t="s">
        <v>338</v>
      </c>
      <c r="D545" s="17" t="s">
        <v>68</v>
      </c>
      <c r="E545" s="17" t="s">
        <v>134</v>
      </c>
      <c r="F545" s="17" t="s">
        <v>339</v>
      </c>
      <c r="G545" s="17" t="s">
        <v>391</v>
      </c>
      <c r="H545" s="30">
        <v>4245</v>
      </c>
      <c r="I545" s="30">
        <v>3488</v>
      </c>
      <c r="J545" s="30">
        <v>0</v>
      </c>
      <c r="K545" s="30">
        <v>0</v>
      </c>
      <c r="L545" s="30">
        <v>0</v>
      </c>
      <c r="M545" s="31">
        <f t="shared" si="40"/>
        <v>-3488</v>
      </c>
      <c r="N545" s="32">
        <f t="shared" si="41"/>
        <v>-1</v>
      </c>
      <c r="O545" s="6" t="str">
        <f>IF(ABS(M545)&lt;Overview!$B$6,"OK",IF(I545=0,"REVIEW (zero base)",IF(ABS(M545/ABS(I545))&gt;=Overview!$B$5,"REVIEW","OK")))</f>
        <v>OK</v>
      </c>
      <c r="P545" s="31">
        <f t="shared" si="42"/>
        <v>0</v>
      </c>
      <c r="Q545" s="32" t="str">
        <f t="shared" si="43"/>
        <v>n/a</v>
      </c>
      <c r="R545" s="6" t="str">
        <f>IF(ABS(P545)&lt;Overview!$B$6,"OK",IF(J545=0,"REVIEW (zero base)",IF(ABS(P545/ABS(J545))&gt;=Overview!$B$5,"REVIEW","OK")))</f>
        <v>OK</v>
      </c>
      <c r="S545" s="33">
        <f t="shared" si="44"/>
        <v>3488.0005449999999</v>
      </c>
    </row>
    <row r="546" spans="1:19" x14ac:dyDescent="0.2">
      <c r="A546" s="17">
        <v>544</v>
      </c>
      <c r="B546" s="17" t="s">
        <v>171</v>
      </c>
      <c r="C546" s="17" t="s">
        <v>338</v>
      </c>
      <c r="D546" s="17" t="s">
        <v>68</v>
      </c>
      <c r="E546" s="17" t="s">
        <v>134</v>
      </c>
      <c r="F546" s="17" t="s">
        <v>339</v>
      </c>
      <c r="G546" s="17" t="s">
        <v>392</v>
      </c>
      <c r="H546" s="30">
        <v>13360</v>
      </c>
      <c r="I546" s="30">
        <v>8514</v>
      </c>
      <c r="J546" s="30">
        <v>0</v>
      </c>
      <c r="K546" s="30">
        <v>0</v>
      </c>
      <c r="L546" s="30">
        <v>0</v>
      </c>
      <c r="M546" s="31">
        <f t="shared" si="40"/>
        <v>-8514</v>
      </c>
      <c r="N546" s="32">
        <f t="shared" si="41"/>
        <v>-1</v>
      </c>
      <c r="O546" s="6" t="str">
        <f>IF(ABS(M546)&lt;Overview!$B$6,"OK",IF(I546=0,"REVIEW (zero base)",IF(ABS(M546/ABS(I546))&gt;=Overview!$B$5,"REVIEW","OK")))</f>
        <v>OK</v>
      </c>
      <c r="P546" s="31">
        <f t="shared" si="42"/>
        <v>0</v>
      </c>
      <c r="Q546" s="32" t="str">
        <f t="shared" si="43"/>
        <v>n/a</v>
      </c>
      <c r="R546" s="6" t="str">
        <f>IF(ABS(P546)&lt;Overview!$B$6,"OK",IF(J546=0,"REVIEW (zero base)",IF(ABS(P546/ABS(J546))&gt;=Overview!$B$5,"REVIEW","OK")))</f>
        <v>OK</v>
      </c>
      <c r="S546" s="33">
        <f t="shared" si="44"/>
        <v>8514.0005459999993</v>
      </c>
    </row>
    <row r="547" spans="1:19" x14ac:dyDescent="0.2">
      <c r="A547" s="17">
        <v>545</v>
      </c>
      <c r="B547" s="17" t="s">
        <v>171</v>
      </c>
      <c r="C547" s="17" t="s">
        <v>338</v>
      </c>
      <c r="D547" s="17" t="s">
        <v>68</v>
      </c>
      <c r="E547" s="17" t="s">
        <v>134</v>
      </c>
      <c r="F547" s="17" t="s">
        <v>339</v>
      </c>
      <c r="G547" s="17" t="s">
        <v>394</v>
      </c>
      <c r="H547" s="30">
        <v>9791</v>
      </c>
      <c r="I547" s="30">
        <v>8921</v>
      </c>
      <c r="J547" s="30">
        <v>0</v>
      </c>
      <c r="K547" s="30">
        <v>0</v>
      </c>
      <c r="L547" s="30">
        <v>0</v>
      </c>
      <c r="M547" s="31">
        <f t="shared" si="40"/>
        <v>-8921</v>
      </c>
      <c r="N547" s="32">
        <f t="shared" si="41"/>
        <v>-1</v>
      </c>
      <c r="O547" s="6" t="str">
        <f>IF(ABS(M547)&lt;Overview!$B$6,"OK",IF(I547=0,"REVIEW (zero base)",IF(ABS(M547/ABS(I547))&gt;=Overview!$B$5,"REVIEW","OK")))</f>
        <v>OK</v>
      </c>
      <c r="P547" s="31">
        <f t="shared" si="42"/>
        <v>0</v>
      </c>
      <c r="Q547" s="32" t="str">
        <f t="shared" si="43"/>
        <v>n/a</v>
      </c>
      <c r="R547" s="6" t="str">
        <f>IF(ABS(P547)&lt;Overview!$B$6,"OK",IF(J547=0,"REVIEW (zero base)",IF(ABS(P547/ABS(J547))&gt;=Overview!$B$5,"REVIEW","OK")))</f>
        <v>OK</v>
      </c>
      <c r="S547" s="33">
        <f t="shared" si="44"/>
        <v>8921.0005469999996</v>
      </c>
    </row>
    <row r="548" spans="1:19" x14ac:dyDescent="0.2">
      <c r="A548" s="17">
        <v>546</v>
      </c>
      <c r="B548" s="17" t="s">
        <v>171</v>
      </c>
      <c r="C548" s="17" t="s">
        <v>338</v>
      </c>
      <c r="D548" s="17" t="s">
        <v>68</v>
      </c>
      <c r="E548" s="17" t="s">
        <v>134</v>
      </c>
      <c r="F548" s="17" t="s">
        <v>339</v>
      </c>
      <c r="G548" s="17" t="s">
        <v>395</v>
      </c>
      <c r="H548" s="30">
        <v>9020</v>
      </c>
      <c r="I548" s="30">
        <v>9078</v>
      </c>
      <c r="J548" s="30">
        <v>10763</v>
      </c>
      <c r="K548" s="30">
        <v>12601</v>
      </c>
      <c r="L548" s="30">
        <v>12727</v>
      </c>
      <c r="M548" s="31">
        <f t="shared" si="40"/>
        <v>1685</v>
      </c>
      <c r="N548" s="32">
        <f t="shared" si="41"/>
        <v>0.18561357127120512</v>
      </c>
      <c r="O548" s="6" t="str">
        <f>IF(ABS(M548)&lt;Overview!$B$6,"OK",IF(I548=0,"REVIEW (zero base)",IF(ABS(M548/ABS(I548))&gt;=Overview!$B$5,"REVIEW","OK")))</f>
        <v>OK</v>
      </c>
      <c r="P548" s="31">
        <f t="shared" si="42"/>
        <v>1838</v>
      </c>
      <c r="Q548" s="32">
        <f t="shared" si="43"/>
        <v>0.17077023134813712</v>
      </c>
      <c r="R548" s="6" t="str">
        <f>IF(ABS(P548)&lt;Overview!$B$6,"OK",IF(J548=0,"REVIEW (zero base)",IF(ABS(P548/ABS(J548))&gt;=Overview!$B$5,"REVIEW","OK")))</f>
        <v>OK</v>
      </c>
      <c r="S548" s="33">
        <f t="shared" si="44"/>
        <v>1685.000548</v>
      </c>
    </row>
    <row r="549" spans="1:19" x14ac:dyDescent="0.2">
      <c r="A549" s="17">
        <v>547</v>
      </c>
      <c r="B549" s="17" t="s">
        <v>171</v>
      </c>
      <c r="C549" s="17" t="s">
        <v>338</v>
      </c>
      <c r="D549" s="17" t="s">
        <v>68</v>
      </c>
      <c r="E549" s="17" t="s">
        <v>134</v>
      </c>
      <c r="F549" s="17" t="s">
        <v>341</v>
      </c>
      <c r="G549" s="17" t="s">
        <v>342</v>
      </c>
      <c r="H549" s="30">
        <v>5958</v>
      </c>
      <c r="I549" s="30">
        <v>5233</v>
      </c>
      <c r="J549" s="30">
        <v>7488</v>
      </c>
      <c r="K549" s="30">
        <v>7488</v>
      </c>
      <c r="L549" s="30">
        <v>7488</v>
      </c>
      <c r="M549" s="31">
        <f t="shared" si="40"/>
        <v>2255</v>
      </c>
      <c r="N549" s="32">
        <f t="shared" si="41"/>
        <v>0.43091916682591247</v>
      </c>
      <c r="O549" s="6" t="str">
        <f>IF(ABS(M549)&lt;Overview!$B$6,"OK",IF(I549=0,"REVIEW (zero base)",IF(ABS(M549/ABS(I549))&gt;=Overview!$B$5,"REVIEW","OK")))</f>
        <v>OK</v>
      </c>
      <c r="P549" s="31">
        <f t="shared" si="42"/>
        <v>0</v>
      </c>
      <c r="Q549" s="32">
        <f t="shared" si="43"/>
        <v>0</v>
      </c>
      <c r="R549" s="6" t="str">
        <f>IF(ABS(P549)&lt;Overview!$B$6,"OK",IF(J549=0,"REVIEW (zero base)",IF(ABS(P549/ABS(J549))&gt;=Overview!$B$5,"REVIEW","OK")))</f>
        <v>OK</v>
      </c>
      <c r="S549" s="33">
        <f t="shared" si="44"/>
        <v>2255.0005489999999</v>
      </c>
    </row>
    <row r="550" spans="1:19" x14ac:dyDescent="0.2">
      <c r="A550" s="17">
        <v>548</v>
      </c>
      <c r="B550" s="17" t="s">
        <v>171</v>
      </c>
      <c r="C550" s="17" t="s">
        <v>338</v>
      </c>
      <c r="D550" s="17" t="s">
        <v>68</v>
      </c>
      <c r="E550" s="17" t="s">
        <v>134</v>
      </c>
      <c r="F550" s="17" t="s">
        <v>341</v>
      </c>
      <c r="G550" s="17" t="s">
        <v>406</v>
      </c>
      <c r="H550" s="30">
        <v>1500</v>
      </c>
      <c r="I550" s="30">
        <v>1500</v>
      </c>
      <c r="J550" s="30">
        <v>0</v>
      </c>
      <c r="K550" s="30">
        <v>0</v>
      </c>
      <c r="L550" s="30">
        <v>0</v>
      </c>
      <c r="M550" s="31">
        <f t="shared" si="40"/>
        <v>-1500</v>
      </c>
      <c r="N550" s="32">
        <f t="shared" si="41"/>
        <v>-1</v>
      </c>
      <c r="O550" s="6" t="str">
        <f>IF(ABS(M550)&lt;Overview!$B$6,"OK",IF(I550=0,"REVIEW (zero base)",IF(ABS(M550/ABS(I550))&gt;=Overview!$B$5,"REVIEW","OK")))</f>
        <v>OK</v>
      </c>
      <c r="P550" s="31">
        <f t="shared" si="42"/>
        <v>0</v>
      </c>
      <c r="Q550" s="32" t="str">
        <f t="shared" si="43"/>
        <v>n/a</v>
      </c>
      <c r="R550" s="6" t="str">
        <f>IF(ABS(P550)&lt;Overview!$B$6,"OK",IF(J550=0,"REVIEW (zero base)",IF(ABS(P550/ABS(J550))&gt;=Overview!$B$5,"REVIEW","OK")))</f>
        <v>OK</v>
      </c>
      <c r="S550" s="33">
        <f t="shared" si="44"/>
        <v>1500.00055</v>
      </c>
    </row>
    <row r="551" spans="1:19" x14ac:dyDescent="0.2">
      <c r="A551" s="17">
        <v>549</v>
      </c>
      <c r="B551" s="17" t="s">
        <v>171</v>
      </c>
      <c r="C551" s="17" t="s">
        <v>338</v>
      </c>
      <c r="D551" s="17" t="s">
        <v>68</v>
      </c>
      <c r="E551" s="17" t="s">
        <v>134</v>
      </c>
      <c r="F551" s="17" t="s">
        <v>341</v>
      </c>
      <c r="G551" s="17" t="s">
        <v>375</v>
      </c>
      <c r="H551" s="30">
        <v>8263</v>
      </c>
      <c r="I551" s="30">
        <v>9067</v>
      </c>
      <c r="J551" s="30">
        <v>13650</v>
      </c>
      <c r="K551" s="30">
        <v>13650</v>
      </c>
      <c r="L551" s="30">
        <v>13650</v>
      </c>
      <c r="M551" s="31">
        <f t="shared" si="40"/>
        <v>4583</v>
      </c>
      <c r="N551" s="32">
        <f t="shared" si="41"/>
        <v>0.50545935811183418</v>
      </c>
      <c r="O551" s="6" t="str">
        <f>IF(ABS(M551)&lt;Overview!$B$6,"OK",IF(I551=0,"REVIEW (zero base)",IF(ABS(M551/ABS(I551))&gt;=Overview!$B$5,"REVIEW","OK")))</f>
        <v>OK</v>
      </c>
      <c r="P551" s="31">
        <f t="shared" si="42"/>
        <v>0</v>
      </c>
      <c r="Q551" s="32">
        <f t="shared" si="43"/>
        <v>0</v>
      </c>
      <c r="R551" s="6" t="str">
        <f>IF(ABS(P551)&lt;Overview!$B$6,"OK",IF(J551=0,"REVIEW (zero base)",IF(ABS(P551/ABS(J551))&gt;=Overview!$B$5,"REVIEW","OK")))</f>
        <v>OK</v>
      </c>
      <c r="S551" s="33">
        <f t="shared" si="44"/>
        <v>4583.0005510000001</v>
      </c>
    </row>
    <row r="552" spans="1:19" x14ac:dyDescent="0.2">
      <c r="A552" s="17">
        <v>550</v>
      </c>
      <c r="B552" s="17" t="s">
        <v>171</v>
      </c>
      <c r="C552" s="17" t="s">
        <v>338</v>
      </c>
      <c r="D552" s="17" t="s">
        <v>68</v>
      </c>
      <c r="E552" s="17" t="s">
        <v>134</v>
      </c>
      <c r="F552" s="17" t="s">
        <v>341</v>
      </c>
      <c r="G552" s="17" t="s">
        <v>376</v>
      </c>
      <c r="H552" s="30">
        <v>73077</v>
      </c>
      <c r="I552" s="30">
        <v>77343</v>
      </c>
      <c r="J552" s="30">
        <v>72092</v>
      </c>
      <c r="K552" s="30">
        <v>80592</v>
      </c>
      <c r="L552" s="30">
        <v>84807</v>
      </c>
      <c r="M552" s="31">
        <f t="shared" si="40"/>
        <v>-5251</v>
      </c>
      <c r="N552" s="32">
        <f t="shared" si="41"/>
        <v>-6.7892375522025261E-2</v>
      </c>
      <c r="O552" s="6" t="str">
        <f>IF(ABS(M552)&lt;Overview!$B$6,"OK",IF(I552=0,"REVIEW (zero base)",IF(ABS(M552/ABS(I552))&gt;=Overview!$B$5,"REVIEW","OK")))</f>
        <v>OK</v>
      </c>
      <c r="P552" s="31">
        <f t="shared" si="42"/>
        <v>8500</v>
      </c>
      <c r="Q552" s="32">
        <f t="shared" si="43"/>
        <v>0.11790489929534484</v>
      </c>
      <c r="R552" s="6" t="str">
        <f>IF(ABS(P552)&lt;Overview!$B$6,"OK",IF(J552=0,"REVIEW (zero base)",IF(ABS(P552/ABS(J552))&gt;=Overview!$B$5,"REVIEW","OK")))</f>
        <v>OK</v>
      </c>
      <c r="S552" s="33">
        <f t="shared" si="44"/>
        <v>5251.0005520000004</v>
      </c>
    </row>
    <row r="553" spans="1:19" x14ac:dyDescent="0.2">
      <c r="A553" s="17">
        <v>551</v>
      </c>
      <c r="B553" s="17" t="s">
        <v>171</v>
      </c>
      <c r="C553" s="17" t="s">
        <v>338</v>
      </c>
      <c r="D553" s="17" t="s">
        <v>68</v>
      </c>
      <c r="E553" s="17" t="s">
        <v>134</v>
      </c>
      <c r="F553" s="17" t="s">
        <v>341</v>
      </c>
      <c r="G553" s="17" t="s">
        <v>343</v>
      </c>
      <c r="H553" s="30">
        <v>18303</v>
      </c>
      <c r="I553" s="30">
        <v>19442</v>
      </c>
      <c r="J553" s="30">
        <v>21196</v>
      </c>
      <c r="K553" s="30">
        <v>21404</v>
      </c>
      <c r="L553" s="30">
        <v>21618</v>
      </c>
      <c r="M553" s="31">
        <f t="shared" si="40"/>
        <v>1754</v>
      </c>
      <c r="N553" s="32">
        <f t="shared" si="41"/>
        <v>9.0217055858450773E-2</v>
      </c>
      <c r="O553" s="6" t="str">
        <f>IF(ABS(M553)&lt;Overview!$B$6,"OK",IF(I553=0,"REVIEW (zero base)",IF(ABS(M553/ABS(I553))&gt;=Overview!$B$5,"REVIEW","OK")))</f>
        <v>OK</v>
      </c>
      <c r="P553" s="31">
        <f t="shared" si="42"/>
        <v>208</v>
      </c>
      <c r="Q553" s="32">
        <f t="shared" si="43"/>
        <v>9.8131722966597473E-3</v>
      </c>
      <c r="R553" s="6" t="str">
        <f>IF(ABS(P553)&lt;Overview!$B$6,"OK",IF(J553=0,"REVIEW (zero base)",IF(ABS(P553/ABS(J553))&gt;=Overview!$B$5,"REVIEW","OK")))</f>
        <v>OK</v>
      </c>
      <c r="S553" s="33">
        <f t="shared" si="44"/>
        <v>1754.0005530000001</v>
      </c>
    </row>
    <row r="554" spans="1:19" x14ac:dyDescent="0.2">
      <c r="A554" s="17">
        <v>552</v>
      </c>
      <c r="B554" s="17" t="s">
        <v>171</v>
      </c>
      <c r="C554" s="17" t="s">
        <v>338</v>
      </c>
      <c r="D554" s="17" t="s">
        <v>68</v>
      </c>
      <c r="E554" s="17" t="s">
        <v>134</v>
      </c>
      <c r="F554" s="17" t="s">
        <v>341</v>
      </c>
      <c r="G554" s="17" t="s">
        <v>378</v>
      </c>
      <c r="H554" s="30">
        <v>6801</v>
      </c>
      <c r="I554" s="30">
        <v>6843</v>
      </c>
      <c r="J554" s="30">
        <v>10322</v>
      </c>
      <c r="K554" s="30">
        <v>10920</v>
      </c>
      <c r="L554" s="30">
        <v>11404</v>
      </c>
      <c r="M554" s="31">
        <f t="shared" si="40"/>
        <v>3479</v>
      </c>
      <c r="N554" s="32">
        <f t="shared" si="41"/>
        <v>0.50840274733304103</v>
      </c>
      <c r="O554" s="6" t="str">
        <f>IF(ABS(M554)&lt;Overview!$B$6,"OK",IF(I554=0,"REVIEW (zero base)",IF(ABS(M554/ABS(I554))&gt;=Overview!$B$5,"REVIEW","OK")))</f>
        <v>OK</v>
      </c>
      <c r="P554" s="31">
        <f t="shared" si="42"/>
        <v>598</v>
      </c>
      <c r="Q554" s="32">
        <f t="shared" si="43"/>
        <v>5.793450881612091E-2</v>
      </c>
      <c r="R554" s="6" t="str">
        <f>IF(ABS(P554)&lt;Overview!$B$6,"OK",IF(J554=0,"REVIEW (zero base)",IF(ABS(P554/ABS(J554))&gt;=Overview!$B$5,"REVIEW","OK")))</f>
        <v>OK</v>
      </c>
      <c r="S554" s="33">
        <f t="shared" si="44"/>
        <v>3479.0005540000002</v>
      </c>
    </row>
    <row r="555" spans="1:19" x14ac:dyDescent="0.2">
      <c r="A555" s="17">
        <v>553</v>
      </c>
      <c r="B555" s="17" t="s">
        <v>171</v>
      </c>
      <c r="C555" s="17" t="s">
        <v>338</v>
      </c>
      <c r="D555" s="17" t="s">
        <v>68</v>
      </c>
      <c r="E555" s="17" t="s">
        <v>134</v>
      </c>
      <c r="F555" s="17" t="s">
        <v>341</v>
      </c>
      <c r="G555" s="17" t="s">
        <v>344</v>
      </c>
      <c r="H555" s="30">
        <v>68532</v>
      </c>
      <c r="I555" s="30">
        <v>57471</v>
      </c>
      <c r="J555" s="30">
        <v>73042</v>
      </c>
      <c r="K555" s="30">
        <v>84528</v>
      </c>
      <c r="L555" s="30">
        <v>86219</v>
      </c>
      <c r="M555" s="31">
        <f t="shared" si="40"/>
        <v>15571</v>
      </c>
      <c r="N555" s="32">
        <f t="shared" si="41"/>
        <v>0.270936646308573</v>
      </c>
      <c r="O555" s="6" t="str">
        <f>IF(ABS(M555)&lt;Overview!$B$6,"OK",IF(I555=0,"REVIEW (zero base)",IF(ABS(M555/ABS(I555))&gt;=Overview!$B$5,"REVIEW","OK")))</f>
        <v>OK</v>
      </c>
      <c r="P555" s="31">
        <f t="shared" si="42"/>
        <v>11486</v>
      </c>
      <c r="Q555" s="32">
        <f t="shared" si="43"/>
        <v>0.15725199200460011</v>
      </c>
      <c r="R555" s="6" t="str">
        <f>IF(ABS(P555)&lt;Overview!$B$6,"OK",IF(J555=0,"REVIEW (zero base)",IF(ABS(P555/ABS(J555))&gt;=Overview!$B$5,"REVIEW","OK")))</f>
        <v>OK</v>
      </c>
      <c r="S555" s="33">
        <f t="shared" si="44"/>
        <v>15571.000555000001</v>
      </c>
    </row>
    <row r="556" spans="1:19" x14ac:dyDescent="0.2">
      <c r="A556" s="17">
        <v>554</v>
      </c>
      <c r="B556" s="17" t="s">
        <v>171</v>
      </c>
      <c r="C556" s="17" t="s">
        <v>338</v>
      </c>
      <c r="D556" s="17" t="s">
        <v>68</v>
      </c>
      <c r="E556" s="17" t="s">
        <v>134</v>
      </c>
      <c r="F556" s="17" t="s">
        <v>364</v>
      </c>
      <c r="G556" s="17" t="s">
        <v>383</v>
      </c>
      <c r="H556" s="30">
        <v>905</v>
      </c>
      <c r="I556" s="30">
        <v>309</v>
      </c>
      <c r="J556" s="30">
        <v>1020</v>
      </c>
      <c r="K556" s="30">
        <v>1020</v>
      </c>
      <c r="L556" s="30">
        <v>1020</v>
      </c>
      <c r="M556" s="31">
        <f t="shared" si="40"/>
        <v>711</v>
      </c>
      <c r="N556" s="32">
        <f t="shared" si="41"/>
        <v>2.3009708737864076</v>
      </c>
      <c r="O556" s="6" t="str">
        <f>IF(ABS(M556)&lt;Overview!$B$6,"OK",IF(I556=0,"REVIEW (zero base)",IF(ABS(M556/ABS(I556))&gt;=Overview!$B$5,"REVIEW","OK")))</f>
        <v>OK</v>
      </c>
      <c r="P556" s="31">
        <f t="shared" si="42"/>
        <v>0</v>
      </c>
      <c r="Q556" s="32">
        <f t="shared" si="43"/>
        <v>0</v>
      </c>
      <c r="R556" s="6" t="str">
        <f>IF(ABS(P556)&lt;Overview!$B$6,"OK",IF(J556=0,"REVIEW (zero base)",IF(ABS(P556/ABS(J556))&gt;=Overview!$B$5,"REVIEW","OK")))</f>
        <v>OK</v>
      </c>
      <c r="S556" s="33">
        <f t="shared" si="44"/>
        <v>711.00055599999996</v>
      </c>
    </row>
    <row r="557" spans="1:19" x14ac:dyDescent="0.2">
      <c r="A557" s="17">
        <v>555</v>
      </c>
      <c r="B557" s="17" t="s">
        <v>171</v>
      </c>
      <c r="C557" s="17" t="s">
        <v>338</v>
      </c>
      <c r="D557" s="17" t="s">
        <v>68</v>
      </c>
      <c r="E557" s="17" t="s">
        <v>134</v>
      </c>
      <c r="F557" s="17" t="s">
        <v>402</v>
      </c>
      <c r="G557" s="17" t="s">
        <v>416</v>
      </c>
      <c r="H557" s="30">
        <v>0</v>
      </c>
      <c r="I557" s="30">
        <v>0</v>
      </c>
      <c r="J557" s="30">
        <v>1600</v>
      </c>
      <c r="K557" s="30">
        <v>1600</v>
      </c>
      <c r="L557" s="30">
        <v>1611</v>
      </c>
      <c r="M557" s="31">
        <f t="shared" si="40"/>
        <v>1600</v>
      </c>
      <c r="N557" s="32" t="str">
        <f t="shared" si="41"/>
        <v>n/a</v>
      </c>
      <c r="O557" s="6" t="str">
        <f>IF(ABS(M557)&lt;Overview!$B$6,"OK",IF(I557=0,"REVIEW (zero base)",IF(ABS(M557/ABS(I557))&gt;=Overview!$B$5,"REVIEW","OK")))</f>
        <v>OK</v>
      </c>
      <c r="P557" s="31">
        <f t="shared" si="42"/>
        <v>0</v>
      </c>
      <c r="Q557" s="32">
        <f t="shared" si="43"/>
        <v>0</v>
      </c>
      <c r="R557" s="6" t="str">
        <f>IF(ABS(P557)&lt;Overview!$B$6,"OK",IF(J557=0,"REVIEW (zero base)",IF(ABS(P557/ABS(J557))&gt;=Overview!$B$5,"REVIEW","OK")))</f>
        <v>OK</v>
      </c>
      <c r="S557" s="33">
        <f t="shared" si="44"/>
        <v>1600.0005570000001</v>
      </c>
    </row>
    <row r="558" spans="1:19" x14ac:dyDescent="0.2">
      <c r="A558" s="17">
        <v>556</v>
      </c>
      <c r="B558" s="17" t="s">
        <v>171</v>
      </c>
      <c r="C558" s="17" t="s">
        <v>338</v>
      </c>
      <c r="D558" s="17" t="s">
        <v>68</v>
      </c>
      <c r="E558" s="17" t="s">
        <v>134</v>
      </c>
      <c r="F558" s="17" t="s">
        <v>347</v>
      </c>
      <c r="G558" s="17" t="s">
        <v>348</v>
      </c>
      <c r="H558" s="30">
        <v>1773</v>
      </c>
      <c r="I558" s="30">
        <v>2214</v>
      </c>
      <c r="J558" s="30">
        <v>1220</v>
      </c>
      <c r="K558" s="30">
        <v>1220</v>
      </c>
      <c r="L558" s="30">
        <v>1229</v>
      </c>
      <c r="M558" s="31">
        <f t="shared" si="40"/>
        <v>-994</v>
      </c>
      <c r="N558" s="32">
        <f t="shared" si="41"/>
        <v>-0.44896115627822947</v>
      </c>
      <c r="O558" s="6" t="str">
        <f>IF(ABS(M558)&lt;Overview!$B$6,"OK",IF(I558=0,"REVIEW (zero base)",IF(ABS(M558/ABS(I558))&gt;=Overview!$B$5,"REVIEW","OK")))</f>
        <v>OK</v>
      </c>
      <c r="P558" s="31">
        <f t="shared" si="42"/>
        <v>0</v>
      </c>
      <c r="Q558" s="32">
        <f t="shared" si="43"/>
        <v>0</v>
      </c>
      <c r="R558" s="6" t="str">
        <f>IF(ABS(P558)&lt;Overview!$B$6,"OK",IF(J558=0,"REVIEW (zero base)",IF(ABS(P558/ABS(J558))&gt;=Overview!$B$5,"REVIEW","OK")))</f>
        <v>OK</v>
      </c>
      <c r="S558" s="33">
        <f t="shared" si="44"/>
        <v>994.00055799999996</v>
      </c>
    </row>
    <row r="559" spans="1:19" x14ac:dyDescent="0.2">
      <c r="A559" s="17">
        <v>557</v>
      </c>
      <c r="B559" s="17" t="s">
        <v>171</v>
      </c>
      <c r="C559" s="17" t="s">
        <v>338</v>
      </c>
      <c r="D559" s="17" t="s">
        <v>58</v>
      </c>
      <c r="E559" s="17" t="s">
        <v>84</v>
      </c>
      <c r="F559" s="17" t="s">
        <v>339</v>
      </c>
      <c r="G559" s="17" t="s">
        <v>340</v>
      </c>
      <c r="H559" s="30">
        <v>1312105</v>
      </c>
      <c r="I559" s="30">
        <v>1445338</v>
      </c>
      <c r="J559" s="30">
        <v>1717396</v>
      </c>
      <c r="K559" s="30">
        <v>2115926</v>
      </c>
      <c r="L559" s="30">
        <v>2137085</v>
      </c>
      <c r="M559" s="31">
        <f t="shared" si="40"/>
        <v>272058</v>
      </c>
      <c r="N559" s="32">
        <f t="shared" si="41"/>
        <v>0.18823140331188967</v>
      </c>
      <c r="O559" s="6" t="str">
        <f>IF(ABS(M559)&lt;Overview!$B$6,"OK",IF(I559=0,"REVIEW (zero base)",IF(ABS(M559/ABS(I559))&gt;=Overview!$B$5,"REVIEW","OK")))</f>
        <v>REVIEW</v>
      </c>
      <c r="P559" s="31">
        <f t="shared" si="42"/>
        <v>398530</v>
      </c>
      <c r="Q559" s="32">
        <f t="shared" si="43"/>
        <v>0.23205480855900446</v>
      </c>
      <c r="R559" s="6" t="str">
        <f>IF(ABS(P559)&lt;Overview!$B$6,"OK",IF(J559=0,"REVIEW (zero base)",IF(ABS(P559/ABS(J559))&gt;=Overview!$B$5,"REVIEW","OK")))</f>
        <v>REVIEW</v>
      </c>
      <c r="S559" s="33">
        <f t="shared" si="44"/>
        <v>272058.00055900001</v>
      </c>
    </row>
    <row r="560" spans="1:19" x14ac:dyDescent="0.2">
      <c r="A560" s="17">
        <v>558</v>
      </c>
      <c r="B560" s="17" t="s">
        <v>171</v>
      </c>
      <c r="C560" s="17" t="s">
        <v>338</v>
      </c>
      <c r="D560" s="17" t="s">
        <v>58</v>
      </c>
      <c r="E560" s="17" t="s">
        <v>84</v>
      </c>
      <c r="F560" s="17" t="s">
        <v>339</v>
      </c>
      <c r="G560" s="17" t="s">
        <v>389</v>
      </c>
      <c r="H560" s="30">
        <v>22042</v>
      </c>
      <c r="I560" s="30">
        <v>8147</v>
      </c>
      <c r="J560" s="30">
        <v>0</v>
      </c>
      <c r="K560" s="30">
        <v>0</v>
      </c>
      <c r="L560" s="30">
        <v>0</v>
      </c>
      <c r="M560" s="31">
        <f t="shared" si="40"/>
        <v>-8147</v>
      </c>
      <c r="N560" s="32">
        <f t="shared" si="41"/>
        <v>-1</v>
      </c>
      <c r="O560" s="6" t="str">
        <f>IF(ABS(M560)&lt;Overview!$B$6,"OK",IF(I560=0,"REVIEW (zero base)",IF(ABS(M560/ABS(I560))&gt;=Overview!$B$5,"REVIEW","OK")))</f>
        <v>OK</v>
      </c>
      <c r="P560" s="31">
        <f t="shared" si="42"/>
        <v>0</v>
      </c>
      <c r="Q560" s="32" t="str">
        <f t="shared" si="43"/>
        <v>n/a</v>
      </c>
      <c r="R560" s="6" t="str">
        <f>IF(ABS(P560)&lt;Overview!$B$6,"OK",IF(J560=0,"REVIEW (zero base)",IF(ABS(P560/ABS(J560))&gt;=Overview!$B$5,"REVIEW","OK")))</f>
        <v>OK</v>
      </c>
      <c r="S560" s="33">
        <f t="shared" si="44"/>
        <v>8147.0005600000004</v>
      </c>
    </row>
    <row r="561" spans="1:19" x14ac:dyDescent="0.2">
      <c r="A561" s="17">
        <v>559</v>
      </c>
      <c r="B561" s="17" t="s">
        <v>171</v>
      </c>
      <c r="C561" s="17" t="s">
        <v>338</v>
      </c>
      <c r="D561" s="17" t="s">
        <v>58</v>
      </c>
      <c r="E561" s="17" t="s">
        <v>84</v>
      </c>
      <c r="F561" s="17" t="s">
        <v>339</v>
      </c>
      <c r="G561" s="17" t="s">
        <v>390</v>
      </c>
      <c r="H561" s="30">
        <v>30196</v>
      </c>
      <c r="I561" s="30">
        <v>37397</v>
      </c>
      <c r="J561" s="30">
        <v>30000</v>
      </c>
      <c r="K561" s="30">
        <v>35000</v>
      </c>
      <c r="L561" s="30">
        <v>35000</v>
      </c>
      <c r="M561" s="31">
        <f t="shared" si="40"/>
        <v>-7397</v>
      </c>
      <c r="N561" s="32">
        <f t="shared" si="41"/>
        <v>-0.19779661470171403</v>
      </c>
      <c r="O561" s="6" t="str">
        <f>IF(ABS(M561)&lt;Overview!$B$6,"OK",IF(I561=0,"REVIEW (zero base)",IF(ABS(M561/ABS(I561))&gt;=Overview!$B$5,"REVIEW","OK")))</f>
        <v>OK</v>
      </c>
      <c r="P561" s="31">
        <f t="shared" si="42"/>
        <v>5000</v>
      </c>
      <c r="Q561" s="32">
        <f t="shared" si="43"/>
        <v>0.16666666666666666</v>
      </c>
      <c r="R561" s="6" t="str">
        <f>IF(ABS(P561)&lt;Overview!$B$6,"OK",IF(J561=0,"REVIEW (zero base)",IF(ABS(P561/ABS(J561))&gt;=Overview!$B$5,"REVIEW","OK")))</f>
        <v>OK</v>
      </c>
      <c r="S561" s="33">
        <f t="shared" si="44"/>
        <v>7397.0005609999998</v>
      </c>
    </row>
    <row r="562" spans="1:19" x14ac:dyDescent="0.2">
      <c r="A562" s="17">
        <v>560</v>
      </c>
      <c r="B562" s="17" t="s">
        <v>171</v>
      </c>
      <c r="C562" s="17" t="s">
        <v>338</v>
      </c>
      <c r="D562" s="17" t="s">
        <v>58</v>
      </c>
      <c r="E562" s="17" t="s">
        <v>84</v>
      </c>
      <c r="F562" s="17" t="s">
        <v>339</v>
      </c>
      <c r="G562" s="17" t="s">
        <v>391</v>
      </c>
      <c r="H562" s="30">
        <v>52272</v>
      </c>
      <c r="I562" s="30">
        <v>79334</v>
      </c>
      <c r="J562" s="30">
        <v>0</v>
      </c>
      <c r="K562" s="30">
        <v>0</v>
      </c>
      <c r="L562" s="30">
        <v>0</v>
      </c>
      <c r="M562" s="31">
        <f t="shared" si="40"/>
        <v>-79334</v>
      </c>
      <c r="N562" s="32">
        <f t="shared" si="41"/>
        <v>-1</v>
      </c>
      <c r="O562" s="6" t="str">
        <f>IF(ABS(M562)&lt;Overview!$B$6,"OK",IF(I562=0,"REVIEW (zero base)",IF(ABS(M562/ABS(I562))&gt;=Overview!$B$5,"REVIEW","OK")))</f>
        <v>OK</v>
      </c>
      <c r="P562" s="31">
        <f t="shared" si="42"/>
        <v>0</v>
      </c>
      <c r="Q562" s="32" t="str">
        <f t="shared" si="43"/>
        <v>n/a</v>
      </c>
      <c r="R562" s="6" t="str">
        <f>IF(ABS(P562)&lt;Overview!$B$6,"OK",IF(J562=0,"REVIEW (zero base)",IF(ABS(P562/ABS(J562))&gt;=Overview!$B$5,"REVIEW","OK")))</f>
        <v>OK</v>
      </c>
      <c r="S562" s="33">
        <f t="shared" si="44"/>
        <v>79334.000562000001</v>
      </c>
    </row>
    <row r="563" spans="1:19" x14ac:dyDescent="0.2">
      <c r="A563" s="17">
        <v>561</v>
      </c>
      <c r="B563" s="17" t="s">
        <v>171</v>
      </c>
      <c r="C563" s="17" t="s">
        <v>338</v>
      </c>
      <c r="D563" s="17" t="s">
        <v>58</v>
      </c>
      <c r="E563" s="17" t="s">
        <v>84</v>
      </c>
      <c r="F563" s="17" t="s">
        <v>339</v>
      </c>
      <c r="G563" s="17" t="s">
        <v>392</v>
      </c>
      <c r="H563" s="30">
        <v>99321</v>
      </c>
      <c r="I563" s="30">
        <v>104624</v>
      </c>
      <c r="J563" s="30">
        <v>0</v>
      </c>
      <c r="K563" s="30">
        <v>0</v>
      </c>
      <c r="L563" s="30">
        <v>0</v>
      </c>
      <c r="M563" s="31">
        <f t="shared" si="40"/>
        <v>-104624</v>
      </c>
      <c r="N563" s="32">
        <f t="shared" si="41"/>
        <v>-1</v>
      </c>
      <c r="O563" s="6" t="str">
        <f>IF(ABS(M563)&lt;Overview!$B$6,"OK",IF(I563=0,"REVIEW (zero base)",IF(ABS(M563/ABS(I563))&gt;=Overview!$B$5,"REVIEW","OK")))</f>
        <v>OK</v>
      </c>
      <c r="P563" s="31">
        <f t="shared" si="42"/>
        <v>0</v>
      </c>
      <c r="Q563" s="32" t="str">
        <f t="shared" si="43"/>
        <v>n/a</v>
      </c>
      <c r="R563" s="6" t="str">
        <f>IF(ABS(P563)&lt;Overview!$B$6,"OK",IF(J563=0,"REVIEW (zero base)",IF(ABS(P563/ABS(J563))&gt;=Overview!$B$5,"REVIEW","OK")))</f>
        <v>OK</v>
      </c>
      <c r="S563" s="33">
        <f t="shared" si="44"/>
        <v>104624.00056299999</v>
      </c>
    </row>
    <row r="564" spans="1:19" x14ac:dyDescent="0.2">
      <c r="A564" s="17">
        <v>562</v>
      </c>
      <c r="B564" s="17" t="s">
        <v>171</v>
      </c>
      <c r="C564" s="17" t="s">
        <v>338</v>
      </c>
      <c r="D564" s="17" t="s">
        <v>58</v>
      </c>
      <c r="E564" s="17" t="s">
        <v>84</v>
      </c>
      <c r="F564" s="17" t="s">
        <v>339</v>
      </c>
      <c r="G564" s="17" t="s">
        <v>393</v>
      </c>
      <c r="H564" s="30">
        <v>0</v>
      </c>
      <c r="I564" s="30">
        <v>611</v>
      </c>
      <c r="J564" s="30">
        <v>0</v>
      </c>
      <c r="K564" s="30">
        <v>0</v>
      </c>
      <c r="L564" s="30">
        <v>0</v>
      </c>
      <c r="M564" s="31">
        <f t="shared" si="40"/>
        <v>-611</v>
      </c>
      <c r="N564" s="32">
        <f t="shared" si="41"/>
        <v>-1</v>
      </c>
      <c r="O564" s="6" t="str">
        <f>IF(ABS(M564)&lt;Overview!$B$6,"OK",IF(I564=0,"REVIEW (zero base)",IF(ABS(M564/ABS(I564))&gt;=Overview!$B$5,"REVIEW","OK")))</f>
        <v>OK</v>
      </c>
      <c r="P564" s="31">
        <f t="shared" si="42"/>
        <v>0</v>
      </c>
      <c r="Q564" s="32" t="str">
        <f t="shared" si="43"/>
        <v>n/a</v>
      </c>
      <c r="R564" s="6" t="str">
        <f>IF(ABS(P564)&lt;Overview!$B$6,"OK",IF(J564=0,"REVIEW (zero base)",IF(ABS(P564/ABS(J564))&gt;=Overview!$B$5,"REVIEW","OK")))</f>
        <v>OK</v>
      </c>
      <c r="S564" s="33">
        <f t="shared" si="44"/>
        <v>611.00056400000005</v>
      </c>
    </row>
    <row r="565" spans="1:19" x14ac:dyDescent="0.2">
      <c r="A565" s="17">
        <v>563</v>
      </c>
      <c r="B565" s="17" t="s">
        <v>171</v>
      </c>
      <c r="C565" s="17" t="s">
        <v>338</v>
      </c>
      <c r="D565" s="17" t="s">
        <v>58</v>
      </c>
      <c r="E565" s="17" t="s">
        <v>84</v>
      </c>
      <c r="F565" s="17" t="s">
        <v>339</v>
      </c>
      <c r="G565" s="17" t="s">
        <v>394</v>
      </c>
      <c r="H565" s="30">
        <v>98332</v>
      </c>
      <c r="I565" s="30">
        <v>100714</v>
      </c>
      <c r="J565" s="30">
        <v>0</v>
      </c>
      <c r="K565" s="30">
        <v>0</v>
      </c>
      <c r="L565" s="30">
        <v>0</v>
      </c>
      <c r="M565" s="31">
        <f t="shared" si="40"/>
        <v>-100714</v>
      </c>
      <c r="N565" s="32">
        <f t="shared" si="41"/>
        <v>-1</v>
      </c>
      <c r="O565" s="6" t="str">
        <f>IF(ABS(M565)&lt;Overview!$B$6,"OK",IF(I565=0,"REVIEW (zero base)",IF(ABS(M565/ABS(I565))&gt;=Overview!$B$5,"REVIEW","OK")))</f>
        <v>OK</v>
      </c>
      <c r="P565" s="31">
        <f t="shared" si="42"/>
        <v>0</v>
      </c>
      <c r="Q565" s="32" t="str">
        <f t="shared" si="43"/>
        <v>n/a</v>
      </c>
      <c r="R565" s="6" t="str">
        <f>IF(ABS(P565)&lt;Overview!$B$6,"OK",IF(J565=0,"REVIEW (zero base)",IF(ABS(P565/ABS(J565))&gt;=Overview!$B$5,"REVIEW","OK")))</f>
        <v>OK</v>
      </c>
      <c r="S565" s="33">
        <f t="shared" si="44"/>
        <v>100714.00056499999</v>
      </c>
    </row>
    <row r="566" spans="1:19" x14ac:dyDescent="0.2">
      <c r="A566" s="17">
        <v>564</v>
      </c>
      <c r="B566" s="17" t="s">
        <v>171</v>
      </c>
      <c r="C566" s="17" t="s">
        <v>338</v>
      </c>
      <c r="D566" s="17" t="s">
        <v>58</v>
      </c>
      <c r="E566" s="17" t="s">
        <v>84</v>
      </c>
      <c r="F566" s="17" t="s">
        <v>339</v>
      </c>
      <c r="G566" s="17" t="s">
        <v>395</v>
      </c>
      <c r="H566" s="30">
        <v>37638</v>
      </c>
      <c r="I566" s="30">
        <v>42392</v>
      </c>
      <c r="J566" s="30">
        <v>39418</v>
      </c>
      <c r="K566" s="30">
        <v>20739</v>
      </c>
      <c r="L566" s="30">
        <v>20946</v>
      </c>
      <c r="M566" s="31">
        <f t="shared" si="40"/>
        <v>-2974</v>
      </c>
      <c r="N566" s="32">
        <f t="shared" si="41"/>
        <v>-7.0154746178524255E-2</v>
      </c>
      <c r="O566" s="6" t="str">
        <f>IF(ABS(M566)&lt;Overview!$B$6,"OK",IF(I566=0,"REVIEW (zero base)",IF(ABS(M566/ABS(I566))&gt;=Overview!$B$5,"REVIEW","OK")))</f>
        <v>OK</v>
      </c>
      <c r="P566" s="31">
        <f t="shared" si="42"/>
        <v>-18679</v>
      </c>
      <c r="Q566" s="32">
        <f t="shared" si="43"/>
        <v>-0.47386980567253539</v>
      </c>
      <c r="R566" s="6" t="str">
        <f>IF(ABS(P566)&lt;Overview!$B$6,"OK",IF(J566=0,"REVIEW (zero base)",IF(ABS(P566/ABS(J566))&gt;=Overview!$B$5,"REVIEW","OK")))</f>
        <v>OK</v>
      </c>
      <c r="S566" s="33">
        <f t="shared" si="44"/>
        <v>2974.0005660000002</v>
      </c>
    </row>
    <row r="567" spans="1:19" x14ac:dyDescent="0.2">
      <c r="A567" s="17">
        <v>565</v>
      </c>
      <c r="B567" s="17" t="s">
        <v>171</v>
      </c>
      <c r="C567" s="17" t="s">
        <v>338</v>
      </c>
      <c r="D567" s="17" t="s">
        <v>58</v>
      </c>
      <c r="E567" s="17" t="s">
        <v>84</v>
      </c>
      <c r="F567" s="17" t="s">
        <v>339</v>
      </c>
      <c r="G567" s="17" t="s">
        <v>424</v>
      </c>
      <c r="H567" s="30">
        <v>12429</v>
      </c>
      <c r="I567" s="30">
        <v>12156</v>
      </c>
      <c r="J567" s="30">
        <v>10920</v>
      </c>
      <c r="K567" s="30">
        <v>10920</v>
      </c>
      <c r="L567" s="30">
        <v>10920</v>
      </c>
      <c r="M567" s="31">
        <f t="shared" si="40"/>
        <v>-1236</v>
      </c>
      <c r="N567" s="32">
        <f t="shared" si="41"/>
        <v>-0.1016781836130306</v>
      </c>
      <c r="O567" s="6" t="str">
        <f>IF(ABS(M567)&lt;Overview!$B$6,"OK",IF(I567=0,"REVIEW (zero base)",IF(ABS(M567/ABS(I567))&gt;=Overview!$B$5,"REVIEW","OK")))</f>
        <v>OK</v>
      </c>
      <c r="P567" s="31">
        <f t="shared" si="42"/>
        <v>0</v>
      </c>
      <c r="Q567" s="32">
        <f t="shared" si="43"/>
        <v>0</v>
      </c>
      <c r="R567" s="6" t="str">
        <f>IF(ABS(P567)&lt;Overview!$B$6,"OK",IF(J567=0,"REVIEW (zero base)",IF(ABS(P567/ABS(J567))&gt;=Overview!$B$5,"REVIEW","OK")))</f>
        <v>OK</v>
      </c>
      <c r="S567" s="33">
        <f t="shared" si="44"/>
        <v>1236.000567</v>
      </c>
    </row>
    <row r="568" spans="1:19" x14ac:dyDescent="0.2">
      <c r="A568" s="17">
        <v>566</v>
      </c>
      <c r="B568" s="17" t="s">
        <v>171</v>
      </c>
      <c r="C568" s="17" t="s">
        <v>338</v>
      </c>
      <c r="D568" s="17" t="s">
        <v>58</v>
      </c>
      <c r="E568" s="17" t="s">
        <v>84</v>
      </c>
      <c r="F568" s="17" t="s">
        <v>339</v>
      </c>
      <c r="G568" s="17" t="s">
        <v>425</v>
      </c>
      <c r="H568" s="30">
        <v>2494</v>
      </c>
      <c r="I568" s="30">
        <v>2501</v>
      </c>
      <c r="J568" s="30">
        <v>2076</v>
      </c>
      <c r="K568" s="30">
        <v>2080</v>
      </c>
      <c r="L568" s="30">
        <v>2080</v>
      </c>
      <c r="M568" s="31">
        <f t="shared" si="40"/>
        <v>-425</v>
      </c>
      <c r="N568" s="32">
        <f t="shared" si="41"/>
        <v>-0.16993202718912434</v>
      </c>
      <c r="O568" s="6" t="str">
        <f>IF(ABS(M568)&lt;Overview!$B$6,"OK",IF(I568=0,"REVIEW (zero base)",IF(ABS(M568/ABS(I568))&gt;=Overview!$B$5,"REVIEW","OK")))</f>
        <v>OK</v>
      </c>
      <c r="P568" s="31">
        <f t="shared" si="42"/>
        <v>4</v>
      </c>
      <c r="Q568" s="32">
        <f t="shared" si="43"/>
        <v>1.9267822736030828E-3</v>
      </c>
      <c r="R568" s="6" t="str">
        <f>IF(ABS(P568)&lt;Overview!$B$6,"OK",IF(J568=0,"REVIEW (zero base)",IF(ABS(P568/ABS(J568))&gt;=Overview!$B$5,"REVIEW","OK")))</f>
        <v>OK</v>
      </c>
      <c r="S568" s="33">
        <f t="shared" si="44"/>
        <v>425.00056799999999</v>
      </c>
    </row>
    <row r="569" spans="1:19" x14ac:dyDescent="0.2">
      <c r="A569" s="17">
        <v>567</v>
      </c>
      <c r="B569" s="17" t="s">
        <v>171</v>
      </c>
      <c r="C569" s="17" t="s">
        <v>338</v>
      </c>
      <c r="D569" s="17" t="s">
        <v>58</v>
      </c>
      <c r="E569" s="17" t="s">
        <v>84</v>
      </c>
      <c r="F569" s="17" t="s">
        <v>341</v>
      </c>
      <c r="G569" s="17" t="s">
        <v>342</v>
      </c>
      <c r="H569" s="30">
        <v>30144</v>
      </c>
      <c r="I569" s="30">
        <v>28596</v>
      </c>
      <c r="J569" s="30">
        <v>33480</v>
      </c>
      <c r="K569" s="30">
        <v>33480</v>
      </c>
      <c r="L569" s="30">
        <v>33480</v>
      </c>
      <c r="M569" s="31">
        <f t="shared" si="40"/>
        <v>4884</v>
      </c>
      <c r="N569" s="32">
        <f t="shared" si="41"/>
        <v>0.17079311791859</v>
      </c>
      <c r="O569" s="6" t="str">
        <f>IF(ABS(M569)&lt;Overview!$B$6,"OK",IF(I569=0,"REVIEW (zero base)",IF(ABS(M569/ABS(I569))&gt;=Overview!$B$5,"REVIEW","OK")))</f>
        <v>OK</v>
      </c>
      <c r="P569" s="31">
        <f t="shared" si="42"/>
        <v>0</v>
      </c>
      <c r="Q569" s="32">
        <f t="shared" si="43"/>
        <v>0</v>
      </c>
      <c r="R569" s="6" t="str">
        <f>IF(ABS(P569)&lt;Overview!$B$6,"OK",IF(J569=0,"REVIEW (zero base)",IF(ABS(P569/ABS(J569))&gt;=Overview!$B$5,"REVIEW","OK")))</f>
        <v>OK</v>
      </c>
      <c r="S569" s="33">
        <f t="shared" si="44"/>
        <v>4884.0005689999998</v>
      </c>
    </row>
    <row r="570" spans="1:19" x14ac:dyDescent="0.2">
      <c r="A570" s="17">
        <v>568</v>
      </c>
      <c r="B570" s="17" t="s">
        <v>171</v>
      </c>
      <c r="C570" s="17" t="s">
        <v>338</v>
      </c>
      <c r="D570" s="17" t="s">
        <v>58</v>
      </c>
      <c r="E570" s="17" t="s">
        <v>84</v>
      </c>
      <c r="F570" s="17" t="s">
        <v>341</v>
      </c>
      <c r="G570" s="17" t="s">
        <v>406</v>
      </c>
      <c r="H570" s="30">
        <v>2000</v>
      </c>
      <c r="I570" s="30">
        <v>1500</v>
      </c>
      <c r="J570" s="30">
        <v>0</v>
      </c>
      <c r="K570" s="30">
        <v>0</v>
      </c>
      <c r="L570" s="30">
        <v>0</v>
      </c>
      <c r="M570" s="31">
        <f t="shared" si="40"/>
        <v>-1500</v>
      </c>
      <c r="N570" s="32">
        <f t="shared" si="41"/>
        <v>-1</v>
      </c>
      <c r="O570" s="6" t="str">
        <f>IF(ABS(M570)&lt;Overview!$B$6,"OK",IF(I570=0,"REVIEW (zero base)",IF(ABS(M570/ABS(I570))&gt;=Overview!$B$5,"REVIEW","OK")))</f>
        <v>OK</v>
      </c>
      <c r="P570" s="31">
        <f t="shared" si="42"/>
        <v>0</v>
      </c>
      <c r="Q570" s="32" t="str">
        <f t="shared" si="43"/>
        <v>n/a</v>
      </c>
      <c r="R570" s="6" t="str">
        <f>IF(ABS(P570)&lt;Overview!$B$6,"OK",IF(J570=0,"REVIEW (zero base)",IF(ABS(P570/ABS(J570))&gt;=Overview!$B$5,"REVIEW","OK")))</f>
        <v>OK</v>
      </c>
      <c r="S570" s="33">
        <f t="shared" si="44"/>
        <v>1500.0005699999999</v>
      </c>
    </row>
    <row r="571" spans="1:19" x14ac:dyDescent="0.2">
      <c r="A571" s="17">
        <v>569</v>
      </c>
      <c r="B571" s="17" t="s">
        <v>171</v>
      </c>
      <c r="C571" s="17" t="s">
        <v>338</v>
      </c>
      <c r="D571" s="17" t="s">
        <v>58</v>
      </c>
      <c r="E571" s="17" t="s">
        <v>84</v>
      </c>
      <c r="F571" s="17" t="s">
        <v>341</v>
      </c>
      <c r="G571" s="17" t="s">
        <v>375</v>
      </c>
      <c r="H571" s="30">
        <v>117291</v>
      </c>
      <c r="I571" s="30">
        <v>131478</v>
      </c>
      <c r="J571" s="30">
        <v>146250</v>
      </c>
      <c r="K571" s="30">
        <v>146250</v>
      </c>
      <c r="L571" s="30">
        <v>146250</v>
      </c>
      <c r="M571" s="31">
        <f t="shared" si="40"/>
        <v>14772</v>
      </c>
      <c r="N571" s="32">
        <f t="shared" si="41"/>
        <v>0.1123533975265824</v>
      </c>
      <c r="O571" s="6" t="str">
        <f>IF(ABS(M571)&lt;Overview!$B$6,"OK",IF(I571=0,"REVIEW (zero base)",IF(ABS(M571/ABS(I571))&gt;=Overview!$B$5,"REVIEW","OK")))</f>
        <v>OK</v>
      </c>
      <c r="P571" s="31">
        <f t="shared" si="42"/>
        <v>0</v>
      </c>
      <c r="Q571" s="32">
        <f t="shared" si="43"/>
        <v>0</v>
      </c>
      <c r="R571" s="6" t="str">
        <f>IF(ABS(P571)&lt;Overview!$B$6,"OK",IF(J571=0,"REVIEW (zero base)",IF(ABS(P571/ABS(J571))&gt;=Overview!$B$5,"REVIEW","OK")))</f>
        <v>OK</v>
      </c>
      <c r="S571" s="33">
        <f t="shared" si="44"/>
        <v>14772.000571</v>
      </c>
    </row>
    <row r="572" spans="1:19" x14ac:dyDescent="0.2">
      <c r="A572" s="17">
        <v>570</v>
      </c>
      <c r="B572" s="17" t="s">
        <v>171</v>
      </c>
      <c r="C572" s="17" t="s">
        <v>338</v>
      </c>
      <c r="D572" s="17" t="s">
        <v>58</v>
      </c>
      <c r="E572" s="17" t="s">
        <v>84</v>
      </c>
      <c r="F572" s="17" t="s">
        <v>341</v>
      </c>
      <c r="G572" s="17" t="s">
        <v>376</v>
      </c>
      <c r="H572" s="30">
        <v>447404</v>
      </c>
      <c r="I572" s="30">
        <v>501077</v>
      </c>
      <c r="J572" s="30">
        <v>492032</v>
      </c>
      <c r="K572" s="30">
        <v>522120</v>
      </c>
      <c r="L572" s="30">
        <v>549427</v>
      </c>
      <c r="M572" s="31">
        <f t="shared" si="40"/>
        <v>-9045</v>
      </c>
      <c r="N572" s="32">
        <f t="shared" si="41"/>
        <v>-1.80511178920605E-2</v>
      </c>
      <c r="O572" s="6" t="str">
        <f>IF(ABS(M572)&lt;Overview!$B$6,"OK",IF(I572=0,"REVIEW (zero base)",IF(ABS(M572/ABS(I572))&gt;=Overview!$B$5,"REVIEW","OK")))</f>
        <v>OK</v>
      </c>
      <c r="P572" s="31">
        <f t="shared" si="42"/>
        <v>30088</v>
      </c>
      <c r="Q572" s="32">
        <f t="shared" si="43"/>
        <v>6.1150494276795003E-2</v>
      </c>
      <c r="R572" s="6" t="str">
        <f>IF(ABS(P572)&lt;Overview!$B$6,"OK",IF(J572=0,"REVIEW (zero base)",IF(ABS(P572/ABS(J572))&gt;=Overview!$B$5,"REVIEW","OK")))</f>
        <v>OK</v>
      </c>
      <c r="S572" s="33">
        <f t="shared" si="44"/>
        <v>9045.0005720000008</v>
      </c>
    </row>
    <row r="573" spans="1:19" x14ac:dyDescent="0.2">
      <c r="A573" s="17">
        <v>571</v>
      </c>
      <c r="B573" s="17" t="s">
        <v>171</v>
      </c>
      <c r="C573" s="17" t="s">
        <v>338</v>
      </c>
      <c r="D573" s="17" t="s">
        <v>58</v>
      </c>
      <c r="E573" s="17" t="s">
        <v>84</v>
      </c>
      <c r="F573" s="17" t="s">
        <v>341</v>
      </c>
      <c r="G573" s="17" t="s">
        <v>343</v>
      </c>
      <c r="H573" s="30">
        <v>123229</v>
      </c>
      <c r="I573" s="30">
        <v>134975</v>
      </c>
      <c r="J573" s="30">
        <v>157557</v>
      </c>
      <c r="K573" s="30">
        <v>151754</v>
      </c>
      <c r="L573" s="30">
        <v>153272</v>
      </c>
      <c r="M573" s="31">
        <f t="shared" si="40"/>
        <v>22582</v>
      </c>
      <c r="N573" s="32">
        <f t="shared" si="41"/>
        <v>0.16730505649194297</v>
      </c>
      <c r="O573" s="6" t="str">
        <f>IF(ABS(M573)&lt;Overview!$B$6,"OK",IF(I573=0,"REVIEW (zero base)",IF(ABS(M573/ABS(I573))&gt;=Overview!$B$5,"REVIEW","OK")))</f>
        <v>OK</v>
      </c>
      <c r="P573" s="31">
        <f t="shared" si="42"/>
        <v>-5803</v>
      </c>
      <c r="Q573" s="32">
        <f t="shared" si="43"/>
        <v>-3.683111508850765E-2</v>
      </c>
      <c r="R573" s="6" t="str">
        <f>IF(ABS(P573)&lt;Overview!$B$6,"OK",IF(J573=0,"REVIEW (zero base)",IF(ABS(P573/ABS(J573))&gt;=Overview!$B$5,"REVIEW","OK")))</f>
        <v>OK</v>
      </c>
      <c r="S573" s="33">
        <f t="shared" si="44"/>
        <v>22582.000573000001</v>
      </c>
    </row>
    <row r="574" spans="1:19" x14ac:dyDescent="0.2">
      <c r="A574" s="17">
        <v>572</v>
      </c>
      <c r="B574" s="17" t="s">
        <v>171</v>
      </c>
      <c r="C574" s="17" t="s">
        <v>338</v>
      </c>
      <c r="D574" s="17" t="s">
        <v>58</v>
      </c>
      <c r="E574" s="17" t="s">
        <v>84</v>
      </c>
      <c r="F574" s="17" t="s">
        <v>341</v>
      </c>
      <c r="G574" s="17" t="s">
        <v>439</v>
      </c>
      <c r="H574" s="30">
        <v>0</v>
      </c>
      <c r="I574" s="30">
        <v>0</v>
      </c>
      <c r="J574" s="30">
        <v>0</v>
      </c>
      <c r="K574" s="30">
        <v>0</v>
      </c>
      <c r="L574" s="30">
        <v>0</v>
      </c>
      <c r="M574" s="31">
        <f t="shared" si="40"/>
        <v>0</v>
      </c>
      <c r="N574" s="32" t="str">
        <f t="shared" si="41"/>
        <v>n/a</v>
      </c>
      <c r="O574" s="6" t="str">
        <f>IF(ABS(M574)&lt;Overview!$B$6,"OK",IF(I574=0,"REVIEW (zero base)",IF(ABS(M574/ABS(I574))&gt;=Overview!$B$5,"REVIEW","OK")))</f>
        <v>OK</v>
      </c>
      <c r="P574" s="31">
        <f t="shared" si="42"/>
        <v>0</v>
      </c>
      <c r="Q574" s="32" t="str">
        <f t="shared" si="43"/>
        <v>n/a</v>
      </c>
      <c r="R574" s="6" t="str">
        <f>IF(ABS(P574)&lt;Overview!$B$6,"OK",IF(J574=0,"REVIEW (zero base)",IF(ABS(P574/ABS(J574))&gt;=Overview!$B$5,"REVIEW","OK")))</f>
        <v>OK</v>
      </c>
      <c r="S574" s="33">
        <f t="shared" si="44"/>
        <v>5.7399999999999997E-4</v>
      </c>
    </row>
    <row r="575" spans="1:19" x14ac:dyDescent="0.2">
      <c r="A575" s="17">
        <v>573</v>
      </c>
      <c r="B575" s="17" t="s">
        <v>171</v>
      </c>
      <c r="C575" s="17" t="s">
        <v>338</v>
      </c>
      <c r="D575" s="17" t="s">
        <v>58</v>
      </c>
      <c r="E575" s="17" t="s">
        <v>84</v>
      </c>
      <c r="F575" s="17" t="s">
        <v>341</v>
      </c>
      <c r="G575" s="17" t="s">
        <v>378</v>
      </c>
      <c r="H575" s="30">
        <v>96544</v>
      </c>
      <c r="I575" s="30">
        <v>99236</v>
      </c>
      <c r="J575" s="30">
        <v>110566</v>
      </c>
      <c r="K575" s="30">
        <v>117000</v>
      </c>
      <c r="L575" s="30">
        <v>122183</v>
      </c>
      <c r="M575" s="31">
        <f t="shared" si="40"/>
        <v>11330</v>
      </c>
      <c r="N575" s="32">
        <f t="shared" si="41"/>
        <v>0.11417227619009231</v>
      </c>
      <c r="O575" s="6" t="str">
        <f>IF(ABS(M575)&lt;Overview!$B$6,"OK",IF(I575=0,"REVIEW (zero base)",IF(ABS(M575/ABS(I575))&gt;=Overview!$B$5,"REVIEW","OK")))</f>
        <v>OK</v>
      </c>
      <c r="P575" s="31">
        <f t="shared" si="42"/>
        <v>6434</v>
      </c>
      <c r="Q575" s="32">
        <f t="shared" si="43"/>
        <v>5.8191487437367725E-2</v>
      </c>
      <c r="R575" s="6" t="str">
        <f>IF(ABS(P575)&lt;Overview!$B$6,"OK",IF(J575=0,"REVIEW (zero base)",IF(ABS(P575/ABS(J575))&gt;=Overview!$B$5,"REVIEW","OK")))</f>
        <v>OK</v>
      </c>
      <c r="S575" s="33">
        <f t="shared" si="44"/>
        <v>11330.000575</v>
      </c>
    </row>
    <row r="576" spans="1:19" x14ac:dyDescent="0.2">
      <c r="A576" s="17">
        <v>574</v>
      </c>
      <c r="B576" s="17" t="s">
        <v>171</v>
      </c>
      <c r="C576" s="17" t="s">
        <v>338</v>
      </c>
      <c r="D576" s="17" t="s">
        <v>58</v>
      </c>
      <c r="E576" s="17" t="s">
        <v>84</v>
      </c>
      <c r="F576" s="17" t="s">
        <v>341</v>
      </c>
      <c r="G576" s="17" t="s">
        <v>344</v>
      </c>
      <c r="H576" s="30">
        <v>330785</v>
      </c>
      <c r="I576" s="30">
        <v>341413</v>
      </c>
      <c r="J576" s="30">
        <v>428250</v>
      </c>
      <c r="K576" s="30">
        <v>502140</v>
      </c>
      <c r="L576" s="30">
        <v>512183</v>
      </c>
      <c r="M576" s="31">
        <f t="shared" si="40"/>
        <v>86837</v>
      </c>
      <c r="N576" s="32">
        <f t="shared" si="41"/>
        <v>0.25434590949963826</v>
      </c>
      <c r="O576" s="6" t="str">
        <f>IF(ABS(M576)&lt;Overview!$B$6,"OK",IF(I576=0,"REVIEW (zero base)",IF(ABS(M576/ABS(I576))&gt;=Overview!$B$5,"REVIEW","OK")))</f>
        <v>OK</v>
      </c>
      <c r="P576" s="31">
        <f t="shared" si="42"/>
        <v>73890</v>
      </c>
      <c r="Q576" s="32">
        <f t="shared" si="43"/>
        <v>0.17253940455341507</v>
      </c>
      <c r="R576" s="6" t="str">
        <f>IF(ABS(P576)&lt;Overview!$B$6,"OK",IF(J576=0,"REVIEW (zero base)",IF(ABS(P576/ABS(J576))&gt;=Overview!$B$5,"REVIEW","OK")))</f>
        <v>OK</v>
      </c>
      <c r="S576" s="33">
        <f t="shared" si="44"/>
        <v>86837.000576000006</v>
      </c>
    </row>
    <row r="577" spans="1:19" x14ac:dyDescent="0.2">
      <c r="A577" s="17">
        <v>575</v>
      </c>
      <c r="B577" s="17" t="s">
        <v>171</v>
      </c>
      <c r="C577" s="17" t="s">
        <v>338</v>
      </c>
      <c r="D577" s="17" t="s">
        <v>58</v>
      </c>
      <c r="E577" s="17" t="s">
        <v>84</v>
      </c>
      <c r="F577" s="17" t="s">
        <v>440</v>
      </c>
      <c r="G577" s="17" t="s">
        <v>441</v>
      </c>
      <c r="H577" s="30">
        <v>0</v>
      </c>
      <c r="I577" s="30">
        <v>0</v>
      </c>
      <c r="J577" s="30">
        <v>0</v>
      </c>
      <c r="K577" s="30">
        <v>15000</v>
      </c>
      <c r="L577" s="30">
        <v>15105</v>
      </c>
      <c r="M577" s="31">
        <f t="shared" si="40"/>
        <v>0</v>
      </c>
      <c r="N577" s="32" t="str">
        <f t="shared" si="41"/>
        <v>n/a</v>
      </c>
      <c r="O577" s="6" t="str">
        <f>IF(ABS(M577)&lt;Overview!$B$6,"OK",IF(I577=0,"REVIEW (zero base)",IF(ABS(M577/ABS(I577))&gt;=Overview!$B$5,"REVIEW","OK")))</f>
        <v>OK</v>
      </c>
      <c r="P577" s="31">
        <f t="shared" si="42"/>
        <v>15000</v>
      </c>
      <c r="Q577" s="32" t="str">
        <f t="shared" si="43"/>
        <v>n/a</v>
      </c>
      <c r="R577" s="6" t="str">
        <f>IF(ABS(P577)&lt;Overview!$B$6,"OK",IF(J577=0,"REVIEW (zero base)",IF(ABS(P577/ABS(J577))&gt;=Overview!$B$5,"REVIEW","OK")))</f>
        <v>OK</v>
      </c>
      <c r="S577" s="33">
        <f t="shared" si="44"/>
        <v>5.7700000000000004E-4</v>
      </c>
    </row>
    <row r="578" spans="1:19" x14ac:dyDescent="0.2">
      <c r="A578" s="17">
        <v>576</v>
      </c>
      <c r="B578" s="17" t="s">
        <v>171</v>
      </c>
      <c r="C578" s="17" t="s">
        <v>338</v>
      </c>
      <c r="D578" s="17" t="s">
        <v>58</v>
      </c>
      <c r="E578" s="17" t="s">
        <v>84</v>
      </c>
      <c r="F578" s="17" t="s">
        <v>364</v>
      </c>
      <c r="G578" s="17" t="s">
        <v>442</v>
      </c>
      <c r="H578" s="30">
        <v>0</v>
      </c>
      <c r="I578" s="30">
        <v>0</v>
      </c>
      <c r="J578" s="30">
        <v>0</v>
      </c>
      <c r="K578" s="30">
        <v>74000</v>
      </c>
      <c r="L578" s="30">
        <v>74518</v>
      </c>
      <c r="M578" s="31">
        <f t="shared" ref="M578:M641" si="45">J578-I578</f>
        <v>0</v>
      </c>
      <c r="N578" s="32" t="str">
        <f t="shared" ref="N578:N641" si="46">IF(I578=0,"n/a",M578/ABS(I578))</f>
        <v>n/a</v>
      </c>
      <c r="O578" s="6" t="str">
        <f>IF(ABS(M578)&lt;Overview!$B$6,"OK",IF(I578=0,"REVIEW (zero base)",IF(ABS(M578/ABS(I578))&gt;=Overview!$B$5,"REVIEW","OK")))</f>
        <v>OK</v>
      </c>
      <c r="P578" s="31">
        <f t="shared" ref="P578:P641" si="47">K578-J578</f>
        <v>74000</v>
      </c>
      <c r="Q578" s="32" t="str">
        <f t="shared" ref="Q578:Q641" si="48">IF(J578=0,"n/a",P578/ABS(J578))</f>
        <v>n/a</v>
      </c>
      <c r="R578" s="6" t="str">
        <f>IF(ABS(P578)&lt;Overview!$B$6,"OK",IF(J578=0,"REVIEW (zero base)",IF(ABS(P578/ABS(J578))&gt;=Overview!$B$5,"REVIEW","OK")))</f>
        <v>OK</v>
      </c>
      <c r="S578" s="33">
        <f t="shared" ref="S578:S641" si="49">IF(C578="EXPENSES",ABS(M578)+ROW()/1000000,0)</f>
        <v>5.7799999999999995E-4</v>
      </c>
    </row>
    <row r="579" spans="1:19" x14ac:dyDescent="0.2">
      <c r="A579" s="17">
        <v>577</v>
      </c>
      <c r="B579" s="17" t="s">
        <v>171</v>
      </c>
      <c r="C579" s="17" t="s">
        <v>338</v>
      </c>
      <c r="D579" s="17" t="s">
        <v>58</v>
      </c>
      <c r="E579" s="17" t="s">
        <v>84</v>
      </c>
      <c r="F579" s="17" t="s">
        <v>364</v>
      </c>
      <c r="G579" s="17" t="s">
        <v>379</v>
      </c>
      <c r="H579" s="30">
        <v>1669672</v>
      </c>
      <c r="I579" s="30">
        <v>1313817</v>
      </c>
      <c r="J579" s="30">
        <v>1357500</v>
      </c>
      <c r="K579" s="30">
        <v>1286700</v>
      </c>
      <c r="L579" s="30">
        <v>1295707</v>
      </c>
      <c r="M579" s="31">
        <f t="shared" si="45"/>
        <v>43683</v>
      </c>
      <c r="N579" s="32">
        <f t="shared" si="46"/>
        <v>3.3248922795183801E-2</v>
      </c>
      <c r="O579" s="6" t="str">
        <f>IF(ABS(M579)&lt;Overview!$B$6,"OK",IF(I579=0,"REVIEW (zero base)",IF(ABS(M579/ABS(I579))&gt;=Overview!$B$5,"REVIEW","OK")))</f>
        <v>OK</v>
      </c>
      <c r="P579" s="31">
        <f t="shared" si="47"/>
        <v>-70800</v>
      </c>
      <c r="Q579" s="32">
        <f t="shared" si="48"/>
        <v>-5.2154696132596684E-2</v>
      </c>
      <c r="R579" s="6" t="str">
        <f>IF(ABS(P579)&lt;Overview!$B$6,"OK",IF(J579=0,"REVIEW (zero base)",IF(ABS(P579/ABS(J579))&gt;=Overview!$B$5,"REVIEW","OK")))</f>
        <v>OK</v>
      </c>
      <c r="S579" s="33">
        <f t="shared" si="49"/>
        <v>43683.000579</v>
      </c>
    </row>
    <row r="580" spans="1:19" x14ac:dyDescent="0.2">
      <c r="A580" s="17">
        <v>578</v>
      </c>
      <c r="B580" s="17" t="s">
        <v>171</v>
      </c>
      <c r="C580" s="17" t="s">
        <v>338</v>
      </c>
      <c r="D580" s="17" t="s">
        <v>58</v>
      </c>
      <c r="E580" s="17" t="s">
        <v>84</v>
      </c>
      <c r="F580" s="17" t="s">
        <v>364</v>
      </c>
      <c r="G580" s="17" t="s">
        <v>383</v>
      </c>
      <c r="H580" s="30">
        <v>802</v>
      </c>
      <c r="I580" s="30">
        <v>431</v>
      </c>
      <c r="J580" s="30">
        <v>2750</v>
      </c>
      <c r="K580" s="30">
        <v>2852</v>
      </c>
      <c r="L580" s="30">
        <v>2852</v>
      </c>
      <c r="M580" s="31">
        <f t="shared" si="45"/>
        <v>2319</v>
      </c>
      <c r="N580" s="32">
        <f t="shared" si="46"/>
        <v>5.3805104408352671</v>
      </c>
      <c r="O580" s="6" t="str">
        <f>IF(ABS(M580)&lt;Overview!$B$6,"OK",IF(I580=0,"REVIEW (zero base)",IF(ABS(M580/ABS(I580))&gt;=Overview!$B$5,"REVIEW","OK")))</f>
        <v>OK</v>
      </c>
      <c r="P580" s="31">
        <f t="shared" si="47"/>
        <v>102</v>
      </c>
      <c r="Q580" s="32">
        <f t="shared" si="48"/>
        <v>3.7090909090909091E-2</v>
      </c>
      <c r="R580" s="6" t="str">
        <f>IF(ABS(P580)&lt;Overview!$B$6,"OK",IF(J580=0,"REVIEW (zero base)",IF(ABS(P580/ABS(J580))&gt;=Overview!$B$5,"REVIEW","OK")))</f>
        <v>OK</v>
      </c>
      <c r="S580" s="33">
        <f t="shared" si="49"/>
        <v>2319.0005799999999</v>
      </c>
    </row>
    <row r="581" spans="1:19" x14ac:dyDescent="0.2">
      <c r="A581" s="17">
        <v>579</v>
      </c>
      <c r="B581" s="17" t="s">
        <v>171</v>
      </c>
      <c r="C581" s="17" t="s">
        <v>338</v>
      </c>
      <c r="D581" s="17" t="s">
        <v>58</v>
      </c>
      <c r="E581" s="17" t="s">
        <v>84</v>
      </c>
      <c r="F581" s="17" t="s">
        <v>364</v>
      </c>
      <c r="G581" s="17" t="s">
        <v>398</v>
      </c>
      <c r="H581" s="30">
        <v>824</v>
      </c>
      <c r="I581" s="30">
        <v>6784</v>
      </c>
      <c r="J581" s="30">
        <v>4800</v>
      </c>
      <c r="K581" s="30">
        <v>24142</v>
      </c>
      <c r="L581" s="30">
        <v>24311</v>
      </c>
      <c r="M581" s="31">
        <f t="shared" si="45"/>
        <v>-1984</v>
      </c>
      <c r="N581" s="32">
        <f t="shared" si="46"/>
        <v>-0.29245283018867924</v>
      </c>
      <c r="O581" s="6" t="str">
        <f>IF(ABS(M581)&lt;Overview!$B$6,"OK",IF(I581=0,"REVIEW (zero base)",IF(ABS(M581/ABS(I581))&gt;=Overview!$B$5,"REVIEW","OK")))</f>
        <v>OK</v>
      </c>
      <c r="P581" s="31">
        <f t="shared" si="47"/>
        <v>19342</v>
      </c>
      <c r="Q581" s="32">
        <f t="shared" si="48"/>
        <v>4.0295833333333331</v>
      </c>
      <c r="R581" s="6" t="str">
        <f>IF(ABS(P581)&lt;Overview!$B$6,"OK",IF(J581=0,"REVIEW (zero base)",IF(ABS(P581/ABS(J581))&gt;=Overview!$B$5,"REVIEW","OK")))</f>
        <v>OK</v>
      </c>
      <c r="S581" s="33">
        <f t="shared" si="49"/>
        <v>1984.000581</v>
      </c>
    </row>
    <row r="582" spans="1:19" x14ac:dyDescent="0.2">
      <c r="A582" s="17">
        <v>580</v>
      </c>
      <c r="B582" s="17" t="s">
        <v>171</v>
      </c>
      <c r="C582" s="17" t="s">
        <v>338</v>
      </c>
      <c r="D582" s="17" t="s">
        <v>58</v>
      </c>
      <c r="E582" s="17" t="s">
        <v>84</v>
      </c>
      <c r="F582" s="17" t="s">
        <v>364</v>
      </c>
      <c r="G582" s="17" t="s">
        <v>443</v>
      </c>
      <c r="H582" s="30">
        <v>0</v>
      </c>
      <c r="I582" s="30">
        <v>0</v>
      </c>
      <c r="J582" s="30">
        <v>0</v>
      </c>
      <c r="K582" s="30">
        <v>21600</v>
      </c>
      <c r="L582" s="30">
        <v>21751</v>
      </c>
      <c r="M582" s="31">
        <f t="shared" si="45"/>
        <v>0</v>
      </c>
      <c r="N582" s="32" t="str">
        <f t="shared" si="46"/>
        <v>n/a</v>
      </c>
      <c r="O582" s="6" t="str">
        <f>IF(ABS(M582)&lt;Overview!$B$6,"OK",IF(I582=0,"REVIEW (zero base)",IF(ABS(M582/ABS(I582))&gt;=Overview!$B$5,"REVIEW","OK")))</f>
        <v>OK</v>
      </c>
      <c r="P582" s="31">
        <f t="shared" si="47"/>
        <v>21600</v>
      </c>
      <c r="Q582" s="32" t="str">
        <f t="shared" si="48"/>
        <v>n/a</v>
      </c>
      <c r="R582" s="6" t="str">
        <f>IF(ABS(P582)&lt;Overview!$B$6,"OK",IF(J582=0,"REVIEW (zero base)",IF(ABS(P582/ABS(J582))&gt;=Overview!$B$5,"REVIEW","OK")))</f>
        <v>OK</v>
      </c>
      <c r="S582" s="33">
        <f t="shared" si="49"/>
        <v>5.8200000000000005E-4</v>
      </c>
    </row>
    <row r="583" spans="1:19" x14ac:dyDescent="0.2">
      <c r="A583" s="17">
        <v>581</v>
      </c>
      <c r="B583" s="17" t="s">
        <v>171</v>
      </c>
      <c r="C583" s="17" t="s">
        <v>338</v>
      </c>
      <c r="D583" s="17" t="s">
        <v>58</v>
      </c>
      <c r="E583" s="17" t="s">
        <v>84</v>
      </c>
      <c r="F583" s="17" t="s">
        <v>364</v>
      </c>
      <c r="G583" s="17" t="s">
        <v>399</v>
      </c>
      <c r="H583" s="30">
        <v>0</v>
      </c>
      <c r="I583" s="30">
        <v>0</v>
      </c>
      <c r="J583" s="30">
        <v>0</v>
      </c>
      <c r="K583" s="30">
        <v>19360</v>
      </c>
      <c r="L583" s="30">
        <v>19496</v>
      </c>
      <c r="M583" s="31">
        <f t="shared" si="45"/>
        <v>0</v>
      </c>
      <c r="N583" s="32" t="str">
        <f t="shared" si="46"/>
        <v>n/a</v>
      </c>
      <c r="O583" s="6" t="str">
        <f>IF(ABS(M583)&lt;Overview!$B$6,"OK",IF(I583=0,"REVIEW (zero base)",IF(ABS(M583/ABS(I583))&gt;=Overview!$B$5,"REVIEW","OK")))</f>
        <v>OK</v>
      </c>
      <c r="P583" s="31">
        <f t="shared" si="47"/>
        <v>19360</v>
      </c>
      <c r="Q583" s="32" t="str">
        <f t="shared" si="48"/>
        <v>n/a</v>
      </c>
      <c r="R583" s="6" t="str">
        <f>IF(ABS(P583)&lt;Overview!$B$6,"OK",IF(J583=0,"REVIEW (zero base)",IF(ABS(P583/ABS(J583))&gt;=Overview!$B$5,"REVIEW","OK")))</f>
        <v>OK</v>
      </c>
      <c r="S583" s="33">
        <f t="shared" si="49"/>
        <v>5.8299999999999997E-4</v>
      </c>
    </row>
    <row r="584" spans="1:19" x14ac:dyDescent="0.2">
      <c r="A584" s="17">
        <v>582</v>
      </c>
      <c r="B584" s="17" t="s">
        <v>171</v>
      </c>
      <c r="C584" s="17" t="s">
        <v>338</v>
      </c>
      <c r="D584" s="17" t="s">
        <v>58</v>
      </c>
      <c r="E584" s="17" t="s">
        <v>84</v>
      </c>
      <c r="F584" s="17" t="s">
        <v>400</v>
      </c>
      <c r="G584" s="17" t="s">
        <v>401</v>
      </c>
      <c r="H584" s="30">
        <v>0</v>
      </c>
      <c r="I584" s="30">
        <v>0</v>
      </c>
      <c r="J584" s="30">
        <v>0</v>
      </c>
      <c r="K584" s="30">
        <v>350</v>
      </c>
      <c r="L584" s="30">
        <v>350</v>
      </c>
      <c r="M584" s="31">
        <f t="shared" si="45"/>
        <v>0</v>
      </c>
      <c r="N584" s="32" t="str">
        <f t="shared" si="46"/>
        <v>n/a</v>
      </c>
      <c r="O584" s="6" t="str">
        <f>IF(ABS(M584)&lt;Overview!$B$6,"OK",IF(I584=0,"REVIEW (zero base)",IF(ABS(M584/ABS(I584))&gt;=Overview!$B$5,"REVIEW","OK")))</f>
        <v>OK</v>
      </c>
      <c r="P584" s="31">
        <f t="shared" si="47"/>
        <v>350</v>
      </c>
      <c r="Q584" s="32" t="str">
        <f t="shared" si="48"/>
        <v>n/a</v>
      </c>
      <c r="R584" s="6" t="str">
        <f>IF(ABS(P584)&lt;Overview!$B$6,"OK",IF(J584=0,"REVIEW (zero base)",IF(ABS(P584/ABS(J584))&gt;=Overview!$B$5,"REVIEW","OK")))</f>
        <v>OK</v>
      </c>
      <c r="S584" s="33">
        <f t="shared" si="49"/>
        <v>5.8399999999999999E-4</v>
      </c>
    </row>
    <row r="585" spans="1:19" x14ac:dyDescent="0.2">
      <c r="A585" s="17">
        <v>583</v>
      </c>
      <c r="B585" s="17" t="s">
        <v>171</v>
      </c>
      <c r="C585" s="17" t="s">
        <v>338</v>
      </c>
      <c r="D585" s="17" t="s">
        <v>58</v>
      </c>
      <c r="E585" s="17" t="s">
        <v>84</v>
      </c>
      <c r="F585" s="17" t="s">
        <v>418</v>
      </c>
      <c r="G585" s="17" t="s">
        <v>419</v>
      </c>
      <c r="H585" s="30">
        <v>641119</v>
      </c>
      <c r="I585" s="30">
        <v>0</v>
      </c>
      <c r="J585" s="30">
        <v>0</v>
      </c>
      <c r="K585" s="30">
        <v>0</v>
      </c>
      <c r="L585" s="30">
        <v>0</v>
      </c>
      <c r="M585" s="31">
        <f t="shared" si="45"/>
        <v>0</v>
      </c>
      <c r="N585" s="32" t="str">
        <f t="shared" si="46"/>
        <v>n/a</v>
      </c>
      <c r="O585" s="6" t="str">
        <f>IF(ABS(M585)&lt;Overview!$B$6,"OK",IF(I585=0,"REVIEW (zero base)",IF(ABS(M585/ABS(I585))&gt;=Overview!$B$5,"REVIEW","OK")))</f>
        <v>OK</v>
      </c>
      <c r="P585" s="31">
        <f t="shared" si="47"/>
        <v>0</v>
      </c>
      <c r="Q585" s="32" t="str">
        <f t="shared" si="48"/>
        <v>n/a</v>
      </c>
      <c r="R585" s="6" t="str">
        <f>IF(ABS(P585)&lt;Overview!$B$6,"OK",IF(J585=0,"REVIEW (zero base)",IF(ABS(P585/ABS(J585))&gt;=Overview!$B$5,"REVIEW","OK")))</f>
        <v>OK</v>
      </c>
      <c r="S585" s="33">
        <f t="shared" si="49"/>
        <v>5.8500000000000002E-4</v>
      </c>
    </row>
    <row r="586" spans="1:19" x14ac:dyDescent="0.2">
      <c r="A586" s="17">
        <v>584</v>
      </c>
      <c r="B586" s="17" t="s">
        <v>171</v>
      </c>
      <c r="C586" s="17" t="s">
        <v>338</v>
      </c>
      <c r="D586" s="17" t="s">
        <v>58</v>
      </c>
      <c r="E586" s="17" t="s">
        <v>84</v>
      </c>
      <c r="F586" s="17" t="s">
        <v>430</v>
      </c>
      <c r="G586" s="17" t="s">
        <v>444</v>
      </c>
      <c r="H586" s="30">
        <v>108450</v>
      </c>
      <c r="I586" s="30">
        <v>0</v>
      </c>
      <c r="J586" s="30">
        <v>0</v>
      </c>
      <c r="K586" s="30">
        <v>0</v>
      </c>
      <c r="L586" s="30">
        <v>0</v>
      </c>
      <c r="M586" s="31">
        <f t="shared" si="45"/>
        <v>0</v>
      </c>
      <c r="N586" s="32" t="str">
        <f t="shared" si="46"/>
        <v>n/a</v>
      </c>
      <c r="O586" s="6" t="str">
        <f>IF(ABS(M586)&lt;Overview!$B$6,"OK",IF(I586=0,"REVIEW (zero base)",IF(ABS(M586/ABS(I586))&gt;=Overview!$B$5,"REVIEW","OK")))</f>
        <v>OK</v>
      </c>
      <c r="P586" s="31">
        <f t="shared" si="47"/>
        <v>0</v>
      </c>
      <c r="Q586" s="32" t="str">
        <f t="shared" si="48"/>
        <v>n/a</v>
      </c>
      <c r="R586" s="6" t="str">
        <f>IF(ABS(P586)&lt;Overview!$B$6,"OK",IF(J586=0,"REVIEW (zero base)",IF(ABS(P586/ABS(J586))&gt;=Overview!$B$5,"REVIEW","OK")))</f>
        <v>OK</v>
      </c>
      <c r="S586" s="33">
        <f t="shared" si="49"/>
        <v>5.8600000000000004E-4</v>
      </c>
    </row>
    <row r="587" spans="1:19" x14ac:dyDescent="0.2">
      <c r="A587" s="17">
        <v>585</v>
      </c>
      <c r="B587" s="17" t="s">
        <v>171</v>
      </c>
      <c r="C587" s="17" t="s">
        <v>338</v>
      </c>
      <c r="D587" s="17" t="s">
        <v>58</v>
      </c>
      <c r="E587" s="17" t="s">
        <v>84</v>
      </c>
      <c r="F587" s="17" t="s">
        <v>404</v>
      </c>
      <c r="G587" s="17" t="s">
        <v>405</v>
      </c>
      <c r="H587" s="30">
        <v>694</v>
      </c>
      <c r="I587" s="30">
        <v>-345</v>
      </c>
      <c r="J587" s="30">
        <v>2000</v>
      </c>
      <c r="K587" s="30">
        <v>300</v>
      </c>
      <c r="L587" s="30">
        <v>302</v>
      </c>
      <c r="M587" s="31">
        <f t="shared" si="45"/>
        <v>2345</v>
      </c>
      <c r="N587" s="32">
        <f t="shared" si="46"/>
        <v>6.7971014492753623</v>
      </c>
      <c r="O587" s="6" t="str">
        <f>IF(ABS(M587)&lt;Overview!$B$6,"OK",IF(I587=0,"REVIEW (zero base)",IF(ABS(M587/ABS(I587))&gt;=Overview!$B$5,"REVIEW","OK")))</f>
        <v>OK</v>
      </c>
      <c r="P587" s="31">
        <f t="shared" si="47"/>
        <v>-1700</v>
      </c>
      <c r="Q587" s="32">
        <f t="shared" si="48"/>
        <v>-0.85</v>
      </c>
      <c r="R587" s="6" t="str">
        <f>IF(ABS(P587)&lt;Overview!$B$6,"OK",IF(J587=0,"REVIEW (zero base)",IF(ABS(P587/ABS(J587))&gt;=Overview!$B$5,"REVIEW","OK")))</f>
        <v>OK</v>
      </c>
      <c r="S587" s="33">
        <f t="shared" si="49"/>
        <v>2345.000587</v>
      </c>
    </row>
    <row r="588" spans="1:19" x14ac:dyDescent="0.2">
      <c r="A588" s="17">
        <v>586</v>
      </c>
      <c r="B588" s="17" t="s">
        <v>171</v>
      </c>
      <c r="C588" s="17" t="s">
        <v>338</v>
      </c>
      <c r="D588" s="17" t="s">
        <v>58</v>
      </c>
      <c r="E588" s="17" t="s">
        <v>84</v>
      </c>
      <c r="F588" s="17" t="s">
        <v>402</v>
      </c>
      <c r="G588" s="17" t="s">
        <v>403</v>
      </c>
      <c r="H588" s="30">
        <v>102553</v>
      </c>
      <c r="I588" s="30">
        <v>133568</v>
      </c>
      <c r="J588" s="30">
        <v>149500</v>
      </c>
      <c r="K588" s="30">
        <v>180479</v>
      </c>
      <c r="L588" s="30">
        <v>181742</v>
      </c>
      <c r="M588" s="31">
        <f t="shared" si="45"/>
        <v>15932</v>
      </c>
      <c r="N588" s="32">
        <f t="shared" si="46"/>
        <v>0.11928006708193579</v>
      </c>
      <c r="O588" s="6" t="str">
        <f>IF(ABS(M588)&lt;Overview!$B$6,"OK",IF(I588=0,"REVIEW (zero base)",IF(ABS(M588/ABS(I588))&gt;=Overview!$B$5,"REVIEW","OK")))</f>
        <v>OK</v>
      </c>
      <c r="P588" s="31">
        <f t="shared" si="47"/>
        <v>30979</v>
      </c>
      <c r="Q588" s="32">
        <f t="shared" si="48"/>
        <v>0.20721739130434783</v>
      </c>
      <c r="R588" s="6" t="str">
        <f>IF(ABS(P588)&lt;Overview!$B$6,"OK",IF(J588=0,"REVIEW (zero base)",IF(ABS(P588/ABS(J588))&gt;=Overview!$B$5,"REVIEW","OK")))</f>
        <v>OK</v>
      </c>
      <c r="S588" s="33">
        <f t="shared" si="49"/>
        <v>15932.000588000001</v>
      </c>
    </row>
    <row r="589" spans="1:19" x14ac:dyDescent="0.2">
      <c r="A589" s="17">
        <v>587</v>
      </c>
      <c r="B589" s="17" t="s">
        <v>171</v>
      </c>
      <c r="C589" s="17" t="s">
        <v>338</v>
      </c>
      <c r="D589" s="17" t="s">
        <v>58</v>
      </c>
      <c r="E589" s="17" t="s">
        <v>84</v>
      </c>
      <c r="F589" s="17" t="s">
        <v>402</v>
      </c>
      <c r="G589" s="17" t="s">
        <v>445</v>
      </c>
      <c r="H589" s="30">
        <v>14813</v>
      </c>
      <c r="I589" s="30">
        <v>11844</v>
      </c>
      <c r="J589" s="30">
        <v>30000</v>
      </c>
      <c r="K589" s="30">
        <v>15000</v>
      </c>
      <c r="L589" s="30">
        <v>15105</v>
      </c>
      <c r="M589" s="31">
        <f t="shared" si="45"/>
        <v>18156</v>
      </c>
      <c r="N589" s="32">
        <f t="shared" si="46"/>
        <v>1.5329280648429584</v>
      </c>
      <c r="O589" s="6" t="str">
        <f>IF(ABS(M589)&lt;Overview!$B$6,"OK",IF(I589=0,"REVIEW (zero base)",IF(ABS(M589/ABS(I589))&gt;=Overview!$B$5,"REVIEW","OK")))</f>
        <v>OK</v>
      </c>
      <c r="P589" s="31">
        <f t="shared" si="47"/>
        <v>-15000</v>
      </c>
      <c r="Q589" s="32">
        <f t="shared" si="48"/>
        <v>-0.5</v>
      </c>
      <c r="R589" s="6" t="str">
        <f>IF(ABS(P589)&lt;Overview!$B$6,"OK",IF(J589=0,"REVIEW (zero base)",IF(ABS(P589/ABS(J589))&gt;=Overview!$B$5,"REVIEW","OK")))</f>
        <v>OK</v>
      </c>
      <c r="S589" s="33">
        <f t="shared" si="49"/>
        <v>18156.000588999999</v>
      </c>
    </row>
    <row r="590" spans="1:19" x14ac:dyDescent="0.2">
      <c r="A590" s="17">
        <v>588</v>
      </c>
      <c r="B590" s="17" t="s">
        <v>171</v>
      </c>
      <c r="C590" s="17" t="s">
        <v>338</v>
      </c>
      <c r="D590" s="17" t="s">
        <v>58</v>
      </c>
      <c r="E590" s="17" t="s">
        <v>84</v>
      </c>
      <c r="F590" s="17" t="s">
        <v>402</v>
      </c>
      <c r="G590" s="17" t="s">
        <v>416</v>
      </c>
      <c r="H590" s="30">
        <v>0</v>
      </c>
      <c r="I590" s="30">
        <v>0</v>
      </c>
      <c r="J590" s="30">
        <v>0</v>
      </c>
      <c r="K590" s="30">
        <v>5000</v>
      </c>
      <c r="L590" s="30">
        <v>5035</v>
      </c>
      <c r="M590" s="31">
        <f t="shared" si="45"/>
        <v>0</v>
      </c>
      <c r="N590" s="32" t="str">
        <f t="shared" si="46"/>
        <v>n/a</v>
      </c>
      <c r="O590" s="6" t="str">
        <f>IF(ABS(M590)&lt;Overview!$B$6,"OK",IF(I590=0,"REVIEW (zero base)",IF(ABS(M590/ABS(I590))&gt;=Overview!$B$5,"REVIEW","OK")))</f>
        <v>OK</v>
      </c>
      <c r="P590" s="31">
        <f t="shared" si="47"/>
        <v>5000</v>
      </c>
      <c r="Q590" s="32" t="str">
        <f t="shared" si="48"/>
        <v>n/a</v>
      </c>
      <c r="R590" s="6" t="str">
        <f>IF(ABS(P590)&lt;Overview!$B$6,"OK",IF(J590=0,"REVIEW (zero base)",IF(ABS(P590/ABS(J590))&gt;=Overview!$B$5,"REVIEW","OK")))</f>
        <v>OK</v>
      </c>
      <c r="S590" s="33">
        <f t="shared" si="49"/>
        <v>5.9000000000000003E-4</v>
      </c>
    </row>
    <row r="591" spans="1:19" x14ac:dyDescent="0.2">
      <c r="A591" s="17">
        <v>589</v>
      </c>
      <c r="B591" s="17" t="s">
        <v>171</v>
      </c>
      <c r="C591" s="17" t="s">
        <v>338</v>
      </c>
      <c r="D591" s="17" t="s">
        <v>58</v>
      </c>
      <c r="E591" s="17" t="s">
        <v>84</v>
      </c>
      <c r="F591" s="17" t="s">
        <v>402</v>
      </c>
      <c r="G591" s="17" t="s">
        <v>446</v>
      </c>
      <c r="H591" s="30">
        <v>1170381</v>
      </c>
      <c r="I591" s="30">
        <v>829563</v>
      </c>
      <c r="J591" s="30">
        <v>1090000</v>
      </c>
      <c r="K591" s="30">
        <v>872000</v>
      </c>
      <c r="L591" s="30">
        <v>878104</v>
      </c>
      <c r="M591" s="31">
        <f t="shared" si="45"/>
        <v>260437</v>
      </c>
      <c r="N591" s="32">
        <f t="shared" si="46"/>
        <v>0.31394481190699197</v>
      </c>
      <c r="O591" s="6" t="str">
        <f>IF(ABS(M591)&lt;Overview!$B$6,"OK",IF(I591=0,"REVIEW (zero base)",IF(ABS(M591/ABS(I591))&gt;=Overview!$B$5,"REVIEW","OK")))</f>
        <v>REVIEW</v>
      </c>
      <c r="P591" s="31">
        <f t="shared" si="47"/>
        <v>-218000</v>
      </c>
      <c r="Q591" s="32">
        <f t="shared" si="48"/>
        <v>-0.2</v>
      </c>
      <c r="R591" s="6" t="str">
        <f>IF(ABS(P591)&lt;Overview!$B$6,"OK",IF(J591=0,"REVIEW (zero base)",IF(ABS(P591/ABS(J591))&gt;=Overview!$B$5,"REVIEW","OK")))</f>
        <v>OK</v>
      </c>
      <c r="S591" s="33">
        <f t="shared" si="49"/>
        <v>260437.00059099999</v>
      </c>
    </row>
    <row r="592" spans="1:19" x14ac:dyDescent="0.2">
      <c r="A592" s="17">
        <v>590</v>
      </c>
      <c r="B592" s="17" t="s">
        <v>171</v>
      </c>
      <c r="C592" s="17" t="s">
        <v>338</v>
      </c>
      <c r="D592" s="17" t="s">
        <v>58</v>
      </c>
      <c r="E592" s="17" t="s">
        <v>84</v>
      </c>
      <c r="F592" s="17" t="s">
        <v>420</v>
      </c>
      <c r="G592" s="17" t="s">
        <v>421</v>
      </c>
      <c r="H592" s="30">
        <v>0</v>
      </c>
      <c r="I592" s="30">
        <v>0</v>
      </c>
      <c r="J592" s="30">
        <v>0</v>
      </c>
      <c r="K592" s="30">
        <v>98880</v>
      </c>
      <c r="L592" s="30">
        <v>99572</v>
      </c>
      <c r="M592" s="31">
        <f t="shared" si="45"/>
        <v>0</v>
      </c>
      <c r="N592" s="32" t="str">
        <f t="shared" si="46"/>
        <v>n/a</v>
      </c>
      <c r="O592" s="6" t="str">
        <f>IF(ABS(M592)&lt;Overview!$B$6,"OK",IF(I592=0,"REVIEW (zero base)",IF(ABS(M592/ABS(I592))&gt;=Overview!$B$5,"REVIEW","OK")))</f>
        <v>OK</v>
      </c>
      <c r="P592" s="31">
        <f t="shared" si="47"/>
        <v>98880</v>
      </c>
      <c r="Q592" s="32" t="str">
        <f t="shared" si="48"/>
        <v>n/a</v>
      </c>
      <c r="R592" s="6" t="str">
        <f>IF(ABS(P592)&lt;Overview!$B$6,"OK",IF(J592=0,"REVIEW (zero base)",IF(ABS(P592/ABS(J592))&gt;=Overview!$B$5,"REVIEW","OK")))</f>
        <v>OK</v>
      </c>
      <c r="S592" s="33">
        <f t="shared" si="49"/>
        <v>5.9199999999999997E-4</v>
      </c>
    </row>
    <row r="593" spans="1:19" x14ac:dyDescent="0.2">
      <c r="A593" s="17">
        <v>591</v>
      </c>
      <c r="B593" s="17" t="s">
        <v>171</v>
      </c>
      <c r="C593" s="17" t="s">
        <v>338</v>
      </c>
      <c r="D593" s="17" t="s">
        <v>58</v>
      </c>
      <c r="E593" s="17" t="s">
        <v>84</v>
      </c>
      <c r="F593" s="17" t="s">
        <v>422</v>
      </c>
      <c r="G593" s="17" t="s">
        <v>423</v>
      </c>
      <c r="H593" s="30">
        <v>16179</v>
      </c>
      <c r="I593" s="30">
        <v>11731</v>
      </c>
      <c r="J593" s="30">
        <v>13800</v>
      </c>
      <c r="K593" s="30">
        <v>12000</v>
      </c>
      <c r="L593" s="30">
        <v>12084</v>
      </c>
      <c r="M593" s="31">
        <f t="shared" si="45"/>
        <v>2069</v>
      </c>
      <c r="N593" s="32">
        <f t="shared" si="46"/>
        <v>0.1763703009121132</v>
      </c>
      <c r="O593" s="6" t="str">
        <f>IF(ABS(M593)&lt;Overview!$B$6,"OK",IF(I593=0,"REVIEW (zero base)",IF(ABS(M593/ABS(I593))&gt;=Overview!$B$5,"REVIEW","OK")))</f>
        <v>OK</v>
      </c>
      <c r="P593" s="31">
        <f t="shared" si="47"/>
        <v>-1800</v>
      </c>
      <c r="Q593" s="32">
        <f t="shared" si="48"/>
        <v>-0.13043478260869565</v>
      </c>
      <c r="R593" s="6" t="str">
        <f>IF(ABS(P593)&lt;Overview!$B$6,"OK",IF(J593=0,"REVIEW (zero base)",IF(ABS(P593/ABS(J593))&gt;=Overview!$B$5,"REVIEW","OK")))</f>
        <v>OK</v>
      </c>
      <c r="S593" s="33">
        <f t="shared" si="49"/>
        <v>2069.0005930000002</v>
      </c>
    </row>
    <row r="594" spans="1:19" x14ac:dyDescent="0.2">
      <c r="A594" s="17">
        <v>592</v>
      </c>
      <c r="B594" s="17" t="s">
        <v>171</v>
      </c>
      <c r="C594" s="17" t="s">
        <v>338</v>
      </c>
      <c r="D594" s="17" t="s">
        <v>58</v>
      </c>
      <c r="E594" s="17" t="s">
        <v>84</v>
      </c>
      <c r="F594" s="17" t="s">
        <v>409</v>
      </c>
      <c r="G594" s="17" t="s">
        <v>410</v>
      </c>
      <c r="H594" s="30">
        <v>370152</v>
      </c>
      <c r="I594" s="30">
        <v>246605</v>
      </c>
      <c r="J594" s="30">
        <v>285500</v>
      </c>
      <c r="K594" s="30">
        <v>168000</v>
      </c>
      <c r="L594" s="30">
        <v>169176</v>
      </c>
      <c r="M594" s="31">
        <f t="shared" si="45"/>
        <v>38895</v>
      </c>
      <c r="N594" s="32">
        <f t="shared" si="46"/>
        <v>0.15772186289815698</v>
      </c>
      <c r="O594" s="6" t="str">
        <f>IF(ABS(M594)&lt;Overview!$B$6,"OK",IF(I594=0,"REVIEW (zero base)",IF(ABS(M594/ABS(I594))&gt;=Overview!$B$5,"REVIEW","OK")))</f>
        <v>OK</v>
      </c>
      <c r="P594" s="31">
        <f t="shared" si="47"/>
        <v>-117500</v>
      </c>
      <c r="Q594" s="32">
        <f t="shared" si="48"/>
        <v>-0.41155866900175131</v>
      </c>
      <c r="R594" s="6" t="str">
        <f>IF(ABS(P594)&lt;Overview!$B$6,"OK",IF(J594=0,"REVIEW (zero base)",IF(ABS(P594/ABS(J594))&gt;=Overview!$B$5,"REVIEW","OK")))</f>
        <v>OK</v>
      </c>
      <c r="S594" s="33">
        <f t="shared" si="49"/>
        <v>38895.000593999997</v>
      </c>
    </row>
    <row r="595" spans="1:19" x14ac:dyDescent="0.2">
      <c r="A595" s="17">
        <v>593</v>
      </c>
      <c r="B595" s="17" t="s">
        <v>171</v>
      </c>
      <c r="C595" s="17" t="s">
        <v>338</v>
      </c>
      <c r="D595" s="17" t="s">
        <v>58</v>
      </c>
      <c r="E595" s="17" t="s">
        <v>84</v>
      </c>
      <c r="F595" s="17" t="s">
        <v>347</v>
      </c>
      <c r="G595" s="17" t="s">
        <v>348</v>
      </c>
      <c r="H595" s="30">
        <v>90849</v>
      </c>
      <c r="I595" s="30">
        <v>200379</v>
      </c>
      <c r="J595" s="30">
        <v>100000</v>
      </c>
      <c r="K595" s="30">
        <v>72000</v>
      </c>
      <c r="L595" s="30">
        <v>72504</v>
      </c>
      <c r="M595" s="31">
        <f t="shared" si="45"/>
        <v>-100379</v>
      </c>
      <c r="N595" s="32">
        <f t="shared" si="46"/>
        <v>-0.50094570788356063</v>
      </c>
      <c r="O595" s="6" t="str">
        <f>IF(ABS(M595)&lt;Overview!$B$6,"OK",IF(I595=0,"REVIEW (zero base)",IF(ABS(M595/ABS(I595))&gt;=Overview!$B$5,"REVIEW","OK")))</f>
        <v>OK</v>
      </c>
      <c r="P595" s="31">
        <f t="shared" si="47"/>
        <v>-28000</v>
      </c>
      <c r="Q595" s="32">
        <f t="shared" si="48"/>
        <v>-0.28000000000000003</v>
      </c>
      <c r="R595" s="6" t="str">
        <f>IF(ABS(P595)&lt;Overview!$B$6,"OK",IF(J595=0,"REVIEW (zero base)",IF(ABS(P595/ABS(J595))&gt;=Overview!$B$5,"REVIEW","OK")))</f>
        <v>OK</v>
      </c>
      <c r="S595" s="33">
        <f t="shared" si="49"/>
        <v>100379.000595</v>
      </c>
    </row>
    <row r="596" spans="1:19" x14ac:dyDescent="0.2">
      <c r="A596" s="17">
        <v>594</v>
      </c>
      <c r="B596" s="17" t="s">
        <v>171</v>
      </c>
      <c r="C596" s="17" t="s">
        <v>338</v>
      </c>
      <c r="D596" s="17" t="s">
        <v>58</v>
      </c>
      <c r="E596" s="17" t="s">
        <v>84</v>
      </c>
      <c r="F596" s="17" t="s">
        <v>386</v>
      </c>
      <c r="G596" s="17" t="s">
        <v>413</v>
      </c>
      <c r="H596" s="30">
        <v>0</v>
      </c>
      <c r="I596" s="30">
        <v>0</v>
      </c>
      <c r="J596" s="30">
        <v>0</v>
      </c>
      <c r="K596" s="30">
        <v>4500</v>
      </c>
      <c r="L596" s="30">
        <v>4532</v>
      </c>
      <c r="M596" s="31">
        <f t="shared" si="45"/>
        <v>0</v>
      </c>
      <c r="N596" s="32" t="str">
        <f t="shared" si="46"/>
        <v>n/a</v>
      </c>
      <c r="O596" s="6" t="str">
        <f>IF(ABS(M596)&lt;Overview!$B$6,"OK",IF(I596=0,"REVIEW (zero base)",IF(ABS(M596/ABS(I596))&gt;=Overview!$B$5,"REVIEW","OK")))</f>
        <v>OK</v>
      </c>
      <c r="P596" s="31">
        <f t="shared" si="47"/>
        <v>4500</v>
      </c>
      <c r="Q596" s="32" t="str">
        <f t="shared" si="48"/>
        <v>n/a</v>
      </c>
      <c r="R596" s="6" t="str">
        <f>IF(ABS(P596)&lt;Overview!$B$6,"OK",IF(J596=0,"REVIEW (zero base)",IF(ABS(P596/ABS(J596))&gt;=Overview!$B$5,"REVIEW","OK")))</f>
        <v>OK</v>
      </c>
      <c r="S596" s="33">
        <f t="shared" si="49"/>
        <v>5.9599999999999996E-4</v>
      </c>
    </row>
    <row r="597" spans="1:19" x14ac:dyDescent="0.2">
      <c r="A597" s="17">
        <v>595</v>
      </c>
      <c r="B597" s="17" t="s">
        <v>171</v>
      </c>
      <c r="C597" s="17" t="s">
        <v>338</v>
      </c>
      <c r="D597" s="17" t="s">
        <v>58</v>
      </c>
      <c r="E597" s="17" t="s">
        <v>84</v>
      </c>
      <c r="F597" s="17" t="s">
        <v>386</v>
      </c>
      <c r="G597" s="17" t="s">
        <v>387</v>
      </c>
      <c r="H597" s="30">
        <v>3037</v>
      </c>
      <c r="I597" s="30">
        <v>2389</v>
      </c>
      <c r="J597" s="30">
        <v>4550</v>
      </c>
      <c r="K597" s="30">
        <v>5200</v>
      </c>
      <c r="L597" s="30">
        <v>5236</v>
      </c>
      <c r="M597" s="31">
        <f t="shared" si="45"/>
        <v>2161</v>
      </c>
      <c r="N597" s="32">
        <f t="shared" si="46"/>
        <v>0.90456257848472166</v>
      </c>
      <c r="O597" s="6" t="str">
        <f>IF(ABS(M597)&lt;Overview!$B$6,"OK",IF(I597=0,"REVIEW (zero base)",IF(ABS(M597/ABS(I597))&gt;=Overview!$B$5,"REVIEW","OK")))</f>
        <v>OK</v>
      </c>
      <c r="P597" s="31">
        <f t="shared" si="47"/>
        <v>650</v>
      </c>
      <c r="Q597" s="32">
        <f t="shared" si="48"/>
        <v>0.14285714285714285</v>
      </c>
      <c r="R597" s="6" t="str">
        <f>IF(ABS(P597)&lt;Overview!$B$6,"OK",IF(J597=0,"REVIEW (zero base)",IF(ABS(P597/ABS(J597))&gt;=Overview!$B$5,"REVIEW","OK")))</f>
        <v>OK</v>
      </c>
      <c r="S597" s="33">
        <f t="shared" si="49"/>
        <v>2161.0005970000002</v>
      </c>
    </row>
    <row r="598" spans="1:19" x14ac:dyDescent="0.2">
      <c r="A598" s="17">
        <v>596</v>
      </c>
      <c r="B598" s="17" t="s">
        <v>171</v>
      </c>
      <c r="C598" s="17" t="s">
        <v>338</v>
      </c>
      <c r="D598" s="17" t="s">
        <v>58</v>
      </c>
      <c r="E598" s="17" t="s">
        <v>84</v>
      </c>
      <c r="F598" s="17" t="s">
        <v>386</v>
      </c>
      <c r="G598" s="17" t="s">
        <v>447</v>
      </c>
      <c r="H598" s="30">
        <v>0</v>
      </c>
      <c r="I598" s="30">
        <v>0</v>
      </c>
      <c r="J598" s="30">
        <v>1000</v>
      </c>
      <c r="K598" s="30">
        <v>0</v>
      </c>
      <c r="L598" s="30">
        <v>0</v>
      </c>
      <c r="M598" s="31">
        <f t="shared" si="45"/>
        <v>1000</v>
      </c>
      <c r="N598" s="32" t="str">
        <f t="shared" si="46"/>
        <v>n/a</v>
      </c>
      <c r="O598" s="6" t="str">
        <f>IF(ABS(M598)&lt;Overview!$B$6,"OK",IF(I598=0,"REVIEW (zero base)",IF(ABS(M598/ABS(I598))&gt;=Overview!$B$5,"REVIEW","OK")))</f>
        <v>OK</v>
      </c>
      <c r="P598" s="31">
        <f t="shared" si="47"/>
        <v>-1000</v>
      </c>
      <c r="Q598" s="32">
        <f t="shared" si="48"/>
        <v>-1</v>
      </c>
      <c r="R598" s="6" t="str">
        <f>IF(ABS(P598)&lt;Overview!$B$6,"OK",IF(J598=0,"REVIEW (zero base)",IF(ABS(P598/ABS(J598))&gt;=Overview!$B$5,"REVIEW","OK")))</f>
        <v>OK</v>
      </c>
      <c r="S598" s="33">
        <f t="shared" si="49"/>
        <v>1000.000598</v>
      </c>
    </row>
    <row r="599" spans="1:19" x14ac:dyDescent="0.2">
      <c r="A599" s="17">
        <v>597</v>
      </c>
      <c r="B599" s="17" t="s">
        <v>171</v>
      </c>
      <c r="C599" s="17" t="s">
        <v>338</v>
      </c>
      <c r="D599" s="17" t="s">
        <v>58</v>
      </c>
      <c r="E599" s="17" t="s">
        <v>84</v>
      </c>
      <c r="F599" s="17" t="s">
        <v>448</v>
      </c>
      <c r="G599" s="17" t="s">
        <v>449</v>
      </c>
      <c r="H599" s="30">
        <v>0</v>
      </c>
      <c r="I599" s="30">
        <v>0</v>
      </c>
      <c r="J599" s="30">
        <v>0</v>
      </c>
      <c r="K599" s="30">
        <v>2700</v>
      </c>
      <c r="L599" s="30">
        <v>2719</v>
      </c>
      <c r="M599" s="31">
        <f t="shared" si="45"/>
        <v>0</v>
      </c>
      <c r="N599" s="32" t="str">
        <f t="shared" si="46"/>
        <v>n/a</v>
      </c>
      <c r="O599" s="6" t="str">
        <f>IF(ABS(M599)&lt;Overview!$B$6,"OK",IF(I599=0,"REVIEW (zero base)",IF(ABS(M599/ABS(I599))&gt;=Overview!$B$5,"REVIEW","OK")))</f>
        <v>OK</v>
      </c>
      <c r="P599" s="31">
        <f t="shared" si="47"/>
        <v>2700</v>
      </c>
      <c r="Q599" s="32" t="str">
        <f t="shared" si="48"/>
        <v>n/a</v>
      </c>
      <c r="R599" s="6" t="str">
        <f>IF(ABS(P599)&lt;Overview!$B$6,"OK",IF(J599=0,"REVIEW (zero base)",IF(ABS(P599/ABS(J599))&gt;=Overview!$B$5,"REVIEW","OK")))</f>
        <v>OK</v>
      </c>
      <c r="S599" s="33">
        <f t="shared" si="49"/>
        <v>5.9900000000000003E-4</v>
      </c>
    </row>
    <row r="600" spans="1:19" x14ac:dyDescent="0.2">
      <c r="A600" s="17">
        <v>598</v>
      </c>
      <c r="B600" s="17" t="s">
        <v>171</v>
      </c>
      <c r="C600" s="17" t="s">
        <v>338</v>
      </c>
      <c r="D600" s="17" t="s">
        <v>58</v>
      </c>
      <c r="E600" s="17" t="s">
        <v>84</v>
      </c>
      <c r="F600" s="17" t="s">
        <v>411</v>
      </c>
      <c r="G600" s="17" t="s">
        <v>450</v>
      </c>
      <c r="H600" s="30">
        <v>143878</v>
      </c>
      <c r="I600" s="30">
        <v>122409</v>
      </c>
      <c r="J600" s="30">
        <v>160000</v>
      </c>
      <c r="K600" s="30">
        <v>132000</v>
      </c>
      <c r="L600" s="30">
        <v>132924</v>
      </c>
      <c r="M600" s="31">
        <f t="shared" si="45"/>
        <v>37591</v>
      </c>
      <c r="N600" s="32">
        <f t="shared" si="46"/>
        <v>0.30709343267243422</v>
      </c>
      <c r="O600" s="6" t="str">
        <f>IF(ABS(M600)&lt;Overview!$B$6,"OK",IF(I600=0,"REVIEW (zero base)",IF(ABS(M600/ABS(I600))&gt;=Overview!$B$5,"REVIEW","OK")))</f>
        <v>OK</v>
      </c>
      <c r="P600" s="31">
        <f t="shared" si="47"/>
        <v>-28000</v>
      </c>
      <c r="Q600" s="32">
        <f t="shared" si="48"/>
        <v>-0.17499999999999999</v>
      </c>
      <c r="R600" s="6" t="str">
        <f>IF(ABS(P600)&lt;Overview!$B$6,"OK",IF(J600=0,"REVIEW (zero base)",IF(ABS(P600/ABS(J600))&gt;=Overview!$B$5,"REVIEW","OK")))</f>
        <v>OK</v>
      </c>
      <c r="S600" s="33">
        <f t="shared" si="49"/>
        <v>37591.000599999999</v>
      </c>
    </row>
    <row r="601" spans="1:19" x14ac:dyDescent="0.2">
      <c r="A601" s="17">
        <v>599</v>
      </c>
      <c r="B601" s="17" t="s">
        <v>171</v>
      </c>
      <c r="C601" s="17" t="s">
        <v>338</v>
      </c>
      <c r="D601" s="17" t="s">
        <v>58</v>
      </c>
      <c r="E601" s="17" t="s">
        <v>84</v>
      </c>
      <c r="F601" s="17" t="s">
        <v>411</v>
      </c>
      <c r="G601" s="17" t="s">
        <v>451</v>
      </c>
      <c r="H601" s="30">
        <v>40002</v>
      </c>
      <c r="I601" s="30">
        <v>37702</v>
      </c>
      <c r="J601" s="30">
        <v>35000</v>
      </c>
      <c r="K601" s="30">
        <v>36400</v>
      </c>
      <c r="L601" s="30">
        <v>36655</v>
      </c>
      <c r="M601" s="31">
        <f t="shared" si="45"/>
        <v>-2702</v>
      </c>
      <c r="N601" s="32">
        <f t="shared" si="46"/>
        <v>-7.1667285555142957E-2</v>
      </c>
      <c r="O601" s="6" t="str">
        <f>IF(ABS(M601)&lt;Overview!$B$6,"OK",IF(I601=0,"REVIEW (zero base)",IF(ABS(M601/ABS(I601))&gt;=Overview!$B$5,"REVIEW","OK")))</f>
        <v>OK</v>
      </c>
      <c r="P601" s="31">
        <f t="shared" si="47"/>
        <v>1400</v>
      </c>
      <c r="Q601" s="32">
        <f t="shared" si="48"/>
        <v>0.04</v>
      </c>
      <c r="R601" s="6" t="str">
        <f>IF(ABS(P601)&lt;Overview!$B$6,"OK",IF(J601=0,"REVIEW (zero base)",IF(ABS(P601/ABS(J601))&gt;=Overview!$B$5,"REVIEW","OK")))</f>
        <v>OK</v>
      </c>
      <c r="S601" s="33">
        <f t="shared" si="49"/>
        <v>2702.0006010000002</v>
      </c>
    </row>
    <row r="602" spans="1:19" x14ac:dyDescent="0.2">
      <c r="A602" s="17">
        <v>600</v>
      </c>
      <c r="B602" s="17" t="s">
        <v>171</v>
      </c>
      <c r="C602" s="17" t="s">
        <v>338</v>
      </c>
      <c r="D602" s="17" t="s">
        <v>58</v>
      </c>
      <c r="E602" s="17" t="s">
        <v>84</v>
      </c>
      <c r="F602" s="17" t="s">
        <v>411</v>
      </c>
      <c r="G602" s="17" t="s">
        <v>452</v>
      </c>
      <c r="H602" s="30">
        <v>33540</v>
      </c>
      <c r="I602" s="30">
        <v>29611</v>
      </c>
      <c r="J602" s="30">
        <v>26000</v>
      </c>
      <c r="K602" s="30">
        <v>10000</v>
      </c>
      <c r="L602" s="30">
        <v>10070</v>
      </c>
      <c r="M602" s="31">
        <f t="shared" si="45"/>
        <v>-3611</v>
      </c>
      <c r="N602" s="32">
        <f t="shared" si="46"/>
        <v>-0.12194792475769139</v>
      </c>
      <c r="O602" s="6" t="str">
        <f>IF(ABS(M602)&lt;Overview!$B$6,"OK",IF(I602=0,"REVIEW (zero base)",IF(ABS(M602/ABS(I602))&gt;=Overview!$B$5,"REVIEW","OK")))</f>
        <v>OK</v>
      </c>
      <c r="P602" s="31">
        <f t="shared" si="47"/>
        <v>-16000</v>
      </c>
      <c r="Q602" s="32">
        <f t="shared" si="48"/>
        <v>-0.61538461538461542</v>
      </c>
      <c r="R602" s="6" t="str">
        <f>IF(ABS(P602)&lt;Overview!$B$6,"OK",IF(J602=0,"REVIEW (zero base)",IF(ABS(P602/ABS(J602))&gt;=Overview!$B$5,"REVIEW","OK")))</f>
        <v>OK</v>
      </c>
      <c r="S602" s="33">
        <f t="shared" si="49"/>
        <v>3611.0006020000001</v>
      </c>
    </row>
    <row r="603" spans="1:19" x14ac:dyDescent="0.2">
      <c r="A603" s="17">
        <v>601</v>
      </c>
      <c r="B603" s="17" t="s">
        <v>171</v>
      </c>
      <c r="C603" s="17" t="s">
        <v>338</v>
      </c>
      <c r="D603" s="17" t="s">
        <v>58</v>
      </c>
      <c r="E603" s="17" t="s">
        <v>84</v>
      </c>
      <c r="F603" s="17" t="s">
        <v>411</v>
      </c>
      <c r="G603" s="17" t="s">
        <v>453</v>
      </c>
      <c r="H603" s="30">
        <v>1447691</v>
      </c>
      <c r="I603" s="30">
        <v>1264599</v>
      </c>
      <c r="J603" s="30">
        <v>1300000</v>
      </c>
      <c r="K603" s="30">
        <v>1300000</v>
      </c>
      <c r="L603" s="30">
        <v>1309100</v>
      </c>
      <c r="M603" s="31">
        <f t="shared" si="45"/>
        <v>35401</v>
      </c>
      <c r="N603" s="32">
        <f t="shared" si="46"/>
        <v>2.799385417828102E-2</v>
      </c>
      <c r="O603" s="6" t="str">
        <f>IF(ABS(M603)&lt;Overview!$B$6,"OK",IF(I603=0,"REVIEW (zero base)",IF(ABS(M603/ABS(I603))&gt;=Overview!$B$5,"REVIEW","OK")))</f>
        <v>OK</v>
      </c>
      <c r="P603" s="31">
        <f t="shared" si="47"/>
        <v>0</v>
      </c>
      <c r="Q603" s="32">
        <f t="shared" si="48"/>
        <v>0</v>
      </c>
      <c r="R603" s="6" t="str">
        <f>IF(ABS(P603)&lt;Overview!$B$6,"OK",IF(J603=0,"REVIEW (zero base)",IF(ABS(P603/ABS(J603))&gt;=Overview!$B$5,"REVIEW","OK")))</f>
        <v>OK</v>
      </c>
      <c r="S603" s="33">
        <f t="shared" si="49"/>
        <v>35401.000603</v>
      </c>
    </row>
    <row r="604" spans="1:19" x14ac:dyDescent="0.2">
      <c r="A604" s="17">
        <v>602</v>
      </c>
      <c r="B604" s="17" t="s">
        <v>171</v>
      </c>
      <c r="C604" s="17" t="s">
        <v>338</v>
      </c>
      <c r="D604" s="17" t="s">
        <v>58</v>
      </c>
      <c r="E604" s="17" t="s">
        <v>84</v>
      </c>
      <c r="F604" s="17" t="s">
        <v>411</v>
      </c>
      <c r="G604" s="17" t="s">
        <v>454</v>
      </c>
      <c r="H604" s="30">
        <v>0</v>
      </c>
      <c r="I604" s="30">
        <v>0</v>
      </c>
      <c r="J604" s="30">
        <v>0</v>
      </c>
      <c r="K604" s="30">
        <v>600</v>
      </c>
      <c r="L604" s="30">
        <v>604</v>
      </c>
      <c r="M604" s="31">
        <f t="shared" si="45"/>
        <v>0</v>
      </c>
      <c r="N604" s="32" t="str">
        <f t="shared" si="46"/>
        <v>n/a</v>
      </c>
      <c r="O604" s="6" t="str">
        <f>IF(ABS(M604)&lt;Overview!$B$6,"OK",IF(I604=0,"REVIEW (zero base)",IF(ABS(M604/ABS(I604))&gt;=Overview!$B$5,"REVIEW","OK")))</f>
        <v>OK</v>
      </c>
      <c r="P604" s="31">
        <f t="shared" si="47"/>
        <v>600</v>
      </c>
      <c r="Q604" s="32" t="str">
        <f t="shared" si="48"/>
        <v>n/a</v>
      </c>
      <c r="R604" s="6" t="str">
        <f>IF(ABS(P604)&lt;Overview!$B$6,"OK",IF(J604=0,"REVIEW (zero base)",IF(ABS(P604/ABS(J604))&gt;=Overview!$B$5,"REVIEW","OK")))</f>
        <v>OK</v>
      </c>
      <c r="S604" s="33">
        <f t="shared" si="49"/>
        <v>6.0400000000000004E-4</v>
      </c>
    </row>
    <row r="605" spans="1:19" x14ac:dyDescent="0.2">
      <c r="A605" s="17">
        <v>603</v>
      </c>
      <c r="B605" s="17" t="s">
        <v>171</v>
      </c>
      <c r="C605" s="17" t="s">
        <v>338</v>
      </c>
      <c r="D605" s="17" t="s">
        <v>58</v>
      </c>
      <c r="E605" s="17" t="s">
        <v>84</v>
      </c>
      <c r="F605" s="17" t="s">
        <v>411</v>
      </c>
      <c r="G605" s="17" t="s">
        <v>455</v>
      </c>
      <c r="H605" s="30">
        <v>6986</v>
      </c>
      <c r="I605" s="30">
        <v>6253</v>
      </c>
      <c r="J605" s="30">
        <v>6500</v>
      </c>
      <c r="K605" s="30">
        <v>12500</v>
      </c>
      <c r="L605" s="30">
        <v>12588</v>
      </c>
      <c r="M605" s="31">
        <f t="shared" si="45"/>
        <v>247</v>
      </c>
      <c r="N605" s="32">
        <f t="shared" si="46"/>
        <v>3.9501039501039503E-2</v>
      </c>
      <c r="O605" s="6" t="str">
        <f>IF(ABS(M605)&lt;Overview!$B$6,"OK",IF(I605=0,"REVIEW (zero base)",IF(ABS(M605/ABS(I605))&gt;=Overview!$B$5,"REVIEW","OK")))</f>
        <v>OK</v>
      </c>
      <c r="P605" s="31">
        <f t="shared" si="47"/>
        <v>6000</v>
      </c>
      <c r="Q605" s="32">
        <f t="shared" si="48"/>
        <v>0.92307692307692313</v>
      </c>
      <c r="R605" s="6" t="str">
        <f>IF(ABS(P605)&lt;Overview!$B$6,"OK",IF(J605=0,"REVIEW (zero base)",IF(ABS(P605/ABS(J605))&gt;=Overview!$B$5,"REVIEW","OK")))</f>
        <v>OK</v>
      </c>
      <c r="S605" s="33">
        <f t="shared" si="49"/>
        <v>247.00060500000001</v>
      </c>
    </row>
    <row r="606" spans="1:19" x14ac:dyDescent="0.2">
      <c r="A606" s="17">
        <v>604</v>
      </c>
      <c r="B606" s="17" t="s">
        <v>171</v>
      </c>
      <c r="C606" s="17" t="s">
        <v>338</v>
      </c>
      <c r="D606" s="17" t="s">
        <v>58</v>
      </c>
      <c r="E606" s="17" t="s">
        <v>84</v>
      </c>
      <c r="F606" s="17" t="s">
        <v>411</v>
      </c>
      <c r="G606" s="17" t="s">
        <v>412</v>
      </c>
      <c r="H606" s="30">
        <v>3188</v>
      </c>
      <c r="I606" s="30">
        <v>16667</v>
      </c>
      <c r="J606" s="30">
        <v>25000</v>
      </c>
      <c r="K606" s="30">
        <v>18000</v>
      </c>
      <c r="L606" s="30">
        <v>18126</v>
      </c>
      <c r="M606" s="31">
        <f t="shared" si="45"/>
        <v>8333</v>
      </c>
      <c r="N606" s="32">
        <f t="shared" si="46"/>
        <v>0.49997000059998797</v>
      </c>
      <c r="O606" s="6" t="str">
        <f>IF(ABS(M606)&lt;Overview!$B$6,"OK",IF(I606=0,"REVIEW (zero base)",IF(ABS(M606/ABS(I606))&gt;=Overview!$B$5,"REVIEW","OK")))</f>
        <v>OK</v>
      </c>
      <c r="P606" s="31">
        <f t="shared" si="47"/>
        <v>-7000</v>
      </c>
      <c r="Q606" s="32">
        <f t="shared" si="48"/>
        <v>-0.28000000000000003</v>
      </c>
      <c r="R606" s="6" t="str">
        <f>IF(ABS(P606)&lt;Overview!$B$6,"OK",IF(J606=0,"REVIEW (zero base)",IF(ABS(P606/ABS(J606))&gt;=Overview!$B$5,"REVIEW","OK")))</f>
        <v>OK</v>
      </c>
      <c r="S606" s="33">
        <f t="shared" si="49"/>
        <v>8333.0006059999996</v>
      </c>
    </row>
    <row r="607" spans="1:19" x14ac:dyDescent="0.2">
      <c r="A607" s="17">
        <v>605</v>
      </c>
      <c r="B607" s="17" t="s">
        <v>171</v>
      </c>
      <c r="C607" s="17" t="s">
        <v>338</v>
      </c>
      <c r="D607" s="17" t="s">
        <v>58</v>
      </c>
      <c r="E607" s="17" t="s">
        <v>84</v>
      </c>
      <c r="F607" s="17" t="s">
        <v>349</v>
      </c>
      <c r="G607" s="17" t="s">
        <v>456</v>
      </c>
      <c r="H607" s="30">
        <v>0</v>
      </c>
      <c r="I607" s="30">
        <v>197095</v>
      </c>
      <c r="J607" s="30">
        <v>0</v>
      </c>
      <c r="K607" s="30">
        <v>0</v>
      </c>
      <c r="L607" s="30">
        <v>0</v>
      </c>
      <c r="M607" s="31">
        <f t="shared" si="45"/>
        <v>-197095</v>
      </c>
      <c r="N607" s="32">
        <f t="shared" si="46"/>
        <v>-1</v>
      </c>
      <c r="O607" s="6" t="str">
        <f>IF(ABS(M607)&lt;Overview!$B$6,"OK",IF(I607=0,"REVIEW (zero base)",IF(ABS(M607/ABS(I607))&gt;=Overview!$B$5,"REVIEW","OK")))</f>
        <v>OK</v>
      </c>
      <c r="P607" s="31">
        <f t="shared" si="47"/>
        <v>0</v>
      </c>
      <c r="Q607" s="32" t="str">
        <f t="shared" si="48"/>
        <v>n/a</v>
      </c>
      <c r="R607" s="6" t="str">
        <f>IF(ABS(P607)&lt;Overview!$B$6,"OK",IF(J607=0,"REVIEW (zero base)",IF(ABS(P607/ABS(J607))&gt;=Overview!$B$5,"REVIEW","OK")))</f>
        <v>OK</v>
      </c>
      <c r="S607" s="33">
        <f t="shared" si="49"/>
        <v>197095.00060699999</v>
      </c>
    </row>
    <row r="608" spans="1:19" x14ac:dyDescent="0.2">
      <c r="A608" s="17">
        <v>606</v>
      </c>
      <c r="B608" s="17" t="s">
        <v>171</v>
      </c>
      <c r="C608" s="17" t="s">
        <v>338</v>
      </c>
      <c r="D608" s="17" t="s">
        <v>58</v>
      </c>
      <c r="E608" s="17" t="s">
        <v>84</v>
      </c>
      <c r="F608" s="17" t="s">
        <v>457</v>
      </c>
      <c r="G608" s="17" t="s">
        <v>458</v>
      </c>
      <c r="H608" s="30">
        <v>0</v>
      </c>
      <c r="I608" s="30">
        <v>256</v>
      </c>
      <c r="J608" s="30">
        <v>0</v>
      </c>
      <c r="K608" s="30">
        <v>0</v>
      </c>
      <c r="L608" s="30">
        <v>0</v>
      </c>
      <c r="M608" s="31">
        <f t="shared" si="45"/>
        <v>-256</v>
      </c>
      <c r="N608" s="32">
        <f t="shared" si="46"/>
        <v>-1</v>
      </c>
      <c r="O608" s="6" t="str">
        <f>IF(ABS(M608)&lt;Overview!$B$6,"OK",IF(I608=0,"REVIEW (zero base)",IF(ABS(M608/ABS(I608))&gt;=Overview!$B$5,"REVIEW","OK")))</f>
        <v>OK</v>
      </c>
      <c r="P608" s="31">
        <f t="shared" si="47"/>
        <v>0</v>
      </c>
      <c r="Q608" s="32" t="str">
        <f t="shared" si="48"/>
        <v>n/a</v>
      </c>
      <c r="R608" s="6" t="str">
        <f>IF(ABS(P608)&lt;Overview!$B$6,"OK",IF(J608=0,"REVIEW (zero base)",IF(ABS(P608/ABS(J608))&gt;=Overview!$B$5,"REVIEW","OK")))</f>
        <v>OK</v>
      </c>
      <c r="S608" s="33">
        <f t="shared" si="49"/>
        <v>256.000608</v>
      </c>
    </row>
    <row r="609" spans="1:19" x14ac:dyDescent="0.2">
      <c r="A609" s="17">
        <v>607</v>
      </c>
      <c r="B609" s="17" t="s">
        <v>171</v>
      </c>
      <c r="C609" s="17" t="s">
        <v>338</v>
      </c>
      <c r="D609" s="17" t="s">
        <v>58</v>
      </c>
      <c r="E609" s="17" t="s">
        <v>146</v>
      </c>
      <c r="F609" s="17" t="s">
        <v>457</v>
      </c>
      <c r="G609" s="17" t="s">
        <v>458</v>
      </c>
      <c r="H609" s="30">
        <v>0</v>
      </c>
      <c r="I609" s="30">
        <v>-256</v>
      </c>
      <c r="J609" s="30">
        <v>0</v>
      </c>
      <c r="K609" s="30">
        <v>0</v>
      </c>
      <c r="L609" s="30">
        <v>0</v>
      </c>
      <c r="M609" s="31">
        <f t="shared" si="45"/>
        <v>256</v>
      </c>
      <c r="N609" s="32">
        <f t="shared" si="46"/>
        <v>1</v>
      </c>
      <c r="O609" s="6" t="str">
        <f>IF(ABS(M609)&lt;Overview!$B$6,"OK",IF(I609=0,"REVIEW (zero base)",IF(ABS(M609/ABS(I609))&gt;=Overview!$B$5,"REVIEW","OK")))</f>
        <v>OK</v>
      </c>
      <c r="P609" s="31">
        <f t="shared" si="47"/>
        <v>0</v>
      </c>
      <c r="Q609" s="32" t="str">
        <f t="shared" si="48"/>
        <v>n/a</v>
      </c>
      <c r="R609" s="6" t="str">
        <f>IF(ABS(P609)&lt;Overview!$B$6,"OK",IF(J609=0,"REVIEW (zero base)",IF(ABS(P609/ABS(J609))&gt;=Overview!$B$5,"REVIEW","OK")))</f>
        <v>OK</v>
      </c>
      <c r="S609" s="33">
        <f t="shared" si="49"/>
        <v>256.000609</v>
      </c>
    </row>
    <row r="610" spans="1:19" x14ac:dyDescent="0.2">
      <c r="A610" s="17">
        <v>608</v>
      </c>
      <c r="B610" s="17" t="s">
        <v>171</v>
      </c>
      <c r="C610" s="17" t="s">
        <v>338</v>
      </c>
      <c r="D610" s="17" t="s">
        <v>62</v>
      </c>
      <c r="E610" s="17" t="s">
        <v>101</v>
      </c>
      <c r="F610" s="17" t="s">
        <v>339</v>
      </c>
      <c r="G610" s="17" t="s">
        <v>340</v>
      </c>
      <c r="H610" s="30">
        <v>481185</v>
      </c>
      <c r="I610" s="30">
        <v>503759</v>
      </c>
      <c r="J610" s="30">
        <v>557491</v>
      </c>
      <c r="K610" s="30">
        <v>669248</v>
      </c>
      <c r="L610" s="30">
        <v>675940</v>
      </c>
      <c r="M610" s="31">
        <f t="shared" si="45"/>
        <v>53732</v>
      </c>
      <c r="N610" s="32">
        <f t="shared" si="46"/>
        <v>0.10666211422525454</v>
      </c>
      <c r="O610" s="6" t="str">
        <f>IF(ABS(M610)&lt;Overview!$B$6,"OK",IF(I610=0,"REVIEW (zero base)",IF(ABS(M610/ABS(I610))&gt;=Overview!$B$5,"REVIEW","OK")))</f>
        <v>OK</v>
      </c>
      <c r="P610" s="31">
        <f t="shared" si="47"/>
        <v>111757</v>
      </c>
      <c r="Q610" s="32">
        <f t="shared" si="48"/>
        <v>0.20046422274081555</v>
      </c>
      <c r="R610" s="6" t="str">
        <f>IF(ABS(P610)&lt;Overview!$B$6,"OK",IF(J610=0,"REVIEW (zero base)",IF(ABS(P610/ABS(J610))&gt;=Overview!$B$5,"REVIEW","OK")))</f>
        <v>OK</v>
      </c>
      <c r="S610" s="33">
        <f t="shared" si="49"/>
        <v>53732.000610000003</v>
      </c>
    </row>
    <row r="611" spans="1:19" x14ac:dyDescent="0.2">
      <c r="A611" s="17">
        <v>609</v>
      </c>
      <c r="B611" s="17" t="s">
        <v>171</v>
      </c>
      <c r="C611" s="17" t="s">
        <v>338</v>
      </c>
      <c r="D611" s="17" t="s">
        <v>62</v>
      </c>
      <c r="E611" s="17" t="s">
        <v>101</v>
      </c>
      <c r="F611" s="17" t="s">
        <v>339</v>
      </c>
      <c r="G611" s="17" t="s">
        <v>390</v>
      </c>
      <c r="H611" s="30">
        <v>15622</v>
      </c>
      <c r="I611" s="30">
        <v>7613</v>
      </c>
      <c r="J611" s="30">
        <v>7000</v>
      </c>
      <c r="K611" s="30">
        <v>0</v>
      </c>
      <c r="L611" s="30">
        <v>0</v>
      </c>
      <c r="M611" s="31">
        <f t="shared" si="45"/>
        <v>-613</v>
      </c>
      <c r="N611" s="32">
        <f t="shared" si="46"/>
        <v>-8.0520162879285428E-2</v>
      </c>
      <c r="O611" s="6" t="str">
        <f>IF(ABS(M611)&lt;Overview!$B$6,"OK",IF(I611=0,"REVIEW (zero base)",IF(ABS(M611/ABS(I611))&gt;=Overview!$B$5,"REVIEW","OK")))</f>
        <v>OK</v>
      </c>
      <c r="P611" s="31">
        <f t="shared" si="47"/>
        <v>-7000</v>
      </c>
      <c r="Q611" s="32">
        <f t="shared" si="48"/>
        <v>-1</v>
      </c>
      <c r="R611" s="6" t="str">
        <f>IF(ABS(P611)&lt;Overview!$B$6,"OK",IF(J611=0,"REVIEW (zero base)",IF(ABS(P611/ABS(J611))&gt;=Overview!$B$5,"REVIEW","OK")))</f>
        <v>OK</v>
      </c>
      <c r="S611" s="33">
        <f t="shared" si="49"/>
        <v>613.00061100000005</v>
      </c>
    </row>
    <row r="612" spans="1:19" x14ac:dyDescent="0.2">
      <c r="A612" s="17">
        <v>610</v>
      </c>
      <c r="B612" s="17" t="s">
        <v>171</v>
      </c>
      <c r="C612" s="17" t="s">
        <v>338</v>
      </c>
      <c r="D612" s="17" t="s">
        <v>62</v>
      </c>
      <c r="E612" s="17" t="s">
        <v>101</v>
      </c>
      <c r="F612" s="17" t="s">
        <v>339</v>
      </c>
      <c r="G612" s="17" t="s">
        <v>391</v>
      </c>
      <c r="H612" s="30">
        <v>28955</v>
      </c>
      <c r="I612" s="30">
        <v>25641</v>
      </c>
      <c r="J612" s="30">
        <v>0</v>
      </c>
      <c r="K612" s="30">
        <v>0</v>
      </c>
      <c r="L612" s="30">
        <v>0</v>
      </c>
      <c r="M612" s="31">
        <f t="shared" si="45"/>
        <v>-25641</v>
      </c>
      <c r="N612" s="32">
        <f t="shared" si="46"/>
        <v>-1</v>
      </c>
      <c r="O612" s="6" t="str">
        <f>IF(ABS(M612)&lt;Overview!$B$6,"OK",IF(I612=0,"REVIEW (zero base)",IF(ABS(M612/ABS(I612))&gt;=Overview!$B$5,"REVIEW","OK")))</f>
        <v>OK</v>
      </c>
      <c r="P612" s="31">
        <f t="shared" si="47"/>
        <v>0</v>
      </c>
      <c r="Q612" s="32" t="str">
        <f t="shared" si="48"/>
        <v>n/a</v>
      </c>
      <c r="R612" s="6" t="str">
        <f>IF(ABS(P612)&lt;Overview!$B$6,"OK",IF(J612=0,"REVIEW (zero base)",IF(ABS(P612/ABS(J612))&gt;=Overview!$B$5,"REVIEW","OK")))</f>
        <v>OK</v>
      </c>
      <c r="S612" s="33">
        <f t="shared" si="49"/>
        <v>25641.000612</v>
      </c>
    </row>
    <row r="613" spans="1:19" x14ac:dyDescent="0.2">
      <c r="A613" s="17">
        <v>611</v>
      </c>
      <c r="B613" s="17" t="s">
        <v>171</v>
      </c>
      <c r="C613" s="17" t="s">
        <v>338</v>
      </c>
      <c r="D613" s="17" t="s">
        <v>62</v>
      </c>
      <c r="E613" s="17" t="s">
        <v>101</v>
      </c>
      <c r="F613" s="17" t="s">
        <v>339</v>
      </c>
      <c r="G613" s="17" t="s">
        <v>392</v>
      </c>
      <c r="H613" s="30">
        <v>42222</v>
      </c>
      <c r="I613" s="30">
        <v>50705</v>
      </c>
      <c r="J613" s="30">
        <v>0</v>
      </c>
      <c r="K613" s="30">
        <v>0</v>
      </c>
      <c r="L613" s="30">
        <v>0</v>
      </c>
      <c r="M613" s="31">
        <f t="shared" si="45"/>
        <v>-50705</v>
      </c>
      <c r="N613" s="32">
        <f t="shared" si="46"/>
        <v>-1</v>
      </c>
      <c r="O613" s="6" t="str">
        <f>IF(ABS(M613)&lt;Overview!$B$6,"OK",IF(I613=0,"REVIEW (zero base)",IF(ABS(M613/ABS(I613))&gt;=Overview!$B$5,"REVIEW","OK")))</f>
        <v>OK</v>
      </c>
      <c r="P613" s="31">
        <f t="shared" si="47"/>
        <v>0</v>
      </c>
      <c r="Q613" s="32" t="str">
        <f t="shared" si="48"/>
        <v>n/a</v>
      </c>
      <c r="R613" s="6" t="str">
        <f>IF(ABS(P613)&lt;Overview!$B$6,"OK",IF(J613=0,"REVIEW (zero base)",IF(ABS(P613/ABS(J613))&gt;=Overview!$B$5,"REVIEW","OK")))</f>
        <v>OK</v>
      </c>
      <c r="S613" s="33">
        <f t="shared" si="49"/>
        <v>50705.000612999997</v>
      </c>
    </row>
    <row r="614" spans="1:19" x14ac:dyDescent="0.2">
      <c r="A614" s="17">
        <v>612</v>
      </c>
      <c r="B614" s="17" t="s">
        <v>171</v>
      </c>
      <c r="C614" s="17" t="s">
        <v>338</v>
      </c>
      <c r="D614" s="17" t="s">
        <v>62</v>
      </c>
      <c r="E614" s="17" t="s">
        <v>101</v>
      </c>
      <c r="F614" s="17" t="s">
        <v>339</v>
      </c>
      <c r="G614" s="17" t="s">
        <v>394</v>
      </c>
      <c r="H614" s="30">
        <v>39523</v>
      </c>
      <c r="I614" s="30">
        <v>39769</v>
      </c>
      <c r="J614" s="30">
        <v>0</v>
      </c>
      <c r="K614" s="30">
        <v>0</v>
      </c>
      <c r="L614" s="30">
        <v>0</v>
      </c>
      <c r="M614" s="31">
        <f t="shared" si="45"/>
        <v>-39769</v>
      </c>
      <c r="N614" s="32">
        <f t="shared" si="46"/>
        <v>-1</v>
      </c>
      <c r="O614" s="6" t="str">
        <f>IF(ABS(M614)&lt;Overview!$B$6,"OK",IF(I614=0,"REVIEW (zero base)",IF(ABS(M614/ABS(I614))&gt;=Overview!$B$5,"REVIEW","OK")))</f>
        <v>OK</v>
      </c>
      <c r="P614" s="31">
        <f t="shared" si="47"/>
        <v>0</v>
      </c>
      <c r="Q614" s="32" t="str">
        <f t="shared" si="48"/>
        <v>n/a</v>
      </c>
      <c r="R614" s="6" t="str">
        <f>IF(ABS(P614)&lt;Overview!$B$6,"OK",IF(J614=0,"REVIEW (zero base)",IF(ABS(P614/ABS(J614))&gt;=Overview!$B$5,"REVIEW","OK")))</f>
        <v>OK</v>
      </c>
      <c r="S614" s="33">
        <f t="shared" si="49"/>
        <v>39769.000613999997</v>
      </c>
    </row>
    <row r="615" spans="1:19" x14ac:dyDescent="0.2">
      <c r="A615" s="17">
        <v>613</v>
      </c>
      <c r="B615" s="17" t="s">
        <v>171</v>
      </c>
      <c r="C615" s="17" t="s">
        <v>338</v>
      </c>
      <c r="D615" s="17" t="s">
        <v>62</v>
      </c>
      <c r="E615" s="17" t="s">
        <v>101</v>
      </c>
      <c r="F615" s="17" t="s">
        <v>339</v>
      </c>
      <c r="G615" s="17" t="s">
        <v>395</v>
      </c>
      <c r="H615" s="30">
        <v>18788</v>
      </c>
      <c r="I615" s="30">
        <v>14390</v>
      </c>
      <c r="J615" s="30">
        <v>13498</v>
      </c>
      <c r="K615" s="30">
        <v>15255</v>
      </c>
      <c r="L615" s="30">
        <v>15408</v>
      </c>
      <c r="M615" s="31">
        <f t="shared" si="45"/>
        <v>-892</v>
      </c>
      <c r="N615" s="32">
        <f t="shared" si="46"/>
        <v>-6.1987491313412094E-2</v>
      </c>
      <c r="O615" s="6" t="str">
        <f>IF(ABS(M615)&lt;Overview!$B$6,"OK",IF(I615=0,"REVIEW (zero base)",IF(ABS(M615/ABS(I615))&gt;=Overview!$B$5,"REVIEW","OK")))</f>
        <v>OK</v>
      </c>
      <c r="P615" s="31">
        <f t="shared" si="47"/>
        <v>1757</v>
      </c>
      <c r="Q615" s="32">
        <f t="shared" si="48"/>
        <v>0.13016743221217958</v>
      </c>
      <c r="R615" s="6" t="str">
        <f>IF(ABS(P615)&lt;Overview!$B$6,"OK",IF(J615=0,"REVIEW (zero base)",IF(ABS(P615/ABS(J615))&gt;=Overview!$B$5,"REVIEW","OK")))</f>
        <v>OK</v>
      </c>
      <c r="S615" s="33">
        <f t="shared" si="49"/>
        <v>892.00061500000004</v>
      </c>
    </row>
    <row r="616" spans="1:19" x14ac:dyDescent="0.2">
      <c r="A616" s="17">
        <v>614</v>
      </c>
      <c r="B616" s="17" t="s">
        <v>171</v>
      </c>
      <c r="C616" s="17" t="s">
        <v>338</v>
      </c>
      <c r="D616" s="17" t="s">
        <v>62</v>
      </c>
      <c r="E616" s="17" t="s">
        <v>101</v>
      </c>
      <c r="F616" s="17" t="s">
        <v>341</v>
      </c>
      <c r="G616" s="17" t="s">
        <v>342</v>
      </c>
      <c r="H616" s="30">
        <v>10319</v>
      </c>
      <c r="I616" s="30">
        <v>9534</v>
      </c>
      <c r="J616" s="30">
        <v>12828</v>
      </c>
      <c r="K616" s="30">
        <v>12828</v>
      </c>
      <c r="L616" s="30">
        <v>12828</v>
      </c>
      <c r="M616" s="31">
        <f t="shared" si="45"/>
        <v>3294</v>
      </c>
      <c r="N616" s="32">
        <f t="shared" si="46"/>
        <v>0.34550031466331027</v>
      </c>
      <c r="O616" s="6" t="str">
        <f>IF(ABS(M616)&lt;Overview!$B$6,"OK",IF(I616=0,"REVIEW (zero base)",IF(ABS(M616/ABS(I616))&gt;=Overview!$B$5,"REVIEW","OK")))</f>
        <v>OK</v>
      </c>
      <c r="P616" s="31">
        <f t="shared" si="47"/>
        <v>0</v>
      </c>
      <c r="Q616" s="32">
        <f t="shared" si="48"/>
        <v>0</v>
      </c>
      <c r="R616" s="6" t="str">
        <f>IF(ABS(P616)&lt;Overview!$B$6,"OK",IF(J616=0,"REVIEW (zero base)",IF(ABS(P616/ABS(J616))&gt;=Overview!$B$5,"REVIEW","OK")))</f>
        <v>OK</v>
      </c>
      <c r="S616" s="33">
        <f t="shared" si="49"/>
        <v>3294.0006159999998</v>
      </c>
    </row>
    <row r="617" spans="1:19" x14ac:dyDescent="0.2">
      <c r="A617" s="17">
        <v>615</v>
      </c>
      <c r="B617" s="17" t="s">
        <v>171</v>
      </c>
      <c r="C617" s="17" t="s">
        <v>338</v>
      </c>
      <c r="D617" s="17" t="s">
        <v>62</v>
      </c>
      <c r="E617" s="17" t="s">
        <v>101</v>
      </c>
      <c r="F617" s="17" t="s">
        <v>341</v>
      </c>
      <c r="G617" s="17" t="s">
        <v>406</v>
      </c>
      <c r="H617" s="30">
        <v>0</v>
      </c>
      <c r="I617" s="30">
        <v>2000</v>
      </c>
      <c r="J617" s="30">
        <v>0</v>
      </c>
      <c r="K617" s="30">
        <v>0</v>
      </c>
      <c r="L617" s="30">
        <v>0</v>
      </c>
      <c r="M617" s="31">
        <f t="shared" si="45"/>
        <v>-2000</v>
      </c>
      <c r="N617" s="32">
        <f t="shared" si="46"/>
        <v>-1</v>
      </c>
      <c r="O617" s="6" t="str">
        <f>IF(ABS(M617)&lt;Overview!$B$6,"OK",IF(I617=0,"REVIEW (zero base)",IF(ABS(M617/ABS(I617))&gt;=Overview!$B$5,"REVIEW","OK")))</f>
        <v>OK</v>
      </c>
      <c r="P617" s="31">
        <f t="shared" si="47"/>
        <v>0</v>
      </c>
      <c r="Q617" s="32" t="str">
        <f t="shared" si="48"/>
        <v>n/a</v>
      </c>
      <c r="R617" s="6" t="str">
        <f>IF(ABS(P617)&lt;Overview!$B$6,"OK",IF(J617=0,"REVIEW (zero base)",IF(ABS(P617/ABS(J617))&gt;=Overview!$B$5,"REVIEW","OK")))</f>
        <v>OK</v>
      </c>
      <c r="S617" s="33">
        <f t="shared" si="49"/>
        <v>2000.0006169999999</v>
      </c>
    </row>
    <row r="618" spans="1:19" x14ac:dyDescent="0.2">
      <c r="A618" s="17">
        <v>616</v>
      </c>
      <c r="B618" s="17" t="s">
        <v>171</v>
      </c>
      <c r="C618" s="17" t="s">
        <v>338</v>
      </c>
      <c r="D618" s="17" t="s">
        <v>62</v>
      </c>
      <c r="E618" s="17" t="s">
        <v>101</v>
      </c>
      <c r="F618" s="17" t="s">
        <v>341</v>
      </c>
      <c r="G618" s="17" t="s">
        <v>375</v>
      </c>
      <c r="H618" s="30">
        <v>28942</v>
      </c>
      <c r="I618" s="30">
        <v>35693</v>
      </c>
      <c r="J618" s="30">
        <v>36400</v>
      </c>
      <c r="K618" s="30">
        <v>36400</v>
      </c>
      <c r="L618" s="30">
        <v>36400</v>
      </c>
      <c r="M618" s="31">
        <f t="shared" si="45"/>
        <v>707</v>
      </c>
      <c r="N618" s="32">
        <f t="shared" si="46"/>
        <v>1.980780545204942E-2</v>
      </c>
      <c r="O618" s="6" t="str">
        <f>IF(ABS(M618)&lt;Overview!$B$6,"OK",IF(I618=0,"REVIEW (zero base)",IF(ABS(M618/ABS(I618))&gt;=Overview!$B$5,"REVIEW","OK")))</f>
        <v>OK</v>
      </c>
      <c r="P618" s="31">
        <f t="shared" si="47"/>
        <v>0</v>
      </c>
      <c r="Q618" s="32">
        <f t="shared" si="48"/>
        <v>0</v>
      </c>
      <c r="R618" s="6" t="str">
        <f>IF(ABS(P618)&lt;Overview!$B$6,"OK",IF(J618=0,"REVIEW (zero base)",IF(ABS(P618/ABS(J618))&gt;=Overview!$B$5,"REVIEW","OK")))</f>
        <v>OK</v>
      </c>
      <c r="S618" s="33">
        <f t="shared" si="49"/>
        <v>707.00061800000003</v>
      </c>
    </row>
    <row r="619" spans="1:19" x14ac:dyDescent="0.2">
      <c r="A619" s="17">
        <v>617</v>
      </c>
      <c r="B619" s="17" t="s">
        <v>171</v>
      </c>
      <c r="C619" s="17" t="s">
        <v>338</v>
      </c>
      <c r="D619" s="17" t="s">
        <v>62</v>
      </c>
      <c r="E619" s="17" t="s">
        <v>101</v>
      </c>
      <c r="F619" s="17" t="s">
        <v>341</v>
      </c>
      <c r="G619" s="17" t="s">
        <v>376</v>
      </c>
      <c r="H619" s="30">
        <v>176121</v>
      </c>
      <c r="I619" s="30">
        <v>182281</v>
      </c>
      <c r="J619" s="30">
        <v>170256</v>
      </c>
      <c r="K619" s="30">
        <v>189936</v>
      </c>
      <c r="L619" s="30">
        <v>199870</v>
      </c>
      <c r="M619" s="31">
        <f t="shared" si="45"/>
        <v>-12025</v>
      </c>
      <c r="N619" s="32">
        <f t="shared" si="46"/>
        <v>-6.5969574448242002E-2</v>
      </c>
      <c r="O619" s="6" t="str">
        <f>IF(ABS(M619)&lt;Overview!$B$6,"OK",IF(I619=0,"REVIEW (zero base)",IF(ABS(M619/ABS(I619))&gt;=Overview!$B$5,"REVIEW","OK")))</f>
        <v>OK</v>
      </c>
      <c r="P619" s="31">
        <f t="shared" si="47"/>
        <v>19680</v>
      </c>
      <c r="Q619" s="32">
        <f t="shared" si="48"/>
        <v>0.11559063997744573</v>
      </c>
      <c r="R619" s="6" t="str">
        <f>IF(ABS(P619)&lt;Overview!$B$6,"OK",IF(J619=0,"REVIEW (zero base)",IF(ABS(P619/ABS(J619))&gt;=Overview!$B$5,"REVIEW","OK")))</f>
        <v>OK</v>
      </c>
      <c r="S619" s="33">
        <f t="shared" si="49"/>
        <v>12025.000619</v>
      </c>
    </row>
    <row r="620" spans="1:19" x14ac:dyDescent="0.2">
      <c r="A620" s="17">
        <v>618</v>
      </c>
      <c r="B620" s="17" t="s">
        <v>171</v>
      </c>
      <c r="C620" s="17" t="s">
        <v>338</v>
      </c>
      <c r="D620" s="17" t="s">
        <v>62</v>
      </c>
      <c r="E620" s="17" t="s">
        <v>101</v>
      </c>
      <c r="F620" s="17" t="s">
        <v>341</v>
      </c>
      <c r="G620" s="17" t="s">
        <v>343</v>
      </c>
      <c r="H620" s="30">
        <v>45859</v>
      </c>
      <c r="I620" s="30">
        <v>47604</v>
      </c>
      <c r="J620" s="30">
        <v>52453</v>
      </c>
      <c r="K620" s="30">
        <v>57010</v>
      </c>
      <c r="L620" s="30">
        <v>57580</v>
      </c>
      <c r="M620" s="31">
        <f t="shared" si="45"/>
        <v>4849</v>
      </c>
      <c r="N620" s="32">
        <f t="shared" si="46"/>
        <v>0.10186118813545081</v>
      </c>
      <c r="O620" s="6" t="str">
        <f>IF(ABS(M620)&lt;Overview!$B$6,"OK",IF(I620=0,"REVIEW (zero base)",IF(ABS(M620/ABS(I620))&gt;=Overview!$B$5,"REVIEW","OK")))</f>
        <v>OK</v>
      </c>
      <c r="P620" s="31">
        <f t="shared" si="47"/>
        <v>4557</v>
      </c>
      <c r="Q620" s="32">
        <f t="shared" si="48"/>
        <v>8.6877776294968831E-2</v>
      </c>
      <c r="R620" s="6" t="str">
        <f>IF(ABS(P620)&lt;Overview!$B$6,"OK",IF(J620=0,"REVIEW (zero base)",IF(ABS(P620/ABS(J620))&gt;=Overview!$B$5,"REVIEW","OK")))</f>
        <v>OK</v>
      </c>
      <c r="S620" s="33">
        <f t="shared" si="49"/>
        <v>4849.0006199999998</v>
      </c>
    </row>
    <row r="621" spans="1:19" x14ac:dyDescent="0.2">
      <c r="A621" s="17">
        <v>619</v>
      </c>
      <c r="B621" s="17" t="s">
        <v>171</v>
      </c>
      <c r="C621" s="17" t="s">
        <v>338</v>
      </c>
      <c r="D621" s="17" t="s">
        <v>62</v>
      </c>
      <c r="E621" s="17" t="s">
        <v>101</v>
      </c>
      <c r="F621" s="17" t="s">
        <v>341</v>
      </c>
      <c r="G621" s="17" t="s">
        <v>396</v>
      </c>
      <c r="H621" s="30">
        <v>1196</v>
      </c>
      <c r="I621" s="30">
        <v>755</v>
      </c>
      <c r="J621" s="30">
        <v>2000</v>
      </c>
      <c r="K621" s="30">
        <v>0</v>
      </c>
      <c r="L621" s="30">
        <v>0</v>
      </c>
      <c r="M621" s="31">
        <f t="shared" si="45"/>
        <v>1245</v>
      </c>
      <c r="N621" s="32">
        <f t="shared" si="46"/>
        <v>1.6490066225165563</v>
      </c>
      <c r="O621" s="6" t="str">
        <f>IF(ABS(M621)&lt;Overview!$B$6,"OK",IF(I621=0,"REVIEW (zero base)",IF(ABS(M621/ABS(I621))&gt;=Overview!$B$5,"REVIEW","OK")))</f>
        <v>OK</v>
      </c>
      <c r="P621" s="31">
        <f t="shared" si="47"/>
        <v>-2000</v>
      </c>
      <c r="Q621" s="32">
        <f t="shared" si="48"/>
        <v>-1</v>
      </c>
      <c r="R621" s="6" t="str">
        <f>IF(ABS(P621)&lt;Overview!$B$6,"OK",IF(J621=0,"REVIEW (zero base)",IF(ABS(P621/ABS(J621))&gt;=Overview!$B$5,"REVIEW","OK")))</f>
        <v>OK</v>
      </c>
      <c r="S621" s="33">
        <f t="shared" si="49"/>
        <v>1245.0006209999999</v>
      </c>
    </row>
    <row r="622" spans="1:19" x14ac:dyDescent="0.2">
      <c r="A622" s="17">
        <v>620</v>
      </c>
      <c r="B622" s="17" t="s">
        <v>171</v>
      </c>
      <c r="C622" s="17" t="s">
        <v>338</v>
      </c>
      <c r="D622" s="17" t="s">
        <v>62</v>
      </c>
      <c r="E622" s="17" t="s">
        <v>101</v>
      </c>
      <c r="F622" s="17" t="s">
        <v>341</v>
      </c>
      <c r="G622" s="17" t="s">
        <v>378</v>
      </c>
      <c r="H622" s="30">
        <v>23826</v>
      </c>
      <c r="I622" s="30">
        <v>26940</v>
      </c>
      <c r="J622" s="30">
        <v>27520</v>
      </c>
      <c r="K622" s="30">
        <v>29120</v>
      </c>
      <c r="L622" s="30">
        <v>30410</v>
      </c>
      <c r="M622" s="31">
        <f t="shared" si="45"/>
        <v>580</v>
      </c>
      <c r="N622" s="32">
        <f t="shared" si="46"/>
        <v>2.1529324424647365E-2</v>
      </c>
      <c r="O622" s="6" t="str">
        <f>IF(ABS(M622)&lt;Overview!$B$6,"OK",IF(I622=0,"REVIEW (zero base)",IF(ABS(M622/ABS(I622))&gt;=Overview!$B$5,"REVIEW","OK")))</f>
        <v>OK</v>
      </c>
      <c r="P622" s="31">
        <f t="shared" si="47"/>
        <v>1600</v>
      </c>
      <c r="Q622" s="32">
        <f t="shared" si="48"/>
        <v>5.8139534883720929E-2</v>
      </c>
      <c r="R622" s="6" t="str">
        <f>IF(ABS(P622)&lt;Overview!$B$6,"OK",IF(J622=0,"REVIEW (zero base)",IF(ABS(P622/ABS(J622))&gt;=Overview!$B$5,"REVIEW","OK")))</f>
        <v>OK</v>
      </c>
      <c r="S622" s="33">
        <f t="shared" si="49"/>
        <v>580.00062200000002</v>
      </c>
    </row>
    <row r="623" spans="1:19" x14ac:dyDescent="0.2">
      <c r="A623" s="17">
        <v>621</v>
      </c>
      <c r="B623" s="17" t="s">
        <v>171</v>
      </c>
      <c r="C623" s="17" t="s">
        <v>338</v>
      </c>
      <c r="D623" s="17" t="s">
        <v>62</v>
      </c>
      <c r="E623" s="17" t="s">
        <v>101</v>
      </c>
      <c r="F623" s="17" t="s">
        <v>341</v>
      </c>
      <c r="G623" s="17" t="s">
        <v>344</v>
      </c>
      <c r="H623" s="30">
        <v>142178</v>
      </c>
      <c r="I623" s="30">
        <v>130966</v>
      </c>
      <c r="J623" s="30">
        <v>175159</v>
      </c>
      <c r="K623" s="30">
        <v>192624</v>
      </c>
      <c r="L623" s="30">
        <v>196476</v>
      </c>
      <c r="M623" s="31">
        <f t="shared" si="45"/>
        <v>44193</v>
      </c>
      <c r="N623" s="32">
        <f t="shared" si="46"/>
        <v>0.3374387245544645</v>
      </c>
      <c r="O623" s="6" t="str">
        <f>IF(ABS(M623)&lt;Overview!$B$6,"OK",IF(I623=0,"REVIEW (zero base)",IF(ABS(M623/ABS(I623))&gt;=Overview!$B$5,"REVIEW","OK")))</f>
        <v>OK</v>
      </c>
      <c r="P623" s="31">
        <f t="shared" si="47"/>
        <v>17465</v>
      </c>
      <c r="Q623" s="32">
        <f t="shared" si="48"/>
        <v>9.9709406881747439E-2</v>
      </c>
      <c r="R623" s="6" t="str">
        <f>IF(ABS(P623)&lt;Overview!$B$6,"OK",IF(J623=0,"REVIEW (zero base)",IF(ABS(P623/ABS(J623))&gt;=Overview!$B$5,"REVIEW","OK")))</f>
        <v>OK</v>
      </c>
      <c r="S623" s="33">
        <f t="shared" si="49"/>
        <v>44193.000623</v>
      </c>
    </row>
    <row r="624" spans="1:19" x14ac:dyDescent="0.2">
      <c r="A624" s="17">
        <v>622</v>
      </c>
      <c r="B624" s="17" t="s">
        <v>171</v>
      </c>
      <c r="C624" s="17" t="s">
        <v>338</v>
      </c>
      <c r="D624" s="17" t="s">
        <v>62</v>
      </c>
      <c r="E624" s="17" t="s">
        <v>101</v>
      </c>
      <c r="F624" s="17" t="s">
        <v>364</v>
      </c>
      <c r="G624" s="17" t="s">
        <v>383</v>
      </c>
      <c r="H624" s="30">
        <v>4072</v>
      </c>
      <c r="I624" s="30">
        <v>4481</v>
      </c>
      <c r="J624" s="30">
        <v>6000</v>
      </c>
      <c r="K624" s="30">
        <v>6000</v>
      </c>
      <c r="L624" s="30">
        <v>6000</v>
      </c>
      <c r="M624" s="31">
        <f t="shared" si="45"/>
        <v>1519</v>
      </c>
      <c r="N624" s="32">
        <f t="shared" si="46"/>
        <v>0.33898683329613927</v>
      </c>
      <c r="O624" s="6" t="str">
        <f>IF(ABS(M624)&lt;Overview!$B$6,"OK",IF(I624=0,"REVIEW (zero base)",IF(ABS(M624/ABS(I624))&gt;=Overview!$B$5,"REVIEW","OK")))</f>
        <v>OK</v>
      </c>
      <c r="P624" s="31">
        <f t="shared" si="47"/>
        <v>0</v>
      </c>
      <c r="Q624" s="32">
        <f t="shared" si="48"/>
        <v>0</v>
      </c>
      <c r="R624" s="6" t="str">
        <f>IF(ABS(P624)&lt;Overview!$B$6,"OK",IF(J624=0,"REVIEW (zero base)",IF(ABS(P624/ABS(J624))&gt;=Overview!$B$5,"REVIEW","OK")))</f>
        <v>OK</v>
      </c>
      <c r="S624" s="33">
        <f t="shared" si="49"/>
        <v>1519.000624</v>
      </c>
    </row>
    <row r="625" spans="1:19" x14ac:dyDescent="0.2">
      <c r="A625" s="17">
        <v>623</v>
      </c>
      <c r="B625" s="17" t="s">
        <v>171</v>
      </c>
      <c r="C625" s="17" t="s">
        <v>338</v>
      </c>
      <c r="D625" s="17" t="s">
        <v>62</v>
      </c>
      <c r="E625" s="17" t="s">
        <v>101</v>
      </c>
      <c r="F625" s="17" t="s">
        <v>364</v>
      </c>
      <c r="G625" s="17" t="s">
        <v>397</v>
      </c>
      <c r="H625" s="30">
        <v>20134</v>
      </c>
      <c r="I625" s="30">
        <v>19235</v>
      </c>
      <c r="J625" s="30">
        <v>20000</v>
      </c>
      <c r="K625" s="30">
        <v>26244</v>
      </c>
      <c r="L625" s="30">
        <v>26428</v>
      </c>
      <c r="M625" s="31">
        <f t="shared" si="45"/>
        <v>765</v>
      </c>
      <c r="N625" s="32">
        <f t="shared" si="46"/>
        <v>3.9771250324928516E-2</v>
      </c>
      <c r="O625" s="6" t="str">
        <f>IF(ABS(M625)&lt;Overview!$B$6,"OK",IF(I625=0,"REVIEW (zero base)",IF(ABS(M625/ABS(I625))&gt;=Overview!$B$5,"REVIEW","OK")))</f>
        <v>OK</v>
      </c>
      <c r="P625" s="31">
        <f t="shared" si="47"/>
        <v>6244</v>
      </c>
      <c r="Q625" s="32">
        <f t="shared" si="48"/>
        <v>0.31219999999999998</v>
      </c>
      <c r="R625" s="6" t="str">
        <f>IF(ABS(P625)&lt;Overview!$B$6,"OK",IF(J625=0,"REVIEW (zero base)",IF(ABS(P625/ABS(J625))&gt;=Overview!$B$5,"REVIEW","OK")))</f>
        <v>OK</v>
      </c>
      <c r="S625" s="33">
        <f t="shared" si="49"/>
        <v>765.00062500000001</v>
      </c>
    </row>
    <row r="626" spans="1:19" x14ac:dyDescent="0.2">
      <c r="A626" s="17">
        <v>624</v>
      </c>
      <c r="B626" s="17" t="s">
        <v>171</v>
      </c>
      <c r="C626" s="17" t="s">
        <v>338</v>
      </c>
      <c r="D626" s="17" t="s">
        <v>62</v>
      </c>
      <c r="E626" s="17" t="s">
        <v>101</v>
      </c>
      <c r="F626" s="17" t="s">
        <v>364</v>
      </c>
      <c r="G626" s="17" t="s">
        <v>398</v>
      </c>
      <c r="H626" s="30">
        <v>10547</v>
      </c>
      <c r="I626" s="30">
        <v>3847</v>
      </c>
      <c r="J626" s="30">
        <v>20415</v>
      </c>
      <c r="K626" s="30">
        <v>20415</v>
      </c>
      <c r="L626" s="30">
        <v>20558</v>
      </c>
      <c r="M626" s="31">
        <f t="shared" si="45"/>
        <v>16568</v>
      </c>
      <c r="N626" s="32">
        <f t="shared" si="46"/>
        <v>4.3067325188458536</v>
      </c>
      <c r="O626" s="6" t="str">
        <f>IF(ABS(M626)&lt;Overview!$B$6,"OK",IF(I626=0,"REVIEW (zero base)",IF(ABS(M626/ABS(I626))&gt;=Overview!$B$5,"REVIEW","OK")))</f>
        <v>OK</v>
      </c>
      <c r="P626" s="31">
        <f t="shared" si="47"/>
        <v>0</v>
      </c>
      <c r="Q626" s="32">
        <f t="shared" si="48"/>
        <v>0</v>
      </c>
      <c r="R626" s="6" t="str">
        <f>IF(ABS(P626)&lt;Overview!$B$6,"OK",IF(J626=0,"REVIEW (zero base)",IF(ABS(P626/ABS(J626))&gt;=Overview!$B$5,"REVIEW","OK")))</f>
        <v>OK</v>
      </c>
      <c r="S626" s="33">
        <f t="shared" si="49"/>
        <v>16568.000626000001</v>
      </c>
    </row>
    <row r="627" spans="1:19" x14ac:dyDescent="0.2">
      <c r="A627" s="17">
        <v>625</v>
      </c>
      <c r="B627" s="17" t="s">
        <v>171</v>
      </c>
      <c r="C627" s="17" t="s">
        <v>338</v>
      </c>
      <c r="D627" s="17" t="s">
        <v>62</v>
      </c>
      <c r="E627" s="17" t="s">
        <v>101</v>
      </c>
      <c r="F627" s="17" t="s">
        <v>364</v>
      </c>
      <c r="G627" s="17" t="s">
        <v>399</v>
      </c>
      <c r="H627" s="30">
        <v>0</v>
      </c>
      <c r="I627" s="30">
        <v>0</v>
      </c>
      <c r="J627" s="30">
        <v>1200</v>
      </c>
      <c r="K627" s="30">
        <v>1200</v>
      </c>
      <c r="L627" s="30">
        <v>1208</v>
      </c>
      <c r="M627" s="31">
        <f t="shared" si="45"/>
        <v>1200</v>
      </c>
      <c r="N627" s="32" t="str">
        <f t="shared" si="46"/>
        <v>n/a</v>
      </c>
      <c r="O627" s="6" t="str">
        <f>IF(ABS(M627)&lt;Overview!$B$6,"OK",IF(I627=0,"REVIEW (zero base)",IF(ABS(M627/ABS(I627))&gt;=Overview!$B$5,"REVIEW","OK")))</f>
        <v>OK</v>
      </c>
      <c r="P627" s="31">
        <f t="shared" si="47"/>
        <v>0</v>
      </c>
      <c r="Q627" s="32">
        <f t="shared" si="48"/>
        <v>0</v>
      </c>
      <c r="R627" s="6" t="str">
        <f>IF(ABS(P627)&lt;Overview!$B$6,"OK",IF(J627=0,"REVIEW (zero base)",IF(ABS(P627/ABS(J627))&gt;=Overview!$B$5,"REVIEW","OK")))</f>
        <v>OK</v>
      </c>
      <c r="S627" s="33">
        <f t="shared" si="49"/>
        <v>1200.0006269999999</v>
      </c>
    </row>
    <row r="628" spans="1:19" x14ac:dyDescent="0.2">
      <c r="A628" s="17">
        <v>626</v>
      </c>
      <c r="B628" s="17" t="s">
        <v>171</v>
      </c>
      <c r="C628" s="17" t="s">
        <v>338</v>
      </c>
      <c r="D628" s="17" t="s">
        <v>62</v>
      </c>
      <c r="E628" s="17" t="s">
        <v>101</v>
      </c>
      <c r="F628" s="17" t="s">
        <v>400</v>
      </c>
      <c r="G628" s="17" t="s">
        <v>401</v>
      </c>
      <c r="H628" s="30">
        <v>0</v>
      </c>
      <c r="I628" s="30">
        <v>7299</v>
      </c>
      <c r="J628" s="30">
        <v>17000</v>
      </c>
      <c r="K628" s="30">
        <v>12000</v>
      </c>
      <c r="L628" s="30">
        <v>12000</v>
      </c>
      <c r="M628" s="31">
        <f t="shared" si="45"/>
        <v>9701</v>
      </c>
      <c r="N628" s="32">
        <f t="shared" si="46"/>
        <v>1.3290861761885189</v>
      </c>
      <c r="O628" s="6" t="str">
        <f>IF(ABS(M628)&lt;Overview!$B$6,"OK",IF(I628=0,"REVIEW (zero base)",IF(ABS(M628/ABS(I628))&gt;=Overview!$B$5,"REVIEW","OK")))</f>
        <v>OK</v>
      </c>
      <c r="P628" s="31">
        <f t="shared" si="47"/>
        <v>-5000</v>
      </c>
      <c r="Q628" s="32">
        <f t="shared" si="48"/>
        <v>-0.29411764705882354</v>
      </c>
      <c r="R628" s="6" t="str">
        <f>IF(ABS(P628)&lt;Overview!$B$6,"OK",IF(J628=0,"REVIEW (zero base)",IF(ABS(P628/ABS(J628))&gt;=Overview!$B$5,"REVIEW","OK")))</f>
        <v>OK</v>
      </c>
      <c r="S628" s="33">
        <f t="shared" si="49"/>
        <v>9701.0006279999998</v>
      </c>
    </row>
    <row r="629" spans="1:19" x14ac:dyDescent="0.2">
      <c r="A629" s="17">
        <v>627</v>
      </c>
      <c r="B629" s="17" t="s">
        <v>171</v>
      </c>
      <c r="C629" s="17" t="s">
        <v>338</v>
      </c>
      <c r="D629" s="17" t="s">
        <v>62</v>
      </c>
      <c r="E629" s="17" t="s">
        <v>101</v>
      </c>
      <c r="F629" s="17" t="s">
        <v>414</v>
      </c>
      <c r="G629" s="17" t="s">
        <v>415</v>
      </c>
      <c r="H629" s="30">
        <v>0</v>
      </c>
      <c r="I629" s="30">
        <v>2117</v>
      </c>
      <c r="J629" s="30">
        <v>0</v>
      </c>
      <c r="K629" s="30">
        <v>0</v>
      </c>
      <c r="L629" s="30">
        <v>0</v>
      </c>
      <c r="M629" s="31">
        <f t="shared" si="45"/>
        <v>-2117</v>
      </c>
      <c r="N629" s="32">
        <f t="shared" si="46"/>
        <v>-1</v>
      </c>
      <c r="O629" s="6" t="str">
        <f>IF(ABS(M629)&lt;Overview!$B$6,"OK",IF(I629=0,"REVIEW (zero base)",IF(ABS(M629/ABS(I629))&gt;=Overview!$B$5,"REVIEW","OK")))</f>
        <v>OK</v>
      </c>
      <c r="P629" s="31">
        <f t="shared" si="47"/>
        <v>0</v>
      </c>
      <c r="Q629" s="32" t="str">
        <f t="shared" si="48"/>
        <v>n/a</v>
      </c>
      <c r="R629" s="6" t="str">
        <f>IF(ABS(P629)&lt;Overview!$B$6,"OK",IF(J629=0,"REVIEW (zero base)",IF(ABS(P629/ABS(J629))&gt;=Overview!$B$5,"REVIEW","OK")))</f>
        <v>OK</v>
      </c>
      <c r="S629" s="33">
        <f t="shared" si="49"/>
        <v>2117.0006290000001</v>
      </c>
    </row>
    <row r="630" spans="1:19" x14ac:dyDescent="0.2">
      <c r="A630" s="17">
        <v>628</v>
      </c>
      <c r="B630" s="17" t="s">
        <v>171</v>
      </c>
      <c r="C630" s="17" t="s">
        <v>338</v>
      </c>
      <c r="D630" s="17" t="s">
        <v>62</v>
      </c>
      <c r="E630" s="17" t="s">
        <v>101</v>
      </c>
      <c r="F630" s="17" t="s">
        <v>404</v>
      </c>
      <c r="G630" s="17" t="s">
        <v>405</v>
      </c>
      <c r="H630" s="30">
        <v>11385</v>
      </c>
      <c r="I630" s="30">
        <v>12963</v>
      </c>
      <c r="J630" s="30">
        <v>12000</v>
      </c>
      <c r="K630" s="30">
        <v>12000</v>
      </c>
      <c r="L630" s="30">
        <v>12084</v>
      </c>
      <c r="M630" s="31">
        <f t="shared" si="45"/>
        <v>-963</v>
      </c>
      <c r="N630" s="32">
        <f t="shared" si="46"/>
        <v>-7.4288359176116633E-2</v>
      </c>
      <c r="O630" s="6" t="str">
        <f>IF(ABS(M630)&lt;Overview!$B$6,"OK",IF(I630=0,"REVIEW (zero base)",IF(ABS(M630/ABS(I630))&gt;=Overview!$B$5,"REVIEW","OK")))</f>
        <v>OK</v>
      </c>
      <c r="P630" s="31">
        <f t="shared" si="47"/>
        <v>0</v>
      </c>
      <c r="Q630" s="32">
        <f t="shared" si="48"/>
        <v>0</v>
      </c>
      <c r="R630" s="6" t="str">
        <f>IF(ABS(P630)&lt;Overview!$B$6,"OK",IF(J630=0,"REVIEW (zero base)",IF(ABS(P630/ABS(J630))&gt;=Overview!$B$5,"REVIEW","OK")))</f>
        <v>OK</v>
      </c>
      <c r="S630" s="33">
        <f t="shared" si="49"/>
        <v>963.00063</v>
      </c>
    </row>
    <row r="631" spans="1:19" x14ac:dyDescent="0.2">
      <c r="A631" s="17">
        <v>629</v>
      </c>
      <c r="B631" s="17" t="s">
        <v>171</v>
      </c>
      <c r="C631" s="17" t="s">
        <v>338</v>
      </c>
      <c r="D631" s="17" t="s">
        <v>62</v>
      </c>
      <c r="E631" s="17" t="s">
        <v>101</v>
      </c>
      <c r="F631" s="17" t="s">
        <v>420</v>
      </c>
      <c r="G631" s="17" t="s">
        <v>421</v>
      </c>
      <c r="H631" s="30">
        <v>315332</v>
      </c>
      <c r="I631" s="30">
        <v>359998</v>
      </c>
      <c r="J631" s="30">
        <v>384000</v>
      </c>
      <c r="K631" s="30">
        <v>395520</v>
      </c>
      <c r="L631" s="30">
        <v>398289</v>
      </c>
      <c r="M631" s="31">
        <f t="shared" si="45"/>
        <v>24002</v>
      </c>
      <c r="N631" s="32">
        <f t="shared" si="46"/>
        <v>6.6672592625514587E-2</v>
      </c>
      <c r="O631" s="6" t="str">
        <f>IF(ABS(M631)&lt;Overview!$B$6,"OK",IF(I631=0,"REVIEW (zero base)",IF(ABS(M631/ABS(I631))&gt;=Overview!$B$5,"REVIEW","OK")))</f>
        <v>OK</v>
      </c>
      <c r="P631" s="31">
        <f t="shared" si="47"/>
        <v>11520</v>
      </c>
      <c r="Q631" s="32">
        <f t="shared" si="48"/>
        <v>0.03</v>
      </c>
      <c r="R631" s="6" t="str">
        <f>IF(ABS(P631)&lt;Overview!$B$6,"OK",IF(J631=0,"REVIEW (zero base)",IF(ABS(P631/ABS(J631))&gt;=Overview!$B$5,"REVIEW","OK")))</f>
        <v>OK</v>
      </c>
      <c r="S631" s="33">
        <f t="shared" si="49"/>
        <v>24002.000630999999</v>
      </c>
    </row>
    <row r="632" spans="1:19" x14ac:dyDescent="0.2">
      <c r="A632" s="17">
        <v>630</v>
      </c>
      <c r="B632" s="17" t="s">
        <v>171</v>
      </c>
      <c r="C632" s="17" t="s">
        <v>338</v>
      </c>
      <c r="D632" s="17" t="s">
        <v>62</v>
      </c>
      <c r="E632" s="17" t="s">
        <v>101</v>
      </c>
      <c r="F632" s="17" t="s">
        <v>407</v>
      </c>
      <c r="G632" s="17" t="s">
        <v>427</v>
      </c>
      <c r="H632" s="30">
        <v>5110</v>
      </c>
      <c r="I632" s="30">
        <v>325</v>
      </c>
      <c r="J632" s="30">
        <v>0</v>
      </c>
      <c r="K632" s="30">
        <v>0</v>
      </c>
      <c r="L632" s="30">
        <v>0</v>
      </c>
      <c r="M632" s="31">
        <f t="shared" si="45"/>
        <v>-325</v>
      </c>
      <c r="N632" s="32">
        <f t="shared" si="46"/>
        <v>-1</v>
      </c>
      <c r="O632" s="6" t="str">
        <f>IF(ABS(M632)&lt;Overview!$B$6,"OK",IF(I632=0,"REVIEW (zero base)",IF(ABS(M632/ABS(I632))&gt;=Overview!$B$5,"REVIEW","OK")))</f>
        <v>OK</v>
      </c>
      <c r="P632" s="31">
        <f t="shared" si="47"/>
        <v>0</v>
      </c>
      <c r="Q632" s="32" t="str">
        <f t="shared" si="48"/>
        <v>n/a</v>
      </c>
      <c r="R632" s="6" t="str">
        <f>IF(ABS(P632)&lt;Overview!$B$6,"OK",IF(J632=0,"REVIEW (zero base)",IF(ABS(P632/ABS(J632))&gt;=Overview!$B$5,"REVIEW","OK")))</f>
        <v>OK</v>
      </c>
      <c r="S632" s="33">
        <f t="shared" si="49"/>
        <v>325.000632</v>
      </c>
    </row>
    <row r="633" spans="1:19" x14ac:dyDescent="0.2">
      <c r="A633" s="17">
        <v>631</v>
      </c>
      <c r="B633" s="17" t="s">
        <v>171</v>
      </c>
      <c r="C633" s="17" t="s">
        <v>338</v>
      </c>
      <c r="D633" s="17" t="s">
        <v>62</v>
      </c>
      <c r="E633" s="17" t="s">
        <v>101</v>
      </c>
      <c r="F633" s="17" t="s">
        <v>384</v>
      </c>
      <c r="G633" s="17" t="s">
        <v>459</v>
      </c>
      <c r="H633" s="30">
        <v>14192</v>
      </c>
      <c r="I633" s="30">
        <v>9338</v>
      </c>
      <c r="J633" s="30">
        <v>14004</v>
      </c>
      <c r="K633" s="30">
        <v>14008</v>
      </c>
      <c r="L633" s="30">
        <v>14106</v>
      </c>
      <c r="M633" s="31">
        <f t="shared" si="45"/>
        <v>4666</v>
      </c>
      <c r="N633" s="32">
        <f t="shared" si="46"/>
        <v>0.49967873206254015</v>
      </c>
      <c r="O633" s="6" t="str">
        <f>IF(ABS(M633)&lt;Overview!$B$6,"OK",IF(I633=0,"REVIEW (zero base)",IF(ABS(M633/ABS(I633))&gt;=Overview!$B$5,"REVIEW","OK")))</f>
        <v>OK</v>
      </c>
      <c r="P633" s="31">
        <f t="shared" si="47"/>
        <v>4</v>
      </c>
      <c r="Q633" s="32">
        <f t="shared" si="48"/>
        <v>2.8563267637817766E-4</v>
      </c>
      <c r="R633" s="6" t="str">
        <f>IF(ABS(P633)&lt;Overview!$B$6,"OK",IF(J633=0,"REVIEW (zero base)",IF(ABS(P633/ABS(J633))&gt;=Overview!$B$5,"REVIEW","OK")))</f>
        <v>OK</v>
      </c>
      <c r="S633" s="33">
        <f t="shared" si="49"/>
        <v>4666.0006329999997</v>
      </c>
    </row>
    <row r="634" spans="1:19" x14ac:dyDescent="0.2">
      <c r="A634" s="17">
        <v>632</v>
      </c>
      <c r="B634" s="17" t="s">
        <v>171</v>
      </c>
      <c r="C634" s="17" t="s">
        <v>338</v>
      </c>
      <c r="D634" s="17" t="s">
        <v>62</v>
      </c>
      <c r="E634" s="17" t="s">
        <v>101</v>
      </c>
      <c r="F634" s="17" t="s">
        <v>409</v>
      </c>
      <c r="G634" s="17" t="s">
        <v>410</v>
      </c>
      <c r="H634" s="30">
        <v>298321</v>
      </c>
      <c r="I634" s="30">
        <v>94738</v>
      </c>
      <c r="J634" s="30">
        <v>255000</v>
      </c>
      <c r="K634" s="30">
        <v>150000</v>
      </c>
      <c r="L634" s="30">
        <v>151050</v>
      </c>
      <c r="M634" s="31">
        <f t="shared" si="45"/>
        <v>160262</v>
      </c>
      <c r="N634" s="32">
        <f t="shared" si="46"/>
        <v>1.691633768920602</v>
      </c>
      <c r="O634" s="6" t="str">
        <f>IF(ABS(M634)&lt;Overview!$B$6,"OK",IF(I634=0,"REVIEW (zero base)",IF(ABS(M634/ABS(I634))&gt;=Overview!$B$5,"REVIEW","OK")))</f>
        <v>OK</v>
      </c>
      <c r="P634" s="31">
        <f t="shared" si="47"/>
        <v>-105000</v>
      </c>
      <c r="Q634" s="32">
        <f t="shared" si="48"/>
        <v>-0.41176470588235292</v>
      </c>
      <c r="R634" s="6" t="str">
        <f>IF(ABS(P634)&lt;Overview!$B$6,"OK",IF(J634=0,"REVIEW (zero base)",IF(ABS(P634/ABS(J634))&gt;=Overview!$B$5,"REVIEW","OK")))</f>
        <v>OK</v>
      </c>
      <c r="S634" s="33">
        <f t="shared" si="49"/>
        <v>160262.000634</v>
      </c>
    </row>
    <row r="635" spans="1:19" x14ac:dyDescent="0.2">
      <c r="A635" s="17">
        <v>633</v>
      </c>
      <c r="B635" s="17" t="s">
        <v>171</v>
      </c>
      <c r="C635" s="17" t="s">
        <v>338</v>
      </c>
      <c r="D635" s="17" t="s">
        <v>62</v>
      </c>
      <c r="E635" s="17" t="s">
        <v>101</v>
      </c>
      <c r="F635" s="17" t="s">
        <v>347</v>
      </c>
      <c r="G635" s="17" t="s">
        <v>348</v>
      </c>
      <c r="H635" s="30">
        <v>9681</v>
      </c>
      <c r="I635" s="30">
        <v>12903</v>
      </c>
      <c r="J635" s="30">
        <v>15000</v>
      </c>
      <c r="K635" s="30">
        <v>15000</v>
      </c>
      <c r="L635" s="30">
        <v>15105</v>
      </c>
      <c r="M635" s="31">
        <f t="shared" si="45"/>
        <v>2097</v>
      </c>
      <c r="N635" s="32">
        <f t="shared" si="46"/>
        <v>0.16252034410602187</v>
      </c>
      <c r="O635" s="6" t="str">
        <f>IF(ABS(M635)&lt;Overview!$B$6,"OK",IF(I635=0,"REVIEW (zero base)",IF(ABS(M635/ABS(I635))&gt;=Overview!$B$5,"REVIEW","OK")))</f>
        <v>OK</v>
      </c>
      <c r="P635" s="31">
        <f t="shared" si="47"/>
        <v>0</v>
      </c>
      <c r="Q635" s="32">
        <f t="shared" si="48"/>
        <v>0</v>
      </c>
      <c r="R635" s="6" t="str">
        <f>IF(ABS(P635)&lt;Overview!$B$6,"OK",IF(J635=0,"REVIEW (zero base)",IF(ABS(P635/ABS(J635))&gt;=Overview!$B$5,"REVIEW","OK")))</f>
        <v>OK</v>
      </c>
      <c r="S635" s="33">
        <f t="shared" si="49"/>
        <v>2097.0006349999999</v>
      </c>
    </row>
    <row r="636" spans="1:19" x14ac:dyDescent="0.2">
      <c r="A636" s="17">
        <v>634</v>
      </c>
      <c r="B636" s="17" t="s">
        <v>171</v>
      </c>
      <c r="C636" s="17" t="s">
        <v>338</v>
      </c>
      <c r="D636" s="17" t="s">
        <v>62</v>
      </c>
      <c r="E636" s="17" t="s">
        <v>101</v>
      </c>
      <c r="F636" s="17" t="s">
        <v>386</v>
      </c>
      <c r="G636" s="17" t="s">
        <v>387</v>
      </c>
      <c r="H636" s="30">
        <v>1589</v>
      </c>
      <c r="I636" s="30">
        <v>2555</v>
      </c>
      <c r="J636" s="30">
        <v>0</v>
      </c>
      <c r="K636" s="30">
        <v>0</v>
      </c>
      <c r="L636" s="30">
        <v>0</v>
      </c>
      <c r="M636" s="31">
        <f t="shared" si="45"/>
        <v>-2555</v>
      </c>
      <c r="N636" s="32">
        <f t="shared" si="46"/>
        <v>-1</v>
      </c>
      <c r="O636" s="6" t="str">
        <f>IF(ABS(M636)&lt;Overview!$B$6,"OK",IF(I636=0,"REVIEW (zero base)",IF(ABS(M636/ABS(I636))&gt;=Overview!$B$5,"REVIEW","OK")))</f>
        <v>OK</v>
      </c>
      <c r="P636" s="31">
        <f t="shared" si="47"/>
        <v>0</v>
      </c>
      <c r="Q636" s="32" t="str">
        <f t="shared" si="48"/>
        <v>n/a</v>
      </c>
      <c r="R636" s="6" t="str">
        <f>IF(ABS(P636)&lt;Overview!$B$6,"OK",IF(J636=0,"REVIEW (zero base)",IF(ABS(P636/ABS(J636))&gt;=Overview!$B$5,"REVIEW","OK")))</f>
        <v>OK</v>
      </c>
      <c r="S636" s="33">
        <f t="shared" si="49"/>
        <v>2555.0006360000002</v>
      </c>
    </row>
    <row r="637" spans="1:19" x14ac:dyDescent="0.2">
      <c r="A637" s="17">
        <v>635</v>
      </c>
      <c r="B637" s="17" t="s">
        <v>171</v>
      </c>
      <c r="C637" s="17" t="s">
        <v>338</v>
      </c>
      <c r="D637" s="17" t="s">
        <v>62</v>
      </c>
      <c r="E637" s="17" t="s">
        <v>103</v>
      </c>
      <c r="F637" s="17" t="s">
        <v>339</v>
      </c>
      <c r="G637" s="17" t="s">
        <v>340</v>
      </c>
      <c r="H637" s="30">
        <v>574523</v>
      </c>
      <c r="I637" s="30">
        <v>683973</v>
      </c>
      <c r="J637" s="30">
        <v>858905</v>
      </c>
      <c r="K637" s="30">
        <v>972254</v>
      </c>
      <c r="L637" s="30">
        <v>981977</v>
      </c>
      <c r="M637" s="31">
        <f t="shared" si="45"/>
        <v>174932</v>
      </c>
      <c r="N637" s="32">
        <f t="shared" si="46"/>
        <v>0.25575863374723856</v>
      </c>
      <c r="O637" s="6" t="str">
        <f>IF(ABS(M637)&lt;Overview!$B$6,"OK",IF(I637=0,"REVIEW (zero base)",IF(ABS(M637/ABS(I637))&gt;=Overview!$B$5,"REVIEW","OK")))</f>
        <v>OK</v>
      </c>
      <c r="P637" s="31">
        <f t="shared" si="47"/>
        <v>113349</v>
      </c>
      <c r="Q637" s="32">
        <f t="shared" si="48"/>
        <v>0.13196919333337215</v>
      </c>
      <c r="R637" s="6" t="str">
        <f>IF(ABS(P637)&lt;Overview!$B$6,"OK",IF(J637=0,"REVIEW (zero base)",IF(ABS(P637/ABS(J637))&gt;=Overview!$B$5,"REVIEW","OK")))</f>
        <v>OK</v>
      </c>
      <c r="S637" s="33">
        <f t="shared" si="49"/>
        <v>174932.00063699999</v>
      </c>
    </row>
    <row r="638" spans="1:19" x14ac:dyDescent="0.2">
      <c r="A638" s="17">
        <v>636</v>
      </c>
      <c r="B638" s="17" t="s">
        <v>171</v>
      </c>
      <c r="C638" s="17" t="s">
        <v>338</v>
      </c>
      <c r="D638" s="17" t="s">
        <v>62</v>
      </c>
      <c r="E638" s="17" t="s">
        <v>103</v>
      </c>
      <c r="F638" s="17" t="s">
        <v>339</v>
      </c>
      <c r="G638" s="17" t="s">
        <v>390</v>
      </c>
      <c r="H638" s="30">
        <v>17152</v>
      </c>
      <c r="I638" s="30">
        <v>8012</v>
      </c>
      <c r="J638" s="30">
        <v>12000</v>
      </c>
      <c r="K638" s="30">
        <v>0</v>
      </c>
      <c r="L638" s="30">
        <v>0</v>
      </c>
      <c r="M638" s="31">
        <f t="shared" si="45"/>
        <v>3988</v>
      </c>
      <c r="N638" s="32">
        <f t="shared" si="46"/>
        <v>0.4977533699450824</v>
      </c>
      <c r="O638" s="6" t="str">
        <f>IF(ABS(M638)&lt;Overview!$B$6,"OK",IF(I638=0,"REVIEW (zero base)",IF(ABS(M638/ABS(I638))&gt;=Overview!$B$5,"REVIEW","OK")))</f>
        <v>OK</v>
      </c>
      <c r="P638" s="31">
        <f t="shared" si="47"/>
        <v>-12000</v>
      </c>
      <c r="Q638" s="32">
        <f t="shared" si="48"/>
        <v>-1</v>
      </c>
      <c r="R638" s="6" t="str">
        <f>IF(ABS(P638)&lt;Overview!$B$6,"OK",IF(J638=0,"REVIEW (zero base)",IF(ABS(P638/ABS(J638))&gt;=Overview!$B$5,"REVIEW","OK")))</f>
        <v>OK</v>
      </c>
      <c r="S638" s="33">
        <f t="shared" si="49"/>
        <v>3988.000638</v>
      </c>
    </row>
    <row r="639" spans="1:19" x14ac:dyDescent="0.2">
      <c r="A639" s="17">
        <v>637</v>
      </c>
      <c r="B639" s="17" t="s">
        <v>171</v>
      </c>
      <c r="C639" s="17" t="s">
        <v>338</v>
      </c>
      <c r="D639" s="17" t="s">
        <v>62</v>
      </c>
      <c r="E639" s="17" t="s">
        <v>103</v>
      </c>
      <c r="F639" s="17" t="s">
        <v>339</v>
      </c>
      <c r="G639" s="17" t="s">
        <v>391</v>
      </c>
      <c r="H639" s="30">
        <v>30482</v>
      </c>
      <c r="I639" s="30">
        <v>36598</v>
      </c>
      <c r="J639" s="30">
        <v>0</v>
      </c>
      <c r="K639" s="30">
        <v>0</v>
      </c>
      <c r="L639" s="30">
        <v>0</v>
      </c>
      <c r="M639" s="31">
        <f t="shared" si="45"/>
        <v>-36598</v>
      </c>
      <c r="N639" s="32">
        <f t="shared" si="46"/>
        <v>-1</v>
      </c>
      <c r="O639" s="6" t="str">
        <f>IF(ABS(M639)&lt;Overview!$B$6,"OK",IF(I639=0,"REVIEW (zero base)",IF(ABS(M639/ABS(I639))&gt;=Overview!$B$5,"REVIEW","OK")))</f>
        <v>OK</v>
      </c>
      <c r="P639" s="31">
        <f t="shared" si="47"/>
        <v>0</v>
      </c>
      <c r="Q639" s="32" t="str">
        <f t="shared" si="48"/>
        <v>n/a</v>
      </c>
      <c r="R639" s="6" t="str">
        <f>IF(ABS(P639)&lt;Overview!$B$6,"OK",IF(J639=0,"REVIEW (zero base)",IF(ABS(P639/ABS(J639))&gt;=Overview!$B$5,"REVIEW","OK")))</f>
        <v>OK</v>
      </c>
      <c r="S639" s="33">
        <f t="shared" si="49"/>
        <v>36598.000638999998</v>
      </c>
    </row>
    <row r="640" spans="1:19" x14ac:dyDescent="0.2">
      <c r="A640" s="17">
        <v>638</v>
      </c>
      <c r="B640" s="17" t="s">
        <v>171</v>
      </c>
      <c r="C640" s="17" t="s">
        <v>338</v>
      </c>
      <c r="D640" s="17" t="s">
        <v>62</v>
      </c>
      <c r="E640" s="17" t="s">
        <v>103</v>
      </c>
      <c r="F640" s="17" t="s">
        <v>339</v>
      </c>
      <c r="G640" s="17" t="s">
        <v>392</v>
      </c>
      <c r="H640" s="30">
        <v>44665</v>
      </c>
      <c r="I640" s="30">
        <v>40727</v>
      </c>
      <c r="J640" s="30">
        <v>0</v>
      </c>
      <c r="K640" s="30">
        <v>0</v>
      </c>
      <c r="L640" s="30">
        <v>0</v>
      </c>
      <c r="M640" s="31">
        <f t="shared" si="45"/>
        <v>-40727</v>
      </c>
      <c r="N640" s="32">
        <f t="shared" si="46"/>
        <v>-1</v>
      </c>
      <c r="O640" s="6" t="str">
        <f>IF(ABS(M640)&lt;Overview!$B$6,"OK",IF(I640=0,"REVIEW (zero base)",IF(ABS(M640/ABS(I640))&gt;=Overview!$B$5,"REVIEW","OK")))</f>
        <v>OK</v>
      </c>
      <c r="P640" s="31">
        <f t="shared" si="47"/>
        <v>0</v>
      </c>
      <c r="Q640" s="32" t="str">
        <f t="shared" si="48"/>
        <v>n/a</v>
      </c>
      <c r="R640" s="6" t="str">
        <f>IF(ABS(P640)&lt;Overview!$B$6,"OK",IF(J640=0,"REVIEW (zero base)",IF(ABS(P640/ABS(J640))&gt;=Overview!$B$5,"REVIEW","OK")))</f>
        <v>OK</v>
      </c>
      <c r="S640" s="33">
        <f t="shared" si="49"/>
        <v>40727.000639999998</v>
      </c>
    </row>
    <row r="641" spans="1:19" x14ac:dyDescent="0.2">
      <c r="A641" s="17">
        <v>639</v>
      </c>
      <c r="B641" s="17" t="s">
        <v>171</v>
      </c>
      <c r="C641" s="17" t="s">
        <v>338</v>
      </c>
      <c r="D641" s="17" t="s">
        <v>62</v>
      </c>
      <c r="E641" s="17" t="s">
        <v>103</v>
      </c>
      <c r="F641" s="17" t="s">
        <v>339</v>
      </c>
      <c r="G641" s="17" t="s">
        <v>393</v>
      </c>
      <c r="H641" s="30">
        <v>5334</v>
      </c>
      <c r="I641" s="30">
        <v>3154</v>
      </c>
      <c r="J641" s="30">
        <v>0</v>
      </c>
      <c r="K641" s="30">
        <v>0</v>
      </c>
      <c r="L641" s="30">
        <v>0</v>
      </c>
      <c r="M641" s="31">
        <f t="shared" si="45"/>
        <v>-3154</v>
      </c>
      <c r="N641" s="32">
        <f t="shared" si="46"/>
        <v>-1</v>
      </c>
      <c r="O641" s="6" t="str">
        <f>IF(ABS(M641)&lt;Overview!$B$6,"OK",IF(I641=0,"REVIEW (zero base)",IF(ABS(M641/ABS(I641))&gt;=Overview!$B$5,"REVIEW","OK")))</f>
        <v>OK</v>
      </c>
      <c r="P641" s="31">
        <f t="shared" si="47"/>
        <v>0</v>
      </c>
      <c r="Q641" s="32" t="str">
        <f t="shared" si="48"/>
        <v>n/a</v>
      </c>
      <c r="R641" s="6" t="str">
        <f>IF(ABS(P641)&lt;Overview!$B$6,"OK",IF(J641=0,"REVIEW (zero base)",IF(ABS(P641/ABS(J641))&gt;=Overview!$B$5,"REVIEW","OK")))</f>
        <v>OK</v>
      </c>
      <c r="S641" s="33">
        <f t="shared" si="49"/>
        <v>3154.0006410000001</v>
      </c>
    </row>
    <row r="642" spans="1:19" x14ac:dyDescent="0.2">
      <c r="A642" s="17">
        <v>640</v>
      </c>
      <c r="B642" s="17" t="s">
        <v>171</v>
      </c>
      <c r="C642" s="17" t="s">
        <v>338</v>
      </c>
      <c r="D642" s="17" t="s">
        <v>62</v>
      </c>
      <c r="E642" s="17" t="s">
        <v>103</v>
      </c>
      <c r="F642" s="17" t="s">
        <v>339</v>
      </c>
      <c r="G642" s="17" t="s">
        <v>394</v>
      </c>
      <c r="H642" s="30">
        <v>45457</v>
      </c>
      <c r="I642" s="30">
        <v>46414</v>
      </c>
      <c r="J642" s="30">
        <v>0</v>
      </c>
      <c r="K642" s="30">
        <v>0</v>
      </c>
      <c r="L642" s="30">
        <v>0</v>
      </c>
      <c r="M642" s="31">
        <f t="shared" ref="M642:M705" si="50">J642-I642</f>
        <v>-46414</v>
      </c>
      <c r="N642" s="32">
        <f t="shared" ref="N642:N705" si="51">IF(I642=0,"n/a",M642/ABS(I642))</f>
        <v>-1</v>
      </c>
      <c r="O642" s="6" t="str">
        <f>IF(ABS(M642)&lt;Overview!$B$6,"OK",IF(I642=0,"REVIEW (zero base)",IF(ABS(M642/ABS(I642))&gt;=Overview!$B$5,"REVIEW","OK")))</f>
        <v>OK</v>
      </c>
      <c r="P642" s="31">
        <f t="shared" ref="P642:P705" si="52">K642-J642</f>
        <v>0</v>
      </c>
      <c r="Q642" s="32" t="str">
        <f t="shared" ref="Q642:Q705" si="53">IF(J642=0,"n/a",P642/ABS(J642))</f>
        <v>n/a</v>
      </c>
      <c r="R642" s="6" t="str">
        <f>IF(ABS(P642)&lt;Overview!$B$6,"OK",IF(J642=0,"REVIEW (zero base)",IF(ABS(P642/ABS(J642))&gt;=Overview!$B$5,"REVIEW","OK")))</f>
        <v>OK</v>
      </c>
      <c r="S642" s="33">
        <f t="shared" ref="S642:S705" si="54">IF(C642="EXPENSES",ABS(M642)+ROW()/1000000,0)</f>
        <v>46414.000641999999</v>
      </c>
    </row>
    <row r="643" spans="1:19" x14ac:dyDescent="0.2">
      <c r="A643" s="17">
        <v>641</v>
      </c>
      <c r="B643" s="17" t="s">
        <v>171</v>
      </c>
      <c r="C643" s="17" t="s">
        <v>338</v>
      </c>
      <c r="D643" s="17" t="s">
        <v>62</v>
      </c>
      <c r="E643" s="17" t="s">
        <v>103</v>
      </c>
      <c r="F643" s="17" t="s">
        <v>339</v>
      </c>
      <c r="G643" s="17" t="s">
        <v>395</v>
      </c>
      <c r="H643" s="30">
        <v>11800</v>
      </c>
      <c r="I643" s="30">
        <v>14956</v>
      </c>
      <c r="J643" s="30">
        <v>16896</v>
      </c>
      <c r="K643" s="30">
        <v>17139</v>
      </c>
      <c r="L643" s="30">
        <v>17310</v>
      </c>
      <c r="M643" s="31">
        <f t="shared" si="50"/>
        <v>1940</v>
      </c>
      <c r="N643" s="32">
        <f t="shared" si="51"/>
        <v>0.12971382722653116</v>
      </c>
      <c r="O643" s="6" t="str">
        <f>IF(ABS(M643)&lt;Overview!$B$6,"OK",IF(I643=0,"REVIEW (zero base)",IF(ABS(M643/ABS(I643))&gt;=Overview!$B$5,"REVIEW","OK")))</f>
        <v>OK</v>
      </c>
      <c r="P643" s="31">
        <f t="shared" si="52"/>
        <v>243</v>
      </c>
      <c r="Q643" s="32">
        <f t="shared" si="53"/>
        <v>1.4382102272727272E-2</v>
      </c>
      <c r="R643" s="6" t="str">
        <f>IF(ABS(P643)&lt;Overview!$B$6,"OK",IF(J643=0,"REVIEW (zero base)",IF(ABS(P643/ABS(J643))&gt;=Overview!$B$5,"REVIEW","OK")))</f>
        <v>OK</v>
      </c>
      <c r="S643" s="33">
        <f t="shared" si="54"/>
        <v>1940.0006430000001</v>
      </c>
    </row>
    <row r="644" spans="1:19" x14ac:dyDescent="0.2">
      <c r="A644" s="17">
        <v>642</v>
      </c>
      <c r="B644" s="17" t="s">
        <v>171</v>
      </c>
      <c r="C644" s="17" t="s">
        <v>338</v>
      </c>
      <c r="D644" s="17" t="s">
        <v>62</v>
      </c>
      <c r="E644" s="17" t="s">
        <v>103</v>
      </c>
      <c r="F644" s="17" t="s">
        <v>341</v>
      </c>
      <c r="G644" s="17" t="s">
        <v>342</v>
      </c>
      <c r="H644" s="30">
        <v>14658</v>
      </c>
      <c r="I644" s="30">
        <v>15748</v>
      </c>
      <c r="J644" s="30">
        <v>18960</v>
      </c>
      <c r="K644" s="30">
        <v>18960</v>
      </c>
      <c r="L644" s="30">
        <v>18960</v>
      </c>
      <c r="M644" s="31">
        <f t="shared" si="50"/>
        <v>3212</v>
      </c>
      <c r="N644" s="32">
        <f t="shared" si="51"/>
        <v>0.20396240792481585</v>
      </c>
      <c r="O644" s="6" t="str">
        <f>IF(ABS(M644)&lt;Overview!$B$6,"OK",IF(I644=0,"REVIEW (zero base)",IF(ABS(M644/ABS(I644))&gt;=Overview!$B$5,"REVIEW","OK")))</f>
        <v>OK</v>
      </c>
      <c r="P644" s="31">
        <f t="shared" si="52"/>
        <v>0</v>
      </c>
      <c r="Q644" s="32">
        <f t="shared" si="53"/>
        <v>0</v>
      </c>
      <c r="R644" s="6" t="str">
        <f>IF(ABS(P644)&lt;Overview!$B$6,"OK",IF(J644=0,"REVIEW (zero base)",IF(ABS(P644/ABS(J644))&gt;=Overview!$B$5,"REVIEW","OK")))</f>
        <v>OK</v>
      </c>
      <c r="S644" s="33">
        <f t="shared" si="54"/>
        <v>3212.0006440000002</v>
      </c>
    </row>
    <row r="645" spans="1:19" x14ac:dyDescent="0.2">
      <c r="A645" s="17">
        <v>643</v>
      </c>
      <c r="B645" s="17" t="s">
        <v>171</v>
      </c>
      <c r="C645" s="17" t="s">
        <v>338</v>
      </c>
      <c r="D645" s="17" t="s">
        <v>62</v>
      </c>
      <c r="E645" s="17" t="s">
        <v>103</v>
      </c>
      <c r="F645" s="17" t="s">
        <v>341</v>
      </c>
      <c r="G645" s="17" t="s">
        <v>375</v>
      </c>
      <c r="H645" s="30">
        <v>59111</v>
      </c>
      <c r="I645" s="30">
        <v>73056</v>
      </c>
      <c r="J645" s="30">
        <v>91000</v>
      </c>
      <c r="K645" s="30">
        <v>91000</v>
      </c>
      <c r="L645" s="30">
        <v>91000</v>
      </c>
      <c r="M645" s="31">
        <f t="shared" si="50"/>
        <v>17944</v>
      </c>
      <c r="N645" s="32">
        <f t="shared" si="51"/>
        <v>0.24561979851073149</v>
      </c>
      <c r="O645" s="6" t="str">
        <f>IF(ABS(M645)&lt;Overview!$B$6,"OK",IF(I645=0,"REVIEW (zero base)",IF(ABS(M645/ABS(I645))&gt;=Overview!$B$5,"REVIEW","OK")))</f>
        <v>OK</v>
      </c>
      <c r="P645" s="31">
        <f t="shared" si="52"/>
        <v>0</v>
      </c>
      <c r="Q645" s="32">
        <f t="shared" si="53"/>
        <v>0</v>
      </c>
      <c r="R645" s="6" t="str">
        <f>IF(ABS(P645)&lt;Overview!$B$6,"OK",IF(J645=0,"REVIEW (zero base)",IF(ABS(P645/ABS(J645))&gt;=Overview!$B$5,"REVIEW","OK")))</f>
        <v>OK</v>
      </c>
      <c r="S645" s="33">
        <f t="shared" si="54"/>
        <v>17944.000645</v>
      </c>
    </row>
    <row r="646" spans="1:19" x14ac:dyDescent="0.2">
      <c r="A646" s="17">
        <v>644</v>
      </c>
      <c r="B646" s="17" t="s">
        <v>171</v>
      </c>
      <c r="C646" s="17" t="s">
        <v>338</v>
      </c>
      <c r="D646" s="17" t="s">
        <v>62</v>
      </c>
      <c r="E646" s="17" t="s">
        <v>103</v>
      </c>
      <c r="F646" s="17" t="s">
        <v>341</v>
      </c>
      <c r="G646" s="17" t="s">
        <v>376</v>
      </c>
      <c r="H646" s="30">
        <v>200851</v>
      </c>
      <c r="I646" s="30">
        <v>240559</v>
      </c>
      <c r="J646" s="30">
        <v>255025</v>
      </c>
      <c r="K646" s="30">
        <v>250656</v>
      </c>
      <c r="L646" s="30">
        <v>263765</v>
      </c>
      <c r="M646" s="31">
        <f t="shared" si="50"/>
        <v>14466</v>
      </c>
      <c r="N646" s="32">
        <f t="shared" si="51"/>
        <v>6.0134935712236916E-2</v>
      </c>
      <c r="O646" s="6" t="str">
        <f>IF(ABS(M646)&lt;Overview!$B$6,"OK",IF(I646=0,"REVIEW (zero base)",IF(ABS(M646/ABS(I646))&gt;=Overview!$B$5,"REVIEW","OK")))</f>
        <v>OK</v>
      </c>
      <c r="P646" s="31">
        <f t="shared" si="52"/>
        <v>-4369</v>
      </c>
      <c r="Q646" s="32">
        <f t="shared" si="53"/>
        <v>-1.7131653759435348E-2</v>
      </c>
      <c r="R646" s="6" t="str">
        <f>IF(ABS(P646)&lt;Overview!$B$6,"OK",IF(J646=0,"REVIEW (zero base)",IF(ABS(P646/ABS(J646))&gt;=Overview!$B$5,"REVIEW","OK")))</f>
        <v>OK</v>
      </c>
      <c r="S646" s="33">
        <f t="shared" si="54"/>
        <v>14466.000646</v>
      </c>
    </row>
    <row r="647" spans="1:19" x14ac:dyDescent="0.2">
      <c r="A647" s="17">
        <v>645</v>
      </c>
      <c r="B647" s="17" t="s">
        <v>171</v>
      </c>
      <c r="C647" s="17" t="s">
        <v>338</v>
      </c>
      <c r="D647" s="17" t="s">
        <v>62</v>
      </c>
      <c r="E647" s="17" t="s">
        <v>103</v>
      </c>
      <c r="F647" s="17" t="s">
        <v>341</v>
      </c>
      <c r="G647" s="17" t="s">
        <v>343</v>
      </c>
      <c r="H647" s="30">
        <v>55055</v>
      </c>
      <c r="I647" s="30">
        <v>61502</v>
      </c>
      <c r="J647" s="30">
        <v>84989</v>
      </c>
      <c r="K647" s="30">
        <v>85234</v>
      </c>
      <c r="L647" s="30">
        <v>86086</v>
      </c>
      <c r="M647" s="31">
        <f t="shared" si="50"/>
        <v>23487</v>
      </c>
      <c r="N647" s="32">
        <f t="shared" si="51"/>
        <v>0.3818900198367533</v>
      </c>
      <c r="O647" s="6" t="str">
        <f>IF(ABS(M647)&lt;Overview!$B$6,"OK",IF(I647=0,"REVIEW (zero base)",IF(ABS(M647/ABS(I647))&gt;=Overview!$B$5,"REVIEW","OK")))</f>
        <v>OK</v>
      </c>
      <c r="P647" s="31">
        <f t="shared" si="52"/>
        <v>245</v>
      </c>
      <c r="Q647" s="32">
        <f t="shared" si="53"/>
        <v>2.8827259998352728E-3</v>
      </c>
      <c r="R647" s="6" t="str">
        <f>IF(ABS(P647)&lt;Overview!$B$6,"OK",IF(J647=0,"REVIEW (zero base)",IF(ABS(P647/ABS(J647))&gt;=Overview!$B$5,"REVIEW","OK")))</f>
        <v>OK</v>
      </c>
      <c r="S647" s="33">
        <f t="shared" si="54"/>
        <v>23487.000647000001</v>
      </c>
    </row>
    <row r="648" spans="1:19" x14ac:dyDescent="0.2">
      <c r="A648" s="17">
        <v>646</v>
      </c>
      <c r="B648" s="17" t="s">
        <v>171</v>
      </c>
      <c r="C648" s="17" t="s">
        <v>338</v>
      </c>
      <c r="D648" s="17" t="s">
        <v>62</v>
      </c>
      <c r="E648" s="17" t="s">
        <v>103</v>
      </c>
      <c r="F648" s="17" t="s">
        <v>341</v>
      </c>
      <c r="G648" s="17" t="s">
        <v>396</v>
      </c>
      <c r="H648" s="30">
        <v>25601</v>
      </c>
      <c r="I648" s="30">
        <v>9412</v>
      </c>
      <c r="J648" s="30">
        <v>0</v>
      </c>
      <c r="K648" s="30">
        <v>0</v>
      </c>
      <c r="L648" s="30">
        <v>0</v>
      </c>
      <c r="M648" s="31">
        <f t="shared" si="50"/>
        <v>-9412</v>
      </c>
      <c r="N648" s="32">
        <f t="shared" si="51"/>
        <v>-1</v>
      </c>
      <c r="O648" s="6" t="str">
        <f>IF(ABS(M648)&lt;Overview!$B$6,"OK",IF(I648=0,"REVIEW (zero base)",IF(ABS(M648/ABS(I648))&gt;=Overview!$B$5,"REVIEW","OK")))</f>
        <v>OK</v>
      </c>
      <c r="P648" s="31">
        <f t="shared" si="52"/>
        <v>0</v>
      </c>
      <c r="Q648" s="32" t="str">
        <f t="shared" si="53"/>
        <v>n/a</v>
      </c>
      <c r="R648" s="6" t="str">
        <f>IF(ABS(P648)&lt;Overview!$B$6,"OK",IF(J648=0,"REVIEW (zero base)",IF(ABS(P648/ABS(J648))&gt;=Overview!$B$5,"REVIEW","OK")))</f>
        <v>OK</v>
      </c>
      <c r="S648" s="33">
        <f t="shared" si="54"/>
        <v>9412.0006479999993</v>
      </c>
    </row>
    <row r="649" spans="1:19" x14ac:dyDescent="0.2">
      <c r="A649" s="17">
        <v>647</v>
      </c>
      <c r="B649" s="17" t="s">
        <v>171</v>
      </c>
      <c r="C649" s="17" t="s">
        <v>338</v>
      </c>
      <c r="D649" s="17" t="s">
        <v>62</v>
      </c>
      <c r="E649" s="17" t="s">
        <v>103</v>
      </c>
      <c r="F649" s="17" t="s">
        <v>341</v>
      </c>
      <c r="G649" s="17" t="s">
        <v>378</v>
      </c>
      <c r="H649" s="30">
        <v>47690</v>
      </c>
      <c r="I649" s="30">
        <v>55140</v>
      </c>
      <c r="J649" s="30">
        <v>68796</v>
      </c>
      <c r="K649" s="30">
        <v>72800</v>
      </c>
      <c r="L649" s="30">
        <v>76025</v>
      </c>
      <c r="M649" s="31">
        <f t="shared" si="50"/>
        <v>13656</v>
      </c>
      <c r="N649" s="32">
        <f t="shared" si="51"/>
        <v>0.24766050054406963</v>
      </c>
      <c r="O649" s="6" t="str">
        <f>IF(ABS(M649)&lt;Overview!$B$6,"OK",IF(I649=0,"REVIEW (zero base)",IF(ABS(M649/ABS(I649))&gt;=Overview!$B$5,"REVIEW","OK")))</f>
        <v>OK</v>
      </c>
      <c r="P649" s="31">
        <f t="shared" si="52"/>
        <v>4004</v>
      </c>
      <c r="Q649" s="32">
        <f t="shared" si="53"/>
        <v>5.8201058201058198E-2</v>
      </c>
      <c r="R649" s="6" t="str">
        <f>IF(ABS(P649)&lt;Overview!$B$6,"OK",IF(J649=0,"REVIEW (zero base)",IF(ABS(P649/ABS(J649))&gt;=Overview!$B$5,"REVIEW","OK")))</f>
        <v>OK</v>
      </c>
      <c r="S649" s="33">
        <f t="shared" si="54"/>
        <v>13656.000649</v>
      </c>
    </row>
    <row r="650" spans="1:19" x14ac:dyDescent="0.2">
      <c r="A650" s="17">
        <v>648</v>
      </c>
      <c r="B650" s="17" t="s">
        <v>171</v>
      </c>
      <c r="C650" s="17" t="s">
        <v>338</v>
      </c>
      <c r="D650" s="17" t="s">
        <v>62</v>
      </c>
      <c r="E650" s="17" t="s">
        <v>103</v>
      </c>
      <c r="F650" s="17" t="s">
        <v>341</v>
      </c>
      <c r="G650" s="17" t="s">
        <v>344</v>
      </c>
      <c r="H650" s="30">
        <v>199512</v>
      </c>
      <c r="I650" s="30">
        <v>217395</v>
      </c>
      <c r="J650" s="30">
        <v>276876</v>
      </c>
      <c r="K650" s="30">
        <v>319740</v>
      </c>
      <c r="L650" s="30">
        <v>326135</v>
      </c>
      <c r="M650" s="31">
        <f t="shared" si="50"/>
        <v>59481</v>
      </c>
      <c r="N650" s="32">
        <f t="shared" si="51"/>
        <v>0.2736079486648727</v>
      </c>
      <c r="O650" s="6" t="str">
        <f>IF(ABS(M650)&lt;Overview!$B$6,"OK",IF(I650=0,"REVIEW (zero base)",IF(ABS(M650/ABS(I650))&gt;=Overview!$B$5,"REVIEW","OK")))</f>
        <v>OK</v>
      </c>
      <c r="P650" s="31">
        <f t="shared" si="52"/>
        <v>42864</v>
      </c>
      <c r="Q650" s="32">
        <f t="shared" si="53"/>
        <v>0.15481298487409526</v>
      </c>
      <c r="R650" s="6" t="str">
        <f>IF(ABS(P650)&lt;Overview!$B$6,"OK",IF(J650=0,"REVIEW (zero base)",IF(ABS(P650/ABS(J650))&gt;=Overview!$B$5,"REVIEW","OK")))</f>
        <v>OK</v>
      </c>
      <c r="S650" s="33">
        <f t="shared" si="54"/>
        <v>59481.000650000002</v>
      </c>
    </row>
    <row r="651" spans="1:19" x14ac:dyDescent="0.2">
      <c r="A651" s="17">
        <v>649</v>
      </c>
      <c r="B651" s="17" t="s">
        <v>171</v>
      </c>
      <c r="C651" s="17" t="s">
        <v>338</v>
      </c>
      <c r="D651" s="17" t="s">
        <v>62</v>
      </c>
      <c r="E651" s="17" t="s">
        <v>135</v>
      </c>
      <c r="F651" s="17" t="s">
        <v>339</v>
      </c>
      <c r="G651" s="17" t="s">
        <v>340</v>
      </c>
      <c r="H651" s="30">
        <v>201674</v>
      </c>
      <c r="I651" s="30">
        <v>213100</v>
      </c>
      <c r="J651" s="30">
        <v>232233</v>
      </c>
      <c r="K651" s="30">
        <v>262968</v>
      </c>
      <c r="L651" s="30">
        <v>265598</v>
      </c>
      <c r="M651" s="31">
        <f t="shared" si="50"/>
        <v>19133</v>
      </c>
      <c r="N651" s="32">
        <f t="shared" si="51"/>
        <v>8.9784138901923979E-2</v>
      </c>
      <c r="O651" s="6" t="str">
        <f>IF(ABS(M651)&lt;Overview!$B$6,"OK",IF(I651=0,"REVIEW (zero base)",IF(ABS(M651/ABS(I651))&gt;=Overview!$B$5,"REVIEW","OK")))</f>
        <v>OK</v>
      </c>
      <c r="P651" s="31">
        <f t="shared" si="52"/>
        <v>30735</v>
      </c>
      <c r="Q651" s="32">
        <f t="shared" si="53"/>
        <v>0.13234553228869281</v>
      </c>
      <c r="R651" s="6" t="str">
        <f>IF(ABS(P651)&lt;Overview!$B$6,"OK",IF(J651=0,"REVIEW (zero base)",IF(ABS(P651/ABS(J651))&gt;=Overview!$B$5,"REVIEW","OK")))</f>
        <v>OK</v>
      </c>
      <c r="S651" s="33">
        <f t="shared" si="54"/>
        <v>19133.000650999998</v>
      </c>
    </row>
    <row r="652" spans="1:19" x14ac:dyDescent="0.2">
      <c r="A652" s="17">
        <v>650</v>
      </c>
      <c r="B652" s="17" t="s">
        <v>171</v>
      </c>
      <c r="C652" s="17" t="s">
        <v>338</v>
      </c>
      <c r="D652" s="17" t="s">
        <v>62</v>
      </c>
      <c r="E652" s="17" t="s">
        <v>135</v>
      </c>
      <c r="F652" s="17" t="s">
        <v>339</v>
      </c>
      <c r="G652" s="17" t="s">
        <v>390</v>
      </c>
      <c r="H652" s="30">
        <v>0</v>
      </c>
      <c r="I652" s="30">
        <v>0</v>
      </c>
      <c r="J652" s="30">
        <v>804</v>
      </c>
      <c r="K652" s="30">
        <v>0</v>
      </c>
      <c r="L652" s="30">
        <v>0</v>
      </c>
      <c r="M652" s="31">
        <f t="shared" si="50"/>
        <v>804</v>
      </c>
      <c r="N652" s="32" t="str">
        <f t="shared" si="51"/>
        <v>n/a</v>
      </c>
      <c r="O652" s="6" t="str">
        <f>IF(ABS(M652)&lt;Overview!$B$6,"OK",IF(I652=0,"REVIEW (zero base)",IF(ABS(M652/ABS(I652))&gt;=Overview!$B$5,"REVIEW","OK")))</f>
        <v>OK</v>
      </c>
      <c r="P652" s="31">
        <f t="shared" si="52"/>
        <v>-804</v>
      </c>
      <c r="Q652" s="32">
        <f t="shared" si="53"/>
        <v>-1</v>
      </c>
      <c r="R652" s="6" t="str">
        <f>IF(ABS(P652)&lt;Overview!$B$6,"OK",IF(J652=0,"REVIEW (zero base)",IF(ABS(P652/ABS(J652))&gt;=Overview!$B$5,"REVIEW","OK")))</f>
        <v>OK</v>
      </c>
      <c r="S652" s="33">
        <f t="shared" si="54"/>
        <v>804.00065199999995</v>
      </c>
    </row>
    <row r="653" spans="1:19" x14ac:dyDescent="0.2">
      <c r="A653" s="17">
        <v>651</v>
      </c>
      <c r="B653" s="17" t="s">
        <v>171</v>
      </c>
      <c r="C653" s="17" t="s">
        <v>338</v>
      </c>
      <c r="D653" s="17" t="s">
        <v>62</v>
      </c>
      <c r="E653" s="17" t="s">
        <v>135</v>
      </c>
      <c r="F653" s="17" t="s">
        <v>339</v>
      </c>
      <c r="G653" s="17" t="s">
        <v>391</v>
      </c>
      <c r="H653" s="30">
        <v>12260</v>
      </c>
      <c r="I653" s="30">
        <v>8088</v>
      </c>
      <c r="J653" s="30">
        <v>0</v>
      </c>
      <c r="K653" s="30">
        <v>0</v>
      </c>
      <c r="L653" s="30">
        <v>0</v>
      </c>
      <c r="M653" s="31">
        <f t="shared" si="50"/>
        <v>-8088</v>
      </c>
      <c r="N653" s="32">
        <f t="shared" si="51"/>
        <v>-1</v>
      </c>
      <c r="O653" s="6" t="str">
        <f>IF(ABS(M653)&lt;Overview!$B$6,"OK",IF(I653=0,"REVIEW (zero base)",IF(ABS(M653/ABS(I653))&gt;=Overview!$B$5,"REVIEW","OK")))</f>
        <v>OK</v>
      </c>
      <c r="P653" s="31">
        <f t="shared" si="52"/>
        <v>0</v>
      </c>
      <c r="Q653" s="32" t="str">
        <f t="shared" si="53"/>
        <v>n/a</v>
      </c>
      <c r="R653" s="6" t="str">
        <f>IF(ABS(P653)&lt;Overview!$B$6,"OK",IF(J653=0,"REVIEW (zero base)",IF(ABS(P653/ABS(J653))&gt;=Overview!$B$5,"REVIEW","OK")))</f>
        <v>OK</v>
      </c>
      <c r="S653" s="33">
        <f t="shared" si="54"/>
        <v>8088.0006530000001</v>
      </c>
    </row>
    <row r="654" spans="1:19" x14ac:dyDescent="0.2">
      <c r="A654" s="17">
        <v>652</v>
      </c>
      <c r="B654" s="17" t="s">
        <v>171</v>
      </c>
      <c r="C654" s="17" t="s">
        <v>338</v>
      </c>
      <c r="D654" s="17" t="s">
        <v>62</v>
      </c>
      <c r="E654" s="17" t="s">
        <v>135</v>
      </c>
      <c r="F654" s="17" t="s">
        <v>339</v>
      </c>
      <c r="G654" s="17" t="s">
        <v>392</v>
      </c>
      <c r="H654" s="30">
        <v>15661</v>
      </c>
      <c r="I654" s="30">
        <v>14484</v>
      </c>
      <c r="J654" s="30">
        <v>0</v>
      </c>
      <c r="K654" s="30">
        <v>0</v>
      </c>
      <c r="L654" s="30">
        <v>0</v>
      </c>
      <c r="M654" s="31">
        <f t="shared" si="50"/>
        <v>-14484</v>
      </c>
      <c r="N654" s="32">
        <f t="shared" si="51"/>
        <v>-1</v>
      </c>
      <c r="O654" s="6" t="str">
        <f>IF(ABS(M654)&lt;Overview!$B$6,"OK",IF(I654=0,"REVIEW (zero base)",IF(ABS(M654/ABS(I654))&gt;=Overview!$B$5,"REVIEW","OK")))</f>
        <v>OK</v>
      </c>
      <c r="P654" s="31">
        <f t="shared" si="52"/>
        <v>0</v>
      </c>
      <c r="Q654" s="32" t="str">
        <f t="shared" si="53"/>
        <v>n/a</v>
      </c>
      <c r="R654" s="6" t="str">
        <f>IF(ABS(P654)&lt;Overview!$B$6,"OK",IF(J654=0,"REVIEW (zero base)",IF(ABS(P654/ABS(J654))&gt;=Overview!$B$5,"REVIEW","OK")))</f>
        <v>OK</v>
      </c>
      <c r="S654" s="33">
        <f t="shared" si="54"/>
        <v>14484.000653999999</v>
      </c>
    </row>
    <row r="655" spans="1:19" x14ac:dyDescent="0.2">
      <c r="A655" s="17">
        <v>653</v>
      </c>
      <c r="B655" s="17" t="s">
        <v>171</v>
      </c>
      <c r="C655" s="17" t="s">
        <v>338</v>
      </c>
      <c r="D655" s="17" t="s">
        <v>62</v>
      </c>
      <c r="E655" s="17" t="s">
        <v>135</v>
      </c>
      <c r="F655" s="17" t="s">
        <v>339</v>
      </c>
      <c r="G655" s="17" t="s">
        <v>394</v>
      </c>
      <c r="H655" s="30">
        <v>16507</v>
      </c>
      <c r="I655" s="30">
        <v>14952</v>
      </c>
      <c r="J655" s="30">
        <v>0</v>
      </c>
      <c r="K655" s="30">
        <v>0</v>
      </c>
      <c r="L655" s="30">
        <v>0</v>
      </c>
      <c r="M655" s="31">
        <f t="shared" si="50"/>
        <v>-14952</v>
      </c>
      <c r="N655" s="32">
        <f t="shared" si="51"/>
        <v>-1</v>
      </c>
      <c r="O655" s="6" t="str">
        <f>IF(ABS(M655)&lt;Overview!$B$6,"OK",IF(I655=0,"REVIEW (zero base)",IF(ABS(M655/ABS(I655))&gt;=Overview!$B$5,"REVIEW","OK")))</f>
        <v>OK</v>
      </c>
      <c r="P655" s="31">
        <f t="shared" si="52"/>
        <v>0</v>
      </c>
      <c r="Q655" s="32" t="str">
        <f t="shared" si="53"/>
        <v>n/a</v>
      </c>
      <c r="R655" s="6" t="str">
        <f>IF(ABS(P655)&lt;Overview!$B$6,"OK",IF(J655=0,"REVIEW (zero base)",IF(ABS(P655/ABS(J655))&gt;=Overview!$B$5,"REVIEW","OK")))</f>
        <v>OK</v>
      </c>
      <c r="S655" s="33">
        <f t="shared" si="54"/>
        <v>14952.000655</v>
      </c>
    </row>
    <row r="656" spans="1:19" x14ac:dyDescent="0.2">
      <c r="A656" s="17">
        <v>654</v>
      </c>
      <c r="B656" s="17" t="s">
        <v>171</v>
      </c>
      <c r="C656" s="17" t="s">
        <v>338</v>
      </c>
      <c r="D656" s="17" t="s">
        <v>62</v>
      </c>
      <c r="E656" s="17" t="s">
        <v>135</v>
      </c>
      <c r="F656" s="17" t="s">
        <v>339</v>
      </c>
      <c r="G656" s="17" t="s">
        <v>395</v>
      </c>
      <c r="H656" s="30">
        <v>7810</v>
      </c>
      <c r="I656" s="30">
        <v>10320</v>
      </c>
      <c r="J656" s="30">
        <v>10526</v>
      </c>
      <c r="K656" s="30">
        <v>10737</v>
      </c>
      <c r="L656" s="30">
        <v>10844</v>
      </c>
      <c r="M656" s="31">
        <f t="shared" si="50"/>
        <v>206</v>
      </c>
      <c r="N656" s="32">
        <f t="shared" si="51"/>
        <v>1.9961240310077521E-2</v>
      </c>
      <c r="O656" s="6" t="str">
        <f>IF(ABS(M656)&lt;Overview!$B$6,"OK",IF(I656=0,"REVIEW (zero base)",IF(ABS(M656/ABS(I656))&gt;=Overview!$B$5,"REVIEW","OK")))</f>
        <v>OK</v>
      </c>
      <c r="P656" s="31">
        <f t="shared" si="52"/>
        <v>211</v>
      </c>
      <c r="Q656" s="32">
        <f t="shared" si="53"/>
        <v>2.0045601368041042E-2</v>
      </c>
      <c r="R656" s="6" t="str">
        <f>IF(ABS(P656)&lt;Overview!$B$6,"OK",IF(J656=0,"REVIEW (zero base)",IF(ABS(P656/ABS(J656))&gt;=Overview!$B$5,"REVIEW","OK")))</f>
        <v>OK</v>
      </c>
      <c r="S656" s="33">
        <f t="shared" si="54"/>
        <v>206.00065599999999</v>
      </c>
    </row>
    <row r="657" spans="1:19" x14ac:dyDescent="0.2">
      <c r="A657" s="17">
        <v>655</v>
      </c>
      <c r="B657" s="17" t="s">
        <v>171</v>
      </c>
      <c r="C657" s="17" t="s">
        <v>338</v>
      </c>
      <c r="D657" s="17" t="s">
        <v>62</v>
      </c>
      <c r="E657" s="17" t="s">
        <v>135</v>
      </c>
      <c r="F657" s="17" t="s">
        <v>341</v>
      </c>
      <c r="G657" s="17" t="s">
        <v>342</v>
      </c>
      <c r="H657" s="30">
        <v>4414</v>
      </c>
      <c r="I657" s="30">
        <v>4087</v>
      </c>
      <c r="J657" s="30">
        <v>3912</v>
      </c>
      <c r="K657" s="30">
        <v>3912</v>
      </c>
      <c r="L657" s="30">
        <v>3912</v>
      </c>
      <c r="M657" s="31">
        <f t="shared" si="50"/>
        <v>-175</v>
      </c>
      <c r="N657" s="32">
        <f t="shared" si="51"/>
        <v>-4.2818693418155127E-2</v>
      </c>
      <c r="O657" s="6" t="str">
        <f>IF(ABS(M657)&lt;Overview!$B$6,"OK",IF(I657=0,"REVIEW (zero base)",IF(ABS(M657/ABS(I657))&gt;=Overview!$B$5,"REVIEW","OK")))</f>
        <v>OK</v>
      </c>
      <c r="P657" s="31">
        <f t="shared" si="52"/>
        <v>0</v>
      </c>
      <c r="Q657" s="32">
        <f t="shared" si="53"/>
        <v>0</v>
      </c>
      <c r="R657" s="6" t="str">
        <f>IF(ABS(P657)&lt;Overview!$B$6,"OK",IF(J657=0,"REVIEW (zero base)",IF(ABS(P657/ABS(J657))&gt;=Overview!$B$5,"REVIEW","OK")))</f>
        <v>OK</v>
      </c>
      <c r="S657" s="33">
        <f t="shared" si="54"/>
        <v>175.00065699999999</v>
      </c>
    </row>
    <row r="658" spans="1:19" x14ac:dyDescent="0.2">
      <c r="A658" s="17">
        <v>656</v>
      </c>
      <c r="B658" s="17" t="s">
        <v>171</v>
      </c>
      <c r="C658" s="17" t="s">
        <v>338</v>
      </c>
      <c r="D658" s="17" t="s">
        <v>62</v>
      </c>
      <c r="E658" s="17" t="s">
        <v>135</v>
      </c>
      <c r="F658" s="17" t="s">
        <v>341</v>
      </c>
      <c r="G658" s="17" t="s">
        <v>375</v>
      </c>
      <c r="H658" s="30">
        <v>16367</v>
      </c>
      <c r="I658" s="30">
        <v>17784</v>
      </c>
      <c r="J658" s="30">
        <v>18200</v>
      </c>
      <c r="K658" s="30">
        <v>18200</v>
      </c>
      <c r="L658" s="30">
        <v>18200</v>
      </c>
      <c r="M658" s="31">
        <f t="shared" si="50"/>
        <v>416</v>
      </c>
      <c r="N658" s="32">
        <f t="shared" si="51"/>
        <v>2.3391812865497075E-2</v>
      </c>
      <c r="O658" s="6" t="str">
        <f>IF(ABS(M658)&lt;Overview!$B$6,"OK",IF(I658=0,"REVIEW (zero base)",IF(ABS(M658/ABS(I658))&gt;=Overview!$B$5,"REVIEW","OK")))</f>
        <v>OK</v>
      </c>
      <c r="P658" s="31">
        <f t="shared" si="52"/>
        <v>0</v>
      </c>
      <c r="Q658" s="32">
        <f t="shared" si="53"/>
        <v>0</v>
      </c>
      <c r="R658" s="6" t="str">
        <f>IF(ABS(P658)&lt;Overview!$B$6,"OK",IF(J658=0,"REVIEW (zero base)",IF(ABS(P658/ABS(J658))&gt;=Overview!$B$5,"REVIEW","OK")))</f>
        <v>OK</v>
      </c>
      <c r="S658" s="33">
        <f t="shared" si="54"/>
        <v>416.00065799999999</v>
      </c>
    </row>
    <row r="659" spans="1:19" x14ac:dyDescent="0.2">
      <c r="A659" s="17">
        <v>657</v>
      </c>
      <c r="B659" s="17" t="s">
        <v>171</v>
      </c>
      <c r="C659" s="17" t="s">
        <v>338</v>
      </c>
      <c r="D659" s="17" t="s">
        <v>62</v>
      </c>
      <c r="E659" s="17" t="s">
        <v>135</v>
      </c>
      <c r="F659" s="17" t="s">
        <v>341</v>
      </c>
      <c r="G659" s="17" t="s">
        <v>376</v>
      </c>
      <c r="H659" s="30">
        <v>73258</v>
      </c>
      <c r="I659" s="30">
        <v>77137</v>
      </c>
      <c r="J659" s="30">
        <v>68044</v>
      </c>
      <c r="K659" s="30">
        <v>80376</v>
      </c>
      <c r="L659" s="30">
        <v>84580</v>
      </c>
      <c r="M659" s="31">
        <f t="shared" si="50"/>
        <v>-9093</v>
      </c>
      <c r="N659" s="32">
        <f t="shared" si="51"/>
        <v>-0.11788117245939043</v>
      </c>
      <c r="O659" s="6" t="str">
        <f>IF(ABS(M659)&lt;Overview!$B$6,"OK",IF(I659=0,"REVIEW (zero base)",IF(ABS(M659/ABS(I659))&gt;=Overview!$B$5,"REVIEW","OK")))</f>
        <v>OK</v>
      </c>
      <c r="P659" s="31">
        <f t="shared" si="52"/>
        <v>12332</v>
      </c>
      <c r="Q659" s="32">
        <f t="shared" si="53"/>
        <v>0.18123567103638821</v>
      </c>
      <c r="R659" s="6" t="str">
        <f>IF(ABS(P659)&lt;Overview!$B$6,"OK",IF(J659=0,"REVIEW (zero base)",IF(ABS(P659/ABS(J659))&gt;=Overview!$B$5,"REVIEW","OK")))</f>
        <v>OK</v>
      </c>
      <c r="S659" s="33">
        <f t="shared" si="54"/>
        <v>9093.0006589999994</v>
      </c>
    </row>
    <row r="660" spans="1:19" x14ac:dyDescent="0.2">
      <c r="A660" s="17">
        <v>658</v>
      </c>
      <c r="B660" s="17" t="s">
        <v>171</v>
      </c>
      <c r="C660" s="17" t="s">
        <v>338</v>
      </c>
      <c r="D660" s="17" t="s">
        <v>62</v>
      </c>
      <c r="E660" s="17" t="s">
        <v>135</v>
      </c>
      <c r="F660" s="17" t="s">
        <v>341</v>
      </c>
      <c r="G660" s="17" t="s">
        <v>343</v>
      </c>
      <c r="H660" s="30">
        <v>19412</v>
      </c>
      <c r="I660" s="30">
        <v>19264</v>
      </c>
      <c r="J660" s="30">
        <v>20715</v>
      </c>
      <c r="K660" s="30">
        <v>22243</v>
      </c>
      <c r="L660" s="30">
        <v>22465</v>
      </c>
      <c r="M660" s="31">
        <f t="shared" si="50"/>
        <v>1451</v>
      </c>
      <c r="N660" s="32">
        <f t="shared" si="51"/>
        <v>7.5321843853820597E-2</v>
      </c>
      <c r="O660" s="6" t="str">
        <f>IF(ABS(M660)&lt;Overview!$B$6,"OK",IF(I660=0,"REVIEW (zero base)",IF(ABS(M660/ABS(I660))&gt;=Overview!$B$5,"REVIEW","OK")))</f>
        <v>OK</v>
      </c>
      <c r="P660" s="31">
        <f t="shared" si="52"/>
        <v>1528</v>
      </c>
      <c r="Q660" s="32">
        <f t="shared" si="53"/>
        <v>7.3762973690562395E-2</v>
      </c>
      <c r="R660" s="6" t="str">
        <f>IF(ABS(P660)&lt;Overview!$B$6,"OK",IF(J660=0,"REVIEW (zero base)",IF(ABS(P660/ABS(J660))&gt;=Overview!$B$5,"REVIEW","OK")))</f>
        <v>OK</v>
      </c>
      <c r="S660" s="33">
        <f t="shared" si="54"/>
        <v>1451.0006599999999</v>
      </c>
    </row>
    <row r="661" spans="1:19" x14ac:dyDescent="0.2">
      <c r="A661" s="17">
        <v>659</v>
      </c>
      <c r="B661" s="17" t="s">
        <v>171</v>
      </c>
      <c r="C661" s="17" t="s">
        <v>338</v>
      </c>
      <c r="D661" s="17" t="s">
        <v>62</v>
      </c>
      <c r="E661" s="17" t="s">
        <v>135</v>
      </c>
      <c r="F661" s="17" t="s">
        <v>341</v>
      </c>
      <c r="G661" s="17" t="s">
        <v>396</v>
      </c>
      <c r="H661" s="30">
        <v>9412</v>
      </c>
      <c r="I661" s="30">
        <v>0</v>
      </c>
      <c r="J661" s="30">
        <v>0</v>
      </c>
      <c r="K661" s="30">
        <v>0</v>
      </c>
      <c r="L661" s="30">
        <v>0</v>
      </c>
      <c r="M661" s="31">
        <f t="shared" si="50"/>
        <v>0</v>
      </c>
      <c r="N661" s="32" t="str">
        <f t="shared" si="51"/>
        <v>n/a</v>
      </c>
      <c r="O661" s="6" t="str">
        <f>IF(ABS(M661)&lt;Overview!$B$6,"OK",IF(I661=0,"REVIEW (zero base)",IF(ABS(M661/ABS(I661))&gt;=Overview!$B$5,"REVIEW","OK")))</f>
        <v>OK</v>
      </c>
      <c r="P661" s="31">
        <f t="shared" si="52"/>
        <v>0</v>
      </c>
      <c r="Q661" s="32" t="str">
        <f t="shared" si="53"/>
        <v>n/a</v>
      </c>
      <c r="R661" s="6" t="str">
        <f>IF(ABS(P661)&lt;Overview!$B$6,"OK",IF(J661=0,"REVIEW (zero base)",IF(ABS(P661/ABS(J661))&gt;=Overview!$B$5,"REVIEW","OK")))</f>
        <v>OK</v>
      </c>
      <c r="S661" s="33">
        <f t="shared" si="54"/>
        <v>6.6100000000000002E-4</v>
      </c>
    </row>
    <row r="662" spans="1:19" x14ac:dyDescent="0.2">
      <c r="A662" s="17">
        <v>660</v>
      </c>
      <c r="B662" s="17" t="s">
        <v>171</v>
      </c>
      <c r="C662" s="17" t="s">
        <v>338</v>
      </c>
      <c r="D662" s="17" t="s">
        <v>62</v>
      </c>
      <c r="E662" s="17" t="s">
        <v>135</v>
      </c>
      <c r="F662" s="17" t="s">
        <v>341</v>
      </c>
      <c r="G662" s="17" t="s">
        <v>378</v>
      </c>
      <c r="H662" s="30">
        <v>13472</v>
      </c>
      <c r="I662" s="30">
        <v>13423</v>
      </c>
      <c r="J662" s="30">
        <v>13756</v>
      </c>
      <c r="K662" s="30">
        <v>14560</v>
      </c>
      <c r="L662" s="30">
        <v>15205</v>
      </c>
      <c r="M662" s="31">
        <f t="shared" si="50"/>
        <v>333</v>
      </c>
      <c r="N662" s="32">
        <f t="shared" si="51"/>
        <v>2.4808165089771288E-2</v>
      </c>
      <c r="O662" s="6" t="str">
        <f>IF(ABS(M662)&lt;Overview!$B$6,"OK",IF(I662=0,"REVIEW (zero base)",IF(ABS(M662/ABS(I662))&gt;=Overview!$B$5,"REVIEW","OK")))</f>
        <v>OK</v>
      </c>
      <c r="P662" s="31">
        <f t="shared" si="52"/>
        <v>804</v>
      </c>
      <c r="Q662" s="32">
        <f t="shared" si="53"/>
        <v>5.8447223029950569E-2</v>
      </c>
      <c r="R662" s="6" t="str">
        <f>IF(ABS(P662)&lt;Overview!$B$6,"OK",IF(J662=0,"REVIEW (zero base)",IF(ABS(P662/ABS(J662))&gt;=Overview!$B$5,"REVIEW","OK")))</f>
        <v>OK</v>
      </c>
      <c r="S662" s="33">
        <f t="shared" si="54"/>
        <v>333.00066199999998</v>
      </c>
    </row>
    <row r="663" spans="1:19" x14ac:dyDescent="0.2">
      <c r="A663" s="17">
        <v>661</v>
      </c>
      <c r="B663" s="17" t="s">
        <v>171</v>
      </c>
      <c r="C663" s="17" t="s">
        <v>338</v>
      </c>
      <c r="D663" s="17" t="s">
        <v>62</v>
      </c>
      <c r="E663" s="17" t="s">
        <v>135</v>
      </c>
      <c r="F663" s="17" t="s">
        <v>341</v>
      </c>
      <c r="G663" s="17" t="s">
        <v>344</v>
      </c>
      <c r="H663" s="30">
        <v>62518</v>
      </c>
      <c r="I663" s="30">
        <v>57263</v>
      </c>
      <c r="J663" s="30">
        <v>72415</v>
      </c>
      <c r="K663" s="30">
        <v>84216</v>
      </c>
      <c r="L663" s="30">
        <v>85900</v>
      </c>
      <c r="M663" s="31">
        <f t="shared" si="50"/>
        <v>15152</v>
      </c>
      <c r="N663" s="32">
        <f t="shared" si="51"/>
        <v>0.26460367078218044</v>
      </c>
      <c r="O663" s="6" t="str">
        <f>IF(ABS(M663)&lt;Overview!$B$6,"OK",IF(I663=0,"REVIEW (zero base)",IF(ABS(M663/ABS(I663))&gt;=Overview!$B$5,"REVIEW","OK")))</f>
        <v>OK</v>
      </c>
      <c r="P663" s="31">
        <f t="shared" si="52"/>
        <v>11801</v>
      </c>
      <c r="Q663" s="32">
        <f t="shared" si="53"/>
        <v>0.16296347441828352</v>
      </c>
      <c r="R663" s="6" t="str">
        <f>IF(ABS(P663)&lt;Overview!$B$6,"OK",IF(J663=0,"REVIEW (zero base)",IF(ABS(P663/ABS(J663))&gt;=Overview!$B$5,"REVIEW","OK")))</f>
        <v>OK</v>
      </c>
      <c r="S663" s="33">
        <f t="shared" si="54"/>
        <v>15152.000663000001</v>
      </c>
    </row>
    <row r="664" spans="1:19" x14ac:dyDescent="0.2">
      <c r="A664" s="17">
        <v>662</v>
      </c>
      <c r="B664" s="17" t="s">
        <v>171</v>
      </c>
      <c r="C664" s="17" t="s">
        <v>338</v>
      </c>
      <c r="D664" s="17" t="s">
        <v>62</v>
      </c>
      <c r="E664" s="17" t="s">
        <v>137</v>
      </c>
      <c r="F664" s="17" t="s">
        <v>339</v>
      </c>
      <c r="G664" s="17" t="s">
        <v>340</v>
      </c>
      <c r="H664" s="30">
        <v>121294</v>
      </c>
      <c r="I664" s="30">
        <v>132643</v>
      </c>
      <c r="J664" s="30">
        <v>146670</v>
      </c>
      <c r="K664" s="30">
        <v>182349</v>
      </c>
      <c r="L664" s="30">
        <v>184172</v>
      </c>
      <c r="M664" s="31">
        <f t="shared" si="50"/>
        <v>14027</v>
      </c>
      <c r="N664" s="32">
        <f t="shared" si="51"/>
        <v>0.1057500207323417</v>
      </c>
      <c r="O664" s="6" t="str">
        <f>IF(ABS(M664)&lt;Overview!$B$6,"OK",IF(I664=0,"REVIEW (zero base)",IF(ABS(M664/ABS(I664))&gt;=Overview!$B$5,"REVIEW","OK")))</f>
        <v>OK</v>
      </c>
      <c r="P664" s="31">
        <f t="shared" si="52"/>
        <v>35679</v>
      </c>
      <c r="Q664" s="32">
        <f t="shared" si="53"/>
        <v>0.24326038044589895</v>
      </c>
      <c r="R664" s="6" t="str">
        <f>IF(ABS(P664)&lt;Overview!$B$6,"OK",IF(J664=0,"REVIEW (zero base)",IF(ABS(P664/ABS(J664))&gt;=Overview!$B$5,"REVIEW","OK")))</f>
        <v>OK</v>
      </c>
      <c r="S664" s="33">
        <f t="shared" si="54"/>
        <v>14027.000663999999</v>
      </c>
    </row>
    <row r="665" spans="1:19" x14ac:dyDescent="0.2">
      <c r="A665" s="17">
        <v>663</v>
      </c>
      <c r="B665" s="17" t="s">
        <v>171</v>
      </c>
      <c r="C665" s="17" t="s">
        <v>338</v>
      </c>
      <c r="D665" s="17" t="s">
        <v>62</v>
      </c>
      <c r="E665" s="17" t="s">
        <v>137</v>
      </c>
      <c r="F665" s="17" t="s">
        <v>339</v>
      </c>
      <c r="G665" s="17" t="s">
        <v>390</v>
      </c>
      <c r="H665" s="30">
        <v>16782</v>
      </c>
      <c r="I665" s="30">
        <v>11364</v>
      </c>
      <c r="J665" s="30">
        <v>12000</v>
      </c>
      <c r="K665" s="30">
        <v>0</v>
      </c>
      <c r="L665" s="30">
        <v>0</v>
      </c>
      <c r="M665" s="31">
        <f t="shared" si="50"/>
        <v>636</v>
      </c>
      <c r="N665" s="32">
        <f t="shared" si="51"/>
        <v>5.59662090813094E-2</v>
      </c>
      <c r="O665" s="6" t="str">
        <f>IF(ABS(M665)&lt;Overview!$B$6,"OK",IF(I665=0,"REVIEW (zero base)",IF(ABS(M665/ABS(I665))&gt;=Overview!$B$5,"REVIEW","OK")))</f>
        <v>OK</v>
      </c>
      <c r="P665" s="31">
        <f t="shared" si="52"/>
        <v>-12000</v>
      </c>
      <c r="Q665" s="32">
        <f t="shared" si="53"/>
        <v>-1</v>
      </c>
      <c r="R665" s="6" t="str">
        <f>IF(ABS(P665)&lt;Overview!$B$6,"OK",IF(J665=0,"REVIEW (zero base)",IF(ABS(P665/ABS(J665))&gt;=Overview!$B$5,"REVIEW","OK")))</f>
        <v>OK</v>
      </c>
      <c r="S665" s="33">
        <f t="shared" si="54"/>
        <v>636.00066500000003</v>
      </c>
    </row>
    <row r="666" spans="1:19" x14ac:dyDescent="0.2">
      <c r="A666" s="17">
        <v>664</v>
      </c>
      <c r="B666" s="17" t="s">
        <v>171</v>
      </c>
      <c r="C666" s="17" t="s">
        <v>338</v>
      </c>
      <c r="D666" s="17" t="s">
        <v>62</v>
      </c>
      <c r="E666" s="17" t="s">
        <v>137</v>
      </c>
      <c r="F666" s="17" t="s">
        <v>339</v>
      </c>
      <c r="G666" s="17" t="s">
        <v>391</v>
      </c>
      <c r="H666" s="30">
        <v>3786</v>
      </c>
      <c r="I666" s="30">
        <v>2003</v>
      </c>
      <c r="J666" s="30">
        <v>0</v>
      </c>
      <c r="K666" s="30">
        <v>0</v>
      </c>
      <c r="L666" s="30">
        <v>0</v>
      </c>
      <c r="M666" s="31">
        <f t="shared" si="50"/>
        <v>-2003</v>
      </c>
      <c r="N666" s="32">
        <f t="shared" si="51"/>
        <v>-1</v>
      </c>
      <c r="O666" s="6" t="str">
        <f>IF(ABS(M666)&lt;Overview!$B$6,"OK",IF(I666=0,"REVIEW (zero base)",IF(ABS(M666/ABS(I666))&gt;=Overview!$B$5,"REVIEW","OK")))</f>
        <v>OK</v>
      </c>
      <c r="P666" s="31">
        <f t="shared" si="52"/>
        <v>0</v>
      </c>
      <c r="Q666" s="32" t="str">
        <f t="shared" si="53"/>
        <v>n/a</v>
      </c>
      <c r="R666" s="6" t="str">
        <f>IF(ABS(P666)&lt;Overview!$B$6,"OK",IF(J666=0,"REVIEW (zero base)",IF(ABS(P666/ABS(J666))&gt;=Overview!$B$5,"REVIEW","OK")))</f>
        <v>OK</v>
      </c>
      <c r="S666" s="33">
        <f t="shared" si="54"/>
        <v>2003.0006659999999</v>
      </c>
    </row>
    <row r="667" spans="1:19" x14ac:dyDescent="0.2">
      <c r="A667" s="17">
        <v>665</v>
      </c>
      <c r="B667" s="17" t="s">
        <v>171</v>
      </c>
      <c r="C667" s="17" t="s">
        <v>338</v>
      </c>
      <c r="D667" s="17" t="s">
        <v>62</v>
      </c>
      <c r="E667" s="17" t="s">
        <v>137</v>
      </c>
      <c r="F667" s="17" t="s">
        <v>339</v>
      </c>
      <c r="G667" s="17" t="s">
        <v>392</v>
      </c>
      <c r="H667" s="30">
        <v>11215</v>
      </c>
      <c r="I667" s="30">
        <v>3928</v>
      </c>
      <c r="J667" s="30">
        <v>0</v>
      </c>
      <c r="K667" s="30">
        <v>0</v>
      </c>
      <c r="L667" s="30">
        <v>0</v>
      </c>
      <c r="M667" s="31">
        <f t="shared" si="50"/>
        <v>-3928</v>
      </c>
      <c r="N667" s="32">
        <f t="shared" si="51"/>
        <v>-1</v>
      </c>
      <c r="O667" s="6" t="str">
        <f>IF(ABS(M667)&lt;Overview!$B$6,"OK",IF(I667=0,"REVIEW (zero base)",IF(ABS(M667/ABS(I667))&gt;=Overview!$B$5,"REVIEW","OK")))</f>
        <v>OK</v>
      </c>
      <c r="P667" s="31">
        <f t="shared" si="52"/>
        <v>0</v>
      </c>
      <c r="Q667" s="32" t="str">
        <f t="shared" si="53"/>
        <v>n/a</v>
      </c>
      <c r="R667" s="6" t="str">
        <f>IF(ABS(P667)&lt;Overview!$B$6,"OK",IF(J667=0,"REVIEW (zero base)",IF(ABS(P667/ABS(J667))&gt;=Overview!$B$5,"REVIEW","OK")))</f>
        <v>OK</v>
      </c>
      <c r="S667" s="33">
        <f t="shared" si="54"/>
        <v>3928.0006669999998</v>
      </c>
    </row>
    <row r="668" spans="1:19" x14ac:dyDescent="0.2">
      <c r="A668" s="17">
        <v>666</v>
      </c>
      <c r="B668" s="17" t="s">
        <v>171</v>
      </c>
      <c r="C668" s="17" t="s">
        <v>338</v>
      </c>
      <c r="D668" s="17" t="s">
        <v>62</v>
      </c>
      <c r="E668" s="17" t="s">
        <v>137</v>
      </c>
      <c r="F668" s="17" t="s">
        <v>339</v>
      </c>
      <c r="G668" s="17" t="s">
        <v>393</v>
      </c>
      <c r="H668" s="30">
        <v>397</v>
      </c>
      <c r="I668" s="30">
        <v>3554</v>
      </c>
      <c r="J668" s="30">
        <v>3600</v>
      </c>
      <c r="K668" s="30">
        <v>0</v>
      </c>
      <c r="L668" s="30">
        <v>0</v>
      </c>
      <c r="M668" s="31">
        <f t="shared" si="50"/>
        <v>46</v>
      </c>
      <c r="N668" s="32">
        <f t="shared" si="51"/>
        <v>1.2943162633652222E-2</v>
      </c>
      <c r="O668" s="6" t="str">
        <f>IF(ABS(M668)&lt;Overview!$B$6,"OK",IF(I668=0,"REVIEW (zero base)",IF(ABS(M668/ABS(I668))&gt;=Overview!$B$5,"REVIEW","OK")))</f>
        <v>OK</v>
      </c>
      <c r="P668" s="31">
        <f t="shared" si="52"/>
        <v>-3600</v>
      </c>
      <c r="Q668" s="32">
        <f t="shared" si="53"/>
        <v>-1</v>
      </c>
      <c r="R668" s="6" t="str">
        <f>IF(ABS(P668)&lt;Overview!$B$6,"OK",IF(J668=0,"REVIEW (zero base)",IF(ABS(P668/ABS(J668))&gt;=Overview!$B$5,"REVIEW","OK")))</f>
        <v>OK</v>
      </c>
      <c r="S668" s="33">
        <f t="shared" si="54"/>
        <v>46.000667999999997</v>
      </c>
    </row>
    <row r="669" spans="1:19" x14ac:dyDescent="0.2">
      <c r="A669" s="17">
        <v>667</v>
      </c>
      <c r="B669" s="17" t="s">
        <v>171</v>
      </c>
      <c r="C669" s="17" t="s">
        <v>338</v>
      </c>
      <c r="D669" s="17" t="s">
        <v>62</v>
      </c>
      <c r="E669" s="17" t="s">
        <v>137</v>
      </c>
      <c r="F669" s="17" t="s">
        <v>339</v>
      </c>
      <c r="G669" s="17" t="s">
        <v>394</v>
      </c>
      <c r="H669" s="30">
        <v>10893</v>
      </c>
      <c r="I669" s="30">
        <v>7311</v>
      </c>
      <c r="J669" s="30">
        <v>0</v>
      </c>
      <c r="K669" s="30">
        <v>0</v>
      </c>
      <c r="L669" s="30">
        <v>0</v>
      </c>
      <c r="M669" s="31">
        <f t="shared" si="50"/>
        <v>-7311</v>
      </c>
      <c r="N669" s="32">
        <f t="shared" si="51"/>
        <v>-1</v>
      </c>
      <c r="O669" s="6" t="str">
        <f>IF(ABS(M669)&lt;Overview!$B$6,"OK",IF(I669=0,"REVIEW (zero base)",IF(ABS(M669/ABS(I669))&gt;=Overview!$B$5,"REVIEW","OK")))</f>
        <v>OK</v>
      </c>
      <c r="P669" s="31">
        <f t="shared" si="52"/>
        <v>0</v>
      </c>
      <c r="Q669" s="32" t="str">
        <f t="shared" si="53"/>
        <v>n/a</v>
      </c>
      <c r="R669" s="6" t="str">
        <f>IF(ABS(P669)&lt;Overview!$B$6,"OK",IF(J669=0,"REVIEW (zero base)",IF(ABS(P669/ABS(J669))&gt;=Overview!$B$5,"REVIEW","OK")))</f>
        <v>OK</v>
      </c>
      <c r="S669" s="33">
        <f t="shared" si="54"/>
        <v>7311.000669</v>
      </c>
    </row>
    <row r="670" spans="1:19" x14ac:dyDescent="0.2">
      <c r="A670" s="17">
        <v>668</v>
      </c>
      <c r="B670" s="17" t="s">
        <v>171</v>
      </c>
      <c r="C670" s="17" t="s">
        <v>338</v>
      </c>
      <c r="D670" s="17" t="s">
        <v>62</v>
      </c>
      <c r="E670" s="17" t="s">
        <v>137</v>
      </c>
      <c r="F670" s="17" t="s">
        <v>341</v>
      </c>
      <c r="G670" s="17" t="s">
        <v>342</v>
      </c>
      <c r="H670" s="30">
        <v>3900</v>
      </c>
      <c r="I670" s="30">
        <v>2524</v>
      </c>
      <c r="J670" s="30">
        <v>4308</v>
      </c>
      <c r="K670" s="30">
        <v>4308</v>
      </c>
      <c r="L670" s="30">
        <v>4308</v>
      </c>
      <c r="M670" s="31">
        <f t="shared" si="50"/>
        <v>1784</v>
      </c>
      <c r="N670" s="32">
        <f t="shared" si="51"/>
        <v>0.70681458003169573</v>
      </c>
      <c r="O670" s="6" t="str">
        <f>IF(ABS(M670)&lt;Overview!$B$6,"OK",IF(I670=0,"REVIEW (zero base)",IF(ABS(M670/ABS(I670))&gt;=Overview!$B$5,"REVIEW","OK")))</f>
        <v>OK</v>
      </c>
      <c r="P670" s="31">
        <f t="shared" si="52"/>
        <v>0</v>
      </c>
      <c r="Q670" s="32">
        <f t="shared" si="53"/>
        <v>0</v>
      </c>
      <c r="R670" s="6" t="str">
        <f>IF(ABS(P670)&lt;Overview!$B$6,"OK",IF(J670=0,"REVIEW (zero base)",IF(ABS(P670/ABS(J670))&gt;=Overview!$B$5,"REVIEW","OK")))</f>
        <v>OK</v>
      </c>
      <c r="S670" s="33">
        <f t="shared" si="54"/>
        <v>1784.0006699999999</v>
      </c>
    </row>
    <row r="671" spans="1:19" x14ac:dyDescent="0.2">
      <c r="A671" s="17">
        <v>669</v>
      </c>
      <c r="B671" s="17" t="s">
        <v>171</v>
      </c>
      <c r="C671" s="17" t="s">
        <v>338</v>
      </c>
      <c r="D671" s="17" t="s">
        <v>62</v>
      </c>
      <c r="E671" s="17" t="s">
        <v>137</v>
      </c>
      <c r="F671" s="17" t="s">
        <v>341</v>
      </c>
      <c r="G671" s="17" t="s">
        <v>375</v>
      </c>
      <c r="H671" s="30">
        <v>12315</v>
      </c>
      <c r="I671" s="30">
        <v>11159</v>
      </c>
      <c r="J671" s="30">
        <v>9100</v>
      </c>
      <c r="K671" s="30">
        <v>9100</v>
      </c>
      <c r="L671" s="30">
        <v>9100</v>
      </c>
      <c r="M671" s="31">
        <f t="shared" si="50"/>
        <v>-2059</v>
      </c>
      <c r="N671" s="32">
        <f t="shared" si="51"/>
        <v>-0.18451474146428892</v>
      </c>
      <c r="O671" s="6" t="str">
        <f>IF(ABS(M671)&lt;Overview!$B$6,"OK",IF(I671=0,"REVIEW (zero base)",IF(ABS(M671/ABS(I671))&gt;=Overview!$B$5,"REVIEW","OK")))</f>
        <v>OK</v>
      </c>
      <c r="P671" s="31">
        <f t="shared" si="52"/>
        <v>0</v>
      </c>
      <c r="Q671" s="32">
        <f t="shared" si="53"/>
        <v>0</v>
      </c>
      <c r="R671" s="6" t="str">
        <f>IF(ABS(P671)&lt;Overview!$B$6,"OK",IF(J671=0,"REVIEW (zero base)",IF(ABS(P671/ABS(J671))&gt;=Overview!$B$5,"REVIEW","OK")))</f>
        <v>OK</v>
      </c>
      <c r="S671" s="33">
        <f t="shared" si="54"/>
        <v>2059.0006709999998</v>
      </c>
    </row>
    <row r="672" spans="1:19" x14ac:dyDescent="0.2">
      <c r="A672" s="17">
        <v>670</v>
      </c>
      <c r="B672" s="17" t="s">
        <v>171</v>
      </c>
      <c r="C672" s="17" t="s">
        <v>338</v>
      </c>
      <c r="D672" s="17" t="s">
        <v>62</v>
      </c>
      <c r="E672" s="17" t="s">
        <v>137</v>
      </c>
      <c r="F672" s="17" t="s">
        <v>341</v>
      </c>
      <c r="G672" s="17" t="s">
        <v>376</v>
      </c>
      <c r="H672" s="30">
        <v>40160</v>
      </c>
      <c r="I672" s="30">
        <v>42536</v>
      </c>
      <c r="J672" s="30">
        <v>44486</v>
      </c>
      <c r="K672" s="30">
        <v>44316</v>
      </c>
      <c r="L672" s="30">
        <v>46634</v>
      </c>
      <c r="M672" s="31">
        <f t="shared" si="50"/>
        <v>1950</v>
      </c>
      <c r="N672" s="32">
        <f t="shared" si="51"/>
        <v>4.5843520782396091E-2</v>
      </c>
      <c r="O672" s="6" t="str">
        <f>IF(ABS(M672)&lt;Overview!$B$6,"OK",IF(I672=0,"REVIEW (zero base)",IF(ABS(M672/ABS(I672))&gt;=Overview!$B$5,"REVIEW","OK")))</f>
        <v>OK</v>
      </c>
      <c r="P672" s="31">
        <f t="shared" si="52"/>
        <v>-170</v>
      </c>
      <c r="Q672" s="32">
        <f t="shared" si="53"/>
        <v>-3.8214269657869892E-3</v>
      </c>
      <c r="R672" s="6" t="str">
        <f>IF(ABS(P672)&lt;Overview!$B$6,"OK",IF(J672=0,"REVIEW (zero base)",IF(ABS(P672/ABS(J672))&gt;=Overview!$B$5,"REVIEW","OK")))</f>
        <v>OK</v>
      </c>
      <c r="S672" s="33">
        <f t="shared" si="54"/>
        <v>1950.0006719999999</v>
      </c>
    </row>
    <row r="673" spans="1:19" x14ac:dyDescent="0.2">
      <c r="A673" s="17">
        <v>671</v>
      </c>
      <c r="B673" s="17" t="s">
        <v>171</v>
      </c>
      <c r="C673" s="17" t="s">
        <v>338</v>
      </c>
      <c r="D673" s="17" t="s">
        <v>62</v>
      </c>
      <c r="E673" s="17" t="s">
        <v>137</v>
      </c>
      <c r="F673" s="17" t="s">
        <v>341</v>
      </c>
      <c r="G673" s="17" t="s">
        <v>343</v>
      </c>
      <c r="H673" s="30">
        <v>12694</v>
      </c>
      <c r="I673" s="30">
        <v>12144</v>
      </c>
      <c r="J673" s="30">
        <v>15098</v>
      </c>
      <c r="K673" s="30">
        <v>14716</v>
      </c>
      <c r="L673" s="30">
        <v>14863</v>
      </c>
      <c r="M673" s="31">
        <f t="shared" si="50"/>
        <v>2954</v>
      </c>
      <c r="N673" s="32">
        <f t="shared" si="51"/>
        <v>0.24324769433465085</v>
      </c>
      <c r="O673" s="6" t="str">
        <f>IF(ABS(M673)&lt;Overview!$B$6,"OK",IF(I673=0,"REVIEW (zero base)",IF(ABS(M673/ABS(I673))&gt;=Overview!$B$5,"REVIEW","OK")))</f>
        <v>OK</v>
      </c>
      <c r="P673" s="31">
        <f t="shared" si="52"/>
        <v>-382</v>
      </c>
      <c r="Q673" s="32">
        <f t="shared" si="53"/>
        <v>-2.530136441912836E-2</v>
      </c>
      <c r="R673" s="6" t="str">
        <f>IF(ABS(P673)&lt;Overview!$B$6,"OK",IF(J673=0,"REVIEW (zero base)",IF(ABS(P673/ABS(J673))&gt;=Overview!$B$5,"REVIEW","OK")))</f>
        <v>OK</v>
      </c>
      <c r="S673" s="33">
        <f t="shared" si="54"/>
        <v>2954.000673</v>
      </c>
    </row>
    <row r="674" spans="1:19" x14ac:dyDescent="0.2">
      <c r="A674" s="17">
        <v>672</v>
      </c>
      <c r="B674" s="17" t="s">
        <v>171</v>
      </c>
      <c r="C674" s="17" t="s">
        <v>338</v>
      </c>
      <c r="D674" s="17" t="s">
        <v>62</v>
      </c>
      <c r="E674" s="17" t="s">
        <v>137</v>
      </c>
      <c r="F674" s="17" t="s">
        <v>341</v>
      </c>
      <c r="G674" s="17" t="s">
        <v>396</v>
      </c>
      <c r="H674" s="30">
        <v>8283</v>
      </c>
      <c r="I674" s="30">
        <v>3388</v>
      </c>
      <c r="J674" s="30">
        <v>0</v>
      </c>
      <c r="K674" s="30">
        <v>0</v>
      </c>
      <c r="L674" s="30">
        <v>0</v>
      </c>
      <c r="M674" s="31">
        <f t="shared" si="50"/>
        <v>-3388</v>
      </c>
      <c r="N674" s="32">
        <f t="shared" si="51"/>
        <v>-1</v>
      </c>
      <c r="O674" s="6" t="str">
        <f>IF(ABS(M674)&lt;Overview!$B$6,"OK",IF(I674=0,"REVIEW (zero base)",IF(ABS(M674/ABS(I674))&gt;=Overview!$B$5,"REVIEW","OK")))</f>
        <v>OK</v>
      </c>
      <c r="P674" s="31">
        <f t="shared" si="52"/>
        <v>0</v>
      </c>
      <c r="Q674" s="32" t="str">
        <f t="shared" si="53"/>
        <v>n/a</v>
      </c>
      <c r="R674" s="6" t="str">
        <f>IF(ABS(P674)&lt;Overview!$B$6,"OK",IF(J674=0,"REVIEW (zero base)",IF(ABS(P674/ABS(J674))&gt;=Overview!$B$5,"REVIEW","OK")))</f>
        <v>OK</v>
      </c>
      <c r="S674" s="33">
        <f t="shared" si="54"/>
        <v>3388.0006739999999</v>
      </c>
    </row>
    <row r="675" spans="1:19" x14ac:dyDescent="0.2">
      <c r="A675" s="17">
        <v>673</v>
      </c>
      <c r="B675" s="17" t="s">
        <v>171</v>
      </c>
      <c r="C675" s="17" t="s">
        <v>338</v>
      </c>
      <c r="D675" s="17" t="s">
        <v>62</v>
      </c>
      <c r="E675" s="17" t="s">
        <v>137</v>
      </c>
      <c r="F675" s="17" t="s">
        <v>341</v>
      </c>
      <c r="G675" s="17" t="s">
        <v>378</v>
      </c>
      <c r="H675" s="30">
        <v>10795</v>
      </c>
      <c r="I675" s="30">
        <v>8422</v>
      </c>
      <c r="J675" s="30">
        <v>6878</v>
      </c>
      <c r="K675" s="30">
        <v>7280</v>
      </c>
      <c r="L675" s="30">
        <v>7603</v>
      </c>
      <c r="M675" s="31">
        <f t="shared" si="50"/>
        <v>-1544</v>
      </c>
      <c r="N675" s="32">
        <f t="shared" si="51"/>
        <v>-0.1833293754452624</v>
      </c>
      <c r="O675" s="6" t="str">
        <f>IF(ABS(M675)&lt;Overview!$B$6,"OK",IF(I675=0,"REVIEW (zero base)",IF(ABS(M675/ABS(I675))&gt;=Overview!$B$5,"REVIEW","OK")))</f>
        <v>OK</v>
      </c>
      <c r="P675" s="31">
        <f t="shared" si="52"/>
        <v>402</v>
      </c>
      <c r="Q675" s="32">
        <f t="shared" si="53"/>
        <v>5.8447223029950569E-2</v>
      </c>
      <c r="R675" s="6" t="str">
        <f>IF(ABS(P675)&lt;Overview!$B$6,"OK",IF(J675=0,"REVIEW (zero base)",IF(ABS(P675/ABS(J675))&gt;=Overview!$B$5,"REVIEW","OK")))</f>
        <v>OK</v>
      </c>
      <c r="S675" s="33">
        <f t="shared" si="54"/>
        <v>1544.000675</v>
      </c>
    </row>
    <row r="676" spans="1:19" x14ac:dyDescent="0.2">
      <c r="A676" s="17">
        <v>674</v>
      </c>
      <c r="B676" s="17" t="s">
        <v>171</v>
      </c>
      <c r="C676" s="17" t="s">
        <v>338</v>
      </c>
      <c r="D676" s="17" t="s">
        <v>62</v>
      </c>
      <c r="E676" s="17" t="s">
        <v>137</v>
      </c>
      <c r="F676" s="17" t="s">
        <v>341</v>
      </c>
      <c r="G676" s="17" t="s">
        <v>344</v>
      </c>
      <c r="H676" s="30">
        <v>41139</v>
      </c>
      <c r="I676" s="30">
        <v>26216</v>
      </c>
      <c r="J676" s="30">
        <v>30010</v>
      </c>
      <c r="K676" s="30">
        <v>38556</v>
      </c>
      <c r="L676" s="30">
        <v>39327</v>
      </c>
      <c r="M676" s="31">
        <f t="shared" si="50"/>
        <v>3794</v>
      </c>
      <c r="N676" s="32">
        <f t="shared" si="51"/>
        <v>0.14472078120231918</v>
      </c>
      <c r="O676" s="6" t="str">
        <f>IF(ABS(M676)&lt;Overview!$B$6,"OK",IF(I676=0,"REVIEW (zero base)",IF(ABS(M676/ABS(I676))&gt;=Overview!$B$5,"REVIEW","OK")))</f>
        <v>OK</v>
      </c>
      <c r="P676" s="31">
        <f t="shared" si="52"/>
        <v>8546</v>
      </c>
      <c r="Q676" s="32">
        <f t="shared" si="53"/>
        <v>0.28477174275241585</v>
      </c>
      <c r="R676" s="6" t="str">
        <f>IF(ABS(P676)&lt;Overview!$B$6,"OK",IF(J676=0,"REVIEW (zero base)",IF(ABS(P676/ABS(J676))&gt;=Overview!$B$5,"REVIEW","OK")))</f>
        <v>OK</v>
      </c>
      <c r="S676" s="33">
        <f t="shared" si="54"/>
        <v>3794.0006760000001</v>
      </c>
    </row>
    <row r="677" spans="1:19" x14ac:dyDescent="0.2">
      <c r="A677" s="17">
        <v>675</v>
      </c>
      <c r="B677" s="17" t="s">
        <v>171</v>
      </c>
      <c r="C677" s="17" t="s">
        <v>338</v>
      </c>
      <c r="D677" s="17" t="s">
        <v>62</v>
      </c>
      <c r="E677" s="17" t="s">
        <v>141</v>
      </c>
      <c r="F677" s="17" t="s">
        <v>339</v>
      </c>
      <c r="G677" s="17" t="s">
        <v>340</v>
      </c>
      <c r="H677" s="30">
        <v>15291</v>
      </c>
      <c r="I677" s="30">
        <v>17698</v>
      </c>
      <c r="J677" s="30">
        <v>18450</v>
      </c>
      <c r="K677" s="30">
        <v>18450</v>
      </c>
      <c r="L677" s="30">
        <v>18450</v>
      </c>
      <c r="M677" s="31">
        <f t="shared" si="50"/>
        <v>752</v>
      </c>
      <c r="N677" s="32">
        <f t="shared" si="51"/>
        <v>4.2490676912645499E-2</v>
      </c>
      <c r="O677" s="6" t="str">
        <f>IF(ABS(M677)&lt;Overview!$B$6,"OK",IF(I677=0,"REVIEW (zero base)",IF(ABS(M677/ABS(I677))&gt;=Overview!$B$5,"REVIEW","OK")))</f>
        <v>OK</v>
      </c>
      <c r="P677" s="31">
        <f t="shared" si="52"/>
        <v>0</v>
      </c>
      <c r="Q677" s="32">
        <f t="shared" si="53"/>
        <v>0</v>
      </c>
      <c r="R677" s="6" t="str">
        <f>IF(ABS(P677)&lt;Overview!$B$6,"OK",IF(J677=0,"REVIEW (zero base)",IF(ABS(P677/ABS(J677))&gt;=Overview!$B$5,"REVIEW","OK")))</f>
        <v>OK</v>
      </c>
      <c r="S677" s="33">
        <f t="shared" si="54"/>
        <v>752.000677</v>
      </c>
    </row>
    <row r="678" spans="1:19" x14ac:dyDescent="0.2">
      <c r="A678" s="17">
        <v>676</v>
      </c>
      <c r="B678" s="17" t="s">
        <v>171</v>
      </c>
      <c r="C678" s="17" t="s">
        <v>338</v>
      </c>
      <c r="D678" s="17" t="s">
        <v>62</v>
      </c>
      <c r="E678" s="17" t="s">
        <v>141</v>
      </c>
      <c r="F678" s="17" t="s">
        <v>341</v>
      </c>
      <c r="G678" s="17" t="s">
        <v>343</v>
      </c>
      <c r="H678" s="30">
        <v>1170</v>
      </c>
      <c r="I678" s="30">
        <v>1354</v>
      </c>
      <c r="J678" s="30">
        <v>1416</v>
      </c>
      <c r="K678" s="30">
        <v>1416</v>
      </c>
      <c r="L678" s="30">
        <v>1430</v>
      </c>
      <c r="M678" s="31">
        <f t="shared" si="50"/>
        <v>62</v>
      </c>
      <c r="N678" s="32">
        <f t="shared" si="51"/>
        <v>4.5790251107828653E-2</v>
      </c>
      <c r="O678" s="6" t="str">
        <f>IF(ABS(M678)&lt;Overview!$B$6,"OK",IF(I678=0,"REVIEW (zero base)",IF(ABS(M678/ABS(I678))&gt;=Overview!$B$5,"REVIEW","OK")))</f>
        <v>OK</v>
      </c>
      <c r="P678" s="31">
        <f t="shared" si="52"/>
        <v>0</v>
      </c>
      <c r="Q678" s="32">
        <f t="shared" si="53"/>
        <v>0</v>
      </c>
      <c r="R678" s="6" t="str">
        <f>IF(ABS(P678)&lt;Overview!$B$6,"OK",IF(J678=0,"REVIEW (zero base)",IF(ABS(P678/ABS(J678))&gt;=Overview!$B$5,"REVIEW","OK")))</f>
        <v>OK</v>
      </c>
      <c r="S678" s="33">
        <f t="shared" si="54"/>
        <v>62.000678000000001</v>
      </c>
    </row>
    <row r="679" spans="1:19" x14ac:dyDescent="0.2">
      <c r="A679" s="17">
        <v>677</v>
      </c>
      <c r="B679" s="17" t="s">
        <v>171</v>
      </c>
      <c r="C679" s="17" t="s">
        <v>338</v>
      </c>
      <c r="D679" s="17" t="s">
        <v>62</v>
      </c>
      <c r="E679" s="17" t="s">
        <v>141</v>
      </c>
      <c r="F679" s="17" t="s">
        <v>364</v>
      </c>
      <c r="G679" s="17" t="s">
        <v>383</v>
      </c>
      <c r="H679" s="30">
        <v>1039</v>
      </c>
      <c r="I679" s="30">
        <v>1575</v>
      </c>
      <c r="J679" s="30">
        <v>0</v>
      </c>
      <c r="K679" s="30">
        <v>0</v>
      </c>
      <c r="L679" s="30">
        <v>0</v>
      </c>
      <c r="M679" s="31">
        <f t="shared" si="50"/>
        <v>-1575</v>
      </c>
      <c r="N679" s="32">
        <f t="shared" si="51"/>
        <v>-1</v>
      </c>
      <c r="O679" s="6" t="str">
        <f>IF(ABS(M679)&lt;Overview!$B$6,"OK",IF(I679=0,"REVIEW (zero base)",IF(ABS(M679/ABS(I679))&gt;=Overview!$B$5,"REVIEW","OK")))</f>
        <v>OK</v>
      </c>
      <c r="P679" s="31">
        <f t="shared" si="52"/>
        <v>0</v>
      </c>
      <c r="Q679" s="32" t="str">
        <f t="shared" si="53"/>
        <v>n/a</v>
      </c>
      <c r="R679" s="6" t="str">
        <f>IF(ABS(P679)&lt;Overview!$B$6,"OK",IF(J679=0,"REVIEW (zero base)",IF(ABS(P679/ABS(J679))&gt;=Overview!$B$5,"REVIEW","OK")))</f>
        <v>OK</v>
      </c>
      <c r="S679" s="33">
        <f t="shared" si="54"/>
        <v>1575.000679</v>
      </c>
    </row>
    <row r="680" spans="1:19" x14ac:dyDescent="0.2">
      <c r="A680" s="17">
        <v>678</v>
      </c>
      <c r="B680" s="17" t="s">
        <v>171</v>
      </c>
      <c r="C680" s="17" t="s">
        <v>338</v>
      </c>
      <c r="D680" s="17" t="s">
        <v>62</v>
      </c>
      <c r="E680" s="17" t="s">
        <v>143</v>
      </c>
      <c r="F680" s="17" t="s">
        <v>339</v>
      </c>
      <c r="G680" s="17" t="s">
        <v>340</v>
      </c>
      <c r="H680" s="30">
        <v>13000</v>
      </c>
      <c r="I680" s="30">
        <v>11023</v>
      </c>
      <c r="J680" s="30">
        <v>13000</v>
      </c>
      <c r="K680" s="30">
        <v>13000</v>
      </c>
      <c r="L680" s="30">
        <v>13000</v>
      </c>
      <c r="M680" s="31">
        <f t="shared" si="50"/>
        <v>1977</v>
      </c>
      <c r="N680" s="32">
        <f t="shared" si="51"/>
        <v>0.17935226344915178</v>
      </c>
      <c r="O680" s="6" t="str">
        <f>IF(ABS(M680)&lt;Overview!$B$6,"OK",IF(I680=0,"REVIEW (zero base)",IF(ABS(M680/ABS(I680))&gt;=Overview!$B$5,"REVIEW","OK")))</f>
        <v>OK</v>
      </c>
      <c r="P680" s="31">
        <f t="shared" si="52"/>
        <v>0</v>
      </c>
      <c r="Q680" s="32">
        <f t="shared" si="53"/>
        <v>0</v>
      </c>
      <c r="R680" s="6" t="str">
        <f>IF(ABS(P680)&lt;Overview!$B$6,"OK",IF(J680=0,"REVIEW (zero base)",IF(ABS(P680/ABS(J680))&gt;=Overview!$B$5,"REVIEW","OK")))</f>
        <v>OK</v>
      </c>
      <c r="S680" s="33">
        <f t="shared" si="54"/>
        <v>1977.0006800000001</v>
      </c>
    </row>
    <row r="681" spans="1:19" x14ac:dyDescent="0.2">
      <c r="A681" s="17">
        <v>679</v>
      </c>
      <c r="B681" s="17" t="s">
        <v>171</v>
      </c>
      <c r="C681" s="17" t="s">
        <v>338</v>
      </c>
      <c r="D681" s="17" t="s">
        <v>62</v>
      </c>
      <c r="E681" s="17" t="s">
        <v>143</v>
      </c>
      <c r="F681" s="17" t="s">
        <v>341</v>
      </c>
      <c r="G681" s="17" t="s">
        <v>343</v>
      </c>
      <c r="H681" s="30">
        <v>994</v>
      </c>
      <c r="I681" s="30">
        <v>843</v>
      </c>
      <c r="J681" s="30">
        <v>1020</v>
      </c>
      <c r="K681" s="30">
        <v>1020</v>
      </c>
      <c r="L681" s="30">
        <v>1030</v>
      </c>
      <c r="M681" s="31">
        <f t="shared" si="50"/>
        <v>177</v>
      </c>
      <c r="N681" s="32">
        <f t="shared" si="51"/>
        <v>0.20996441281138789</v>
      </c>
      <c r="O681" s="6" t="str">
        <f>IF(ABS(M681)&lt;Overview!$B$6,"OK",IF(I681=0,"REVIEW (zero base)",IF(ABS(M681/ABS(I681))&gt;=Overview!$B$5,"REVIEW","OK")))</f>
        <v>OK</v>
      </c>
      <c r="P681" s="31">
        <f t="shared" si="52"/>
        <v>0</v>
      </c>
      <c r="Q681" s="32">
        <f t="shared" si="53"/>
        <v>0</v>
      </c>
      <c r="R681" s="6" t="str">
        <f>IF(ABS(P681)&lt;Overview!$B$6,"OK",IF(J681=0,"REVIEW (zero base)",IF(ABS(P681/ABS(J681))&gt;=Overview!$B$5,"REVIEW","OK")))</f>
        <v>OK</v>
      </c>
      <c r="S681" s="33">
        <f t="shared" si="54"/>
        <v>177.00068099999999</v>
      </c>
    </row>
    <row r="682" spans="1:19" x14ac:dyDescent="0.2">
      <c r="A682" s="17">
        <v>680</v>
      </c>
      <c r="B682" s="17" t="s">
        <v>171</v>
      </c>
      <c r="C682" s="17" t="s">
        <v>338</v>
      </c>
      <c r="D682" s="17" t="s">
        <v>62</v>
      </c>
      <c r="E682" s="17" t="s">
        <v>143</v>
      </c>
      <c r="F682" s="17" t="s">
        <v>364</v>
      </c>
      <c r="G682" s="17" t="s">
        <v>383</v>
      </c>
      <c r="H682" s="30">
        <v>117</v>
      </c>
      <c r="I682" s="30">
        <v>0</v>
      </c>
      <c r="J682" s="30">
        <v>0</v>
      </c>
      <c r="K682" s="30">
        <v>0</v>
      </c>
      <c r="L682" s="30">
        <v>0</v>
      </c>
      <c r="M682" s="31">
        <f t="shared" si="50"/>
        <v>0</v>
      </c>
      <c r="N682" s="32" t="str">
        <f t="shared" si="51"/>
        <v>n/a</v>
      </c>
      <c r="O682" s="6" t="str">
        <f>IF(ABS(M682)&lt;Overview!$B$6,"OK",IF(I682=0,"REVIEW (zero base)",IF(ABS(M682/ABS(I682))&gt;=Overview!$B$5,"REVIEW","OK")))</f>
        <v>OK</v>
      </c>
      <c r="P682" s="31">
        <f t="shared" si="52"/>
        <v>0</v>
      </c>
      <c r="Q682" s="32" t="str">
        <f t="shared" si="53"/>
        <v>n/a</v>
      </c>
      <c r="R682" s="6" t="str">
        <f>IF(ABS(P682)&lt;Overview!$B$6,"OK",IF(J682=0,"REVIEW (zero base)",IF(ABS(P682/ABS(J682))&gt;=Overview!$B$5,"REVIEW","OK")))</f>
        <v>OK</v>
      </c>
      <c r="S682" s="33">
        <f t="shared" si="54"/>
        <v>6.8199999999999999E-4</v>
      </c>
    </row>
    <row r="683" spans="1:19" x14ac:dyDescent="0.2">
      <c r="A683" s="17">
        <v>681</v>
      </c>
      <c r="B683" s="17" t="s">
        <v>171</v>
      </c>
      <c r="C683" s="17" t="s">
        <v>338</v>
      </c>
      <c r="D683" s="17" t="s">
        <v>62</v>
      </c>
      <c r="E683" s="17" t="s">
        <v>147</v>
      </c>
      <c r="F683" s="17" t="s">
        <v>364</v>
      </c>
      <c r="G683" s="17" t="s">
        <v>383</v>
      </c>
      <c r="H683" s="30">
        <v>0</v>
      </c>
      <c r="I683" s="30">
        <v>4</v>
      </c>
      <c r="J683" s="30">
        <v>0</v>
      </c>
      <c r="K683" s="30">
        <v>0</v>
      </c>
      <c r="L683" s="30">
        <v>0</v>
      </c>
      <c r="M683" s="31">
        <f t="shared" si="50"/>
        <v>-4</v>
      </c>
      <c r="N683" s="32">
        <f t="shared" si="51"/>
        <v>-1</v>
      </c>
      <c r="O683" s="6" t="str">
        <f>IF(ABS(M683)&lt;Overview!$B$6,"OK",IF(I683=0,"REVIEW (zero base)",IF(ABS(M683/ABS(I683))&gt;=Overview!$B$5,"REVIEW","OK")))</f>
        <v>OK</v>
      </c>
      <c r="P683" s="31">
        <f t="shared" si="52"/>
        <v>0</v>
      </c>
      <c r="Q683" s="32" t="str">
        <f t="shared" si="53"/>
        <v>n/a</v>
      </c>
      <c r="R683" s="6" t="str">
        <f>IF(ABS(P683)&lt;Overview!$B$6,"OK",IF(J683=0,"REVIEW (zero base)",IF(ABS(P683/ABS(J683))&gt;=Overview!$B$5,"REVIEW","OK")))</f>
        <v>OK</v>
      </c>
      <c r="S683" s="33">
        <f t="shared" si="54"/>
        <v>4.0006830000000004</v>
      </c>
    </row>
    <row r="684" spans="1:19" x14ac:dyDescent="0.2">
      <c r="A684" s="17">
        <v>682</v>
      </c>
      <c r="B684" s="17" t="s">
        <v>171</v>
      </c>
      <c r="C684" s="17" t="s">
        <v>338</v>
      </c>
      <c r="D684" s="17" t="s">
        <v>57</v>
      </c>
      <c r="E684" s="17" t="s">
        <v>87</v>
      </c>
      <c r="F684" s="17" t="s">
        <v>339</v>
      </c>
      <c r="G684" s="17" t="s">
        <v>340</v>
      </c>
      <c r="H684" s="30">
        <v>1735369</v>
      </c>
      <c r="I684" s="30">
        <v>1966321</v>
      </c>
      <c r="J684" s="30">
        <v>2292966</v>
      </c>
      <c r="K684" s="30">
        <v>2959982</v>
      </c>
      <c r="L684" s="30">
        <v>2989582</v>
      </c>
      <c r="M684" s="31">
        <f t="shared" si="50"/>
        <v>326645</v>
      </c>
      <c r="N684" s="32">
        <f t="shared" si="51"/>
        <v>0.1661198756459398</v>
      </c>
      <c r="O684" s="6" t="str">
        <f>IF(ABS(M684)&lt;Overview!$B$6,"OK",IF(I684=0,"REVIEW (zero base)",IF(ABS(M684/ABS(I684))&gt;=Overview!$B$5,"REVIEW","OK")))</f>
        <v>REVIEW</v>
      </c>
      <c r="P684" s="31">
        <f t="shared" si="52"/>
        <v>667016</v>
      </c>
      <c r="Q684" s="32">
        <f t="shared" si="53"/>
        <v>0.29089659419284891</v>
      </c>
      <c r="R684" s="6" t="str">
        <f>IF(ABS(P684)&lt;Overview!$B$6,"OK",IF(J684=0,"REVIEW (zero base)",IF(ABS(P684/ABS(J684))&gt;=Overview!$B$5,"REVIEW","OK")))</f>
        <v>REVIEW</v>
      </c>
      <c r="S684" s="33">
        <f t="shared" si="54"/>
        <v>326645.00068400003</v>
      </c>
    </row>
    <row r="685" spans="1:19" x14ac:dyDescent="0.2">
      <c r="A685" s="17">
        <v>683</v>
      </c>
      <c r="B685" s="17" t="s">
        <v>171</v>
      </c>
      <c r="C685" s="17" t="s">
        <v>338</v>
      </c>
      <c r="D685" s="17" t="s">
        <v>57</v>
      </c>
      <c r="E685" s="17" t="s">
        <v>87</v>
      </c>
      <c r="F685" s="17" t="s">
        <v>339</v>
      </c>
      <c r="G685" s="17" t="s">
        <v>389</v>
      </c>
      <c r="H685" s="30">
        <v>326932</v>
      </c>
      <c r="I685" s="30">
        <v>271656</v>
      </c>
      <c r="J685" s="30">
        <v>163200</v>
      </c>
      <c r="K685" s="30">
        <v>300666</v>
      </c>
      <c r="L685" s="30">
        <v>300666</v>
      </c>
      <c r="M685" s="31">
        <f t="shared" si="50"/>
        <v>-108456</v>
      </c>
      <c r="N685" s="32">
        <f t="shared" si="51"/>
        <v>-0.39924021556674616</v>
      </c>
      <c r="O685" s="6" t="str">
        <f>IF(ABS(M685)&lt;Overview!$B$6,"OK",IF(I685=0,"REVIEW (zero base)",IF(ABS(M685/ABS(I685))&gt;=Overview!$B$5,"REVIEW","OK")))</f>
        <v>OK</v>
      </c>
      <c r="P685" s="31">
        <f t="shared" si="52"/>
        <v>137466</v>
      </c>
      <c r="Q685" s="32">
        <f t="shared" si="53"/>
        <v>0.84231617647058821</v>
      </c>
      <c r="R685" s="6" t="str">
        <f>IF(ABS(P685)&lt;Overview!$B$6,"OK",IF(J685=0,"REVIEW (zero base)",IF(ABS(P685/ABS(J685))&gt;=Overview!$B$5,"REVIEW","OK")))</f>
        <v>OK</v>
      </c>
      <c r="S685" s="33">
        <f t="shared" si="54"/>
        <v>108456.00068500001</v>
      </c>
    </row>
    <row r="686" spans="1:19" x14ac:dyDescent="0.2">
      <c r="A686" s="17">
        <v>684</v>
      </c>
      <c r="B686" s="17" t="s">
        <v>171</v>
      </c>
      <c r="C686" s="17" t="s">
        <v>338</v>
      </c>
      <c r="D686" s="17" t="s">
        <v>57</v>
      </c>
      <c r="E686" s="17" t="s">
        <v>87</v>
      </c>
      <c r="F686" s="17" t="s">
        <v>339</v>
      </c>
      <c r="G686" s="17" t="s">
        <v>390</v>
      </c>
      <c r="H686" s="30">
        <v>84390</v>
      </c>
      <c r="I686" s="30">
        <v>65144</v>
      </c>
      <c r="J686" s="30">
        <v>87864</v>
      </c>
      <c r="K686" s="30">
        <v>100252</v>
      </c>
      <c r="L686" s="30">
        <v>100252</v>
      </c>
      <c r="M686" s="31">
        <f t="shared" si="50"/>
        <v>22720</v>
      </c>
      <c r="N686" s="32">
        <f t="shared" si="51"/>
        <v>0.3487658111261206</v>
      </c>
      <c r="O686" s="6" t="str">
        <f>IF(ABS(M686)&lt;Overview!$B$6,"OK",IF(I686=0,"REVIEW (zero base)",IF(ABS(M686/ABS(I686))&gt;=Overview!$B$5,"REVIEW","OK")))</f>
        <v>OK</v>
      </c>
      <c r="P686" s="31">
        <f t="shared" si="52"/>
        <v>12388</v>
      </c>
      <c r="Q686" s="32">
        <f t="shared" si="53"/>
        <v>0.14099062187016298</v>
      </c>
      <c r="R686" s="6" t="str">
        <f>IF(ABS(P686)&lt;Overview!$B$6,"OK",IF(J686=0,"REVIEW (zero base)",IF(ABS(P686/ABS(J686))&gt;=Overview!$B$5,"REVIEW","OK")))</f>
        <v>OK</v>
      </c>
      <c r="S686" s="33">
        <f t="shared" si="54"/>
        <v>22720.000685999999</v>
      </c>
    </row>
    <row r="687" spans="1:19" x14ac:dyDescent="0.2">
      <c r="A687" s="17">
        <v>685</v>
      </c>
      <c r="B687" s="17" t="s">
        <v>171</v>
      </c>
      <c r="C687" s="17" t="s">
        <v>338</v>
      </c>
      <c r="D687" s="17" t="s">
        <v>57</v>
      </c>
      <c r="E687" s="17" t="s">
        <v>87</v>
      </c>
      <c r="F687" s="17" t="s">
        <v>339</v>
      </c>
      <c r="G687" s="17" t="s">
        <v>391</v>
      </c>
      <c r="H687" s="30">
        <v>103141</v>
      </c>
      <c r="I687" s="30">
        <v>78381</v>
      </c>
      <c r="J687" s="30">
        <v>0</v>
      </c>
      <c r="K687" s="30">
        <v>0</v>
      </c>
      <c r="L687" s="30">
        <v>0</v>
      </c>
      <c r="M687" s="31">
        <f t="shared" si="50"/>
        <v>-78381</v>
      </c>
      <c r="N687" s="32">
        <f t="shared" si="51"/>
        <v>-1</v>
      </c>
      <c r="O687" s="6" t="str">
        <f>IF(ABS(M687)&lt;Overview!$B$6,"OK",IF(I687=0,"REVIEW (zero base)",IF(ABS(M687/ABS(I687))&gt;=Overview!$B$5,"REVIEW","OK")))</f>
        <v>OK</v>
      </c>
      <c r="P687" s="31">
        <f t="shared" si="52"/>
        <v>0</v>
      </c>
      <c r="Q687" s="32" t="str">
        <f t="shared" si="53"/>
        <v>n/a</v>
      </c>
      <c r="R687" s="6" t="str">
        <f>IF(ABS(P687)&lt;Overview!$B$6,"OK",IF(J687=0,"REVIEW (zero base)",IF(ABS(P687/ABS(J687))&gt;=Overview!$B$5,"REVIEW","OK")))</f>
        <v>OK</v>
      </c>
      <c r="S687" s="33">
        <f t="shared" si="54"/>
        <v>78381.000687000007</v>
      </c>
    </row>
    <row r="688" spans="1:19" x14ac:dyDescent="0.2">
      <c r="A688" s="17">
        <v>686</v>
      </c>
      <c r="B688" s="17" t="s">
        <v>171</v>
      </c>
      <c r="C688" s="17" t="s">
        <v>338</v>
      </c>
      <c r="D688" s="17" t="s">
        <v>57</v>
      </c>
      <c r="E688" s="17" t="s">
        <v>87</v>
      </c>
      <c r="F688" s="17" t="s">
        <v>339</v>
      </c>
      <c r="G688" s="17" t="s">
        <v>392</v>
      </c>
      <c r="H688" s="30">
        <v>167382</v>
      </c>
      <c r="I688" s="30">
        <v>120425</v>
      </c>
      <c r="J688" s="30">
        <v>0</v>
      </c>
      <c r="K688" s="30">
        <v>0</v>
      </c>
      <c r="L688" s="30">
        <v>0</v>
      </c>
      <c r="M688" s="31">
        <f t="shared" si="50"/>
        <v>-120425</v>
      </c>
      <c r="N688" s="32">
        <f t="shared" si="51"/>
        <v>-1</v>
      </c>
      <c r="O688" s="6" t="str">
        <f>IF(ABS(M688)&lt;Overview!$B$6,"OK",IF(I688=0,"REVIEW (zero base)",IF(ABS(M688/ABS(I688))&gt;=Overview!$B$5,"REVIEW","OK")))</f>
        <v>OK</v>
      </c>
      <c r="P688" s="31">
        <f t="shared" si="52"/>
        <v>0</v>
      </c>
      <c r="Q688" s="32" t="str">
        <f t="shared" si="53"/>
        <v>n/a</v>
      </c>
      <c r="R688" s="6" t="str">
        <f>IF(ABS(P688)&lt;Overview!$B$6,"OK",IF(J688=0,"REVIEW (zero base)",IF(ABS(P688/ABS(J688))&gt;=Overview!$B$5,"REVIEW","OK")))</f>
        <v>OK</v>
      </c>
      <c r="S688" s="33">
        <f t="shared" si="54"/>
        <v>120425.000688</v>
      </c>
    </row>
    <row r="689" spans="1:19" x14ac:dyDescent="0.2">
      <c r="A689" s="17">
        <v>687</v>
      </c>
      <c r="B689" s="17" t="s">
        <v>171</v>
      </c>
      <c r="C689" s="17" t="s">
        <v>338</v>
      </c>
      <c r="D689" s="17" t="s">
        <v>57</v>
      </c>
      <c r="E689" s="17" t="s">
        <v>87</v>
      </c>
      <c r="F689" s="17" t="s">
        <v>339</v>
      </c>
      <c r="G689" s="17" t="s">
        <v>393</v>
      </c>
      <c r="H689" s="30">
        <v>6917</v>
      </c>
      <c r="I689" s="30">
        <v>5319</v>
      </c>
      <c r="J689" s="30">
        <v>0</v>
      </c>
      <c r="K689" s="30">
        <v>0</v>
      </c>
      <c r="L689" s="30">
        <v>0</v>
      </c>
      <c r="M689" s="31">
        <f t="shared" si="50"/>
        <v>-5319</v>
      </c>
      <c r="N689" s="32">
        <f t="shared" si="51"/>
        <v>-1</v>
      </c>
      <c r="O689" s="6" t="str">
        <f>IF(ABS(M689)&lt;Overview!$B$6,"OK",IF(I689=0,"REVIEW (zero base)",IF(ABS(M689/ABS(I689))&gt;=Overview!$B$5,"REVIEW","OK")))</f>
        <v>OK</v>
      </c>
      <c r="P689" s="31">
        <f t="shared" si="52"/>
        <v>0</v>
      </c>
      <c r="Q689" s="32" t="str">
        <f t="shared" si="53"/>
        <v>n/a</v>
      </c>
      <c r="R689" s="6" t="str">
        <f>IF(ABS(P689)&lt;Overview!$B$6,"OK",IF(J689=0,"REVIEW (zero base)",IF(ABS(P689/ABS(J689))&gt;=Overview!$B$5,"REVIEW","OK")))</f>
        <v>OK</v>
      </c>
      <c r="S689" s="33">
        <f t="shared" si="54"/>
        <v>5319.0006890000004</v>
      </c>
    </row>
    <row r="690" spans="1:19" x14ac:dyDescent="0.2">
      <c r="A690" s="17">
        <v>688</v>
      </c>
      <c r="B690" s="17" t="s">
        <v>171</v>
      </c>
      <c r="C690" s="17" t="s">
        <v>338</v>
      </c>
      <c r="D690" s="17" t="s">
        <v>57</v>
      </c>
      <c r="E690" s="17" t="s">
        <v>87</v>
      </c>
      <c r="F690" s="17" t="s">
        <v>339</v>
      </c>
      <c r="G690" s="17" t="s">
        <v>394</v>
      </c>
      <c r="H690" s="30">
        <v>139520</v>
      </c>
      <c r="I690" s="30">
        <v>142049</v>
      </c>
      <c r="J690" s="30">
        <v>0</v>
      </c>
      <c r="K690" s="30">
        <v>0</v>
      </c>
      <c r="L690" s="30">
        <v>0</v>
      </c>
      <c r="M690" s="31">
        <f t="shared" si="50"/>
        <v>-142049</v>
      </c>
      <c r="N690" s="32">
        <f t="shared" si="51"/>
        <v>-1</v>
      </c>
      <c r="O690" s="6" t="str">
        <f>IF(ABS(M690)&lt;Overview!$B$6,"OK",IF(I690=0,"REVIEW (zero base)",IF(ABS(M690/ABS(I690))&gt;=Overview!$B$5,"REVIEW","OK")))</f>
        <v>OK</v>
      </c>
      <c r="P690" s="31">
        <f t="shared" si="52"/>
        <v>0</v>
      </c>
      <c r="Q690" s="32" t="str">
        <f t="shared" si="53"/>
        <v>n/a</v>
      </c>
      <c r="R690" s="6" t="str">
        <f>IF(ABS(P690)&lt;Overview!$B$6,"OK",IF(J690=0,"REVIEW (zero base)",IF(ABS(P690/ABS(J690))&gt;=Overview!$B$5,"REVIEW","OK")))</f>
        <v>OK</v>
      </c>
      <c r="S690" s="33">
        <f t="shared" si="54"/>
        <v>142049.00068999999</v>
      </c>
    </row>
    <row r="691" spans="1:19" x14ac:dyDescent="0.2">
      <c r="A691" s="17">
        <v>689</v>
      </c>
      <c r="B691" s="17" t="s">
        <v>171</v>
      </c>
      <c r="C691" s="17" t="s">
        <v>338</v>
      </c>
      <c r="D691" s="17" t="s">
        <v>57</v>
      </c>
      <c r="E691" s="17" t="s">
        <v>87</v>
      </c>
      <c r="F691" s="17" t="s">
        <v>339</v>
      </c>
      <c r="G691" s="17" t="s">
        <v>395</v>
      </c>
      <c r="H691" s="30">
        <v>74577</v>
      </c>
      <c r="I691" s="30">
        <v>75949</v>
      </c>
      <c r="J691" s="30">
        <v>65509</v>
      </c>
      <c r="K691" s="30">
        <v>67534</v>
      </c>
      <c r="L691" s="30">
        <v>68209</v>
      </c>
      <c r="M691" s="31">
        <f t="shared" si="50"/>
        <v>-10440</v>
      </c>
      <c r="N691" s="32">
        <f t="shared" si="51"/>
        <v>-0.13746066439321122</v>
      </c>
      <c r="O691" s="6" t="str">
        <f>IF(ABS(M691)&lt;Overview!$B$6,"OK",IF(I691=0,"REVIEW (zero base)",IF(ABS(M691/ABS(I691))&gt;=Overview!$B$5,"REVIEW","OK")))</f>
        <v>OK</v>
      </c>
      <c r="P691" s="31">
        <f t="shared" si="52"/>
        <v>2025</v>
      </c>
      <c r="Q691" s="32">
        <f t="shared" si="53"/>
        <v>3.0911783113770627E-2</v>
      </c>
      <c r="R691" s="6" t="str">
        <f>IF(ABS(P691)&lt;Overview!$B$6,"OK",IF(J691=0,"REVIEW (zero base)",IF(ABS(P691/ABS(J691))&gt;=Overview!$B$5,"REVIEW","OK")))</f>
        <v>OK</v>
      </c>
      <c r="S691" s="33">
        <f t="shared" si="54"/>
        <v>10440.000690999999</v>
      </c>
    </row>
    <row r="692" spans="1:19" x14ac:dyDescent="0.2">
      <c r="A692" s="17">
        <v>690</v>
      </c>
      <c r="B692" s="17" t="s">
        <v>171</v>
      </c>
      <c r="C692" s="17" t="s">
        <v>338</v>
      </c>
      <c r="D692" s="17" t="s">
        <v>57</v>
      </c>
      <c r="E692" s="17" t="s">
        <v>87</v>
      </c>
      <c r="F692" s="17" t="s">
        <v>339</v>
      </c>
      <c r="G692" s="17" t="s">
        <v>424</v>
      </c>
      <c r="H692" s="30">
        <v>422</v>
      </c>
      <c r="I692" s="30">
        <v>543</v>
      </c>
      <c r="J692" s="30">
        <v>0</v>
      </c>
      <c r="K692" s="30">
        <v>0</v>
      </c>
      <c r="L692" s="30">
        <v>0</v>
      </c>
      <c r="M692" s="31">
        <f t="shared" si="50"/>
        <v>-543</v>
      </c>
      <c r="N692" s="32">
        <f t="shared" si="51"/>
        <v>-1</v>
      </c>
      <c r="O692" s="6" t="str">
        <f>IF(ABS(M692)&lt;Overview!$B$6,"OK",IF(I692=0,"REVIEW (zero base)",IF(ABS(M692/ABS(I692))&gt;=Overview!$B$5,"REVIEW","OK")))</f>
        <v>OK</v>
      </c>
      <c r="P692" s="31">
        <f t="shared" si="52"/>
        <v>0</v>
      </c>
      <c r="Q692" s="32" t="str">
        <f t="shared" si="53"/>
        <v>n/a</v>
      </c>
      <c r="R692" s="6" t="str">
        <f>IF(ABS(P692)&lt;Overview!$B$6,"OK",IF(J692=0,"REVIEW (zero base)",IF(ABS(P692/ABS(J692))&gt;=Overview!$B$5,"REVIEW","OK")))</f>
        <v>OK</v>
      </c>
      <c r="S692" s="33">
        <f t="shared" si="54"/>
        <v>543.00069199999996</v>
      </c>
    </row>
    <row r="693" spans="1:19" x14ac:dyDescent="0.2">
      <c r="A693" s="17">
        <v>691</v>
      </c>
      <c r="B693" s="17" t="s">
        <v>171</v>
      </c>
      <c r="C693" s="17" t="s">
        <v>338</v>
      </c>
      <c r="D693" s="17" t="s">
        <v>57</v>
      </c>
      <c r="E693" s="17" t="s">
        <v>87</v>
      </c>
      <c r="F693" s="17" t="s">
        <v>339</v>
      </c>
      <c r="G693" s="17" t="s">
        <v>425</v>
      </c>
      <c r="H693" s="30">
        <v>10</v>
      </c>
      <c r="I693" s="30">
        <v>0</v>
      </c>
      <c r="J693" s="30">
        <v>0</v>
      </c>
      <c r="K693" s="30">
        <v>0</v>
      </c>
      <c r="L693" s="30">
        <v>0</v>
      </c>
      <c r="M693" s="31">
        <f t="shared" si="50"/>
        <v>0</v>
      </c>
      <c r="N693" s="32" t="str">
        <f t="shared" si="51"/>
        <v>n/a</v>
      </c>
      <c r="O693" s="6" t="str">
        <f>IF(ABS(M693)&lt;Overview!$B$6,"OK",IF(I693=0,"REVIEW (zero base)",IF(ABS(M693/ABS(I693))&gt;=Overview!$B$5,"REVIEW","OK")))</f>
        <v>OK</v>
      </c>
      <c r="P693" s="31">
        <f t="shared" si="52"/>
        <v>0</v>
      </c>
      <c r="Q693" s="32" t="str">
        <f t="shared" si="53"/>
        <v>n/a</v>
      </c>
      <c r="R693" s="6" t="str">
        <f>IF(ABS(P693)&lt;Overview!$B$6,"OK",IF(J693=0,"REVIEW (zero base)",IF(ABS(P693/ABS(J693))&gt;=Overview!$B$5,"REVIEW","OK")))</f>
        <v>OK</v>
      </c>
      <c r="S693" s="33">
        <f t="shared" si="54"/>
        <v>6.9300000000000004E-4</v>
      </c>
    </row>
    <row r="694" spans="1:19" x14ac:dyDescent="0.2">
      <c r="A694" s="17">
        <v>692</v>
      </c>
      <c r="B694" s="17" t="s">
        <v>171</v>
      </c>
      <c r="C694" s="17" t="s">
        <v>338</v>
      </c>
      <c r="D694" s="17" t="s">
        <v>57</v>
      </c>
      <c r="E694" s="17" t="s">
        <v>87</v>
      </c>
      <c r="F694" s="17" t="s">
        <v>341</v>
      </c>
      <c r="G694" s="17" t="s">
        <v>342</v>
      </c>
      <c r="H694" s="30">
        <v>56090</v>
      </c>
      <c r="I694" s="30">
        <v>53002</v>
      </c>
      <c r="J694" s="30">
        <v>59388</v>
      </c>
      <c r="K694" s="30">
        <v>59388</v>
      </c>
      <c r="L694" s="30">
        <v>59388</v>
      </c>
      <c r="M694" s="31">
        <f t="shared" si="50"/>
        <v>6386</v>
      </c>
      <c r="N694" s="32">
        <f t="shared" si="51"/>
        <v>0.12048601939549451</v>
      </c>
      <c r="O694" s="6" t="str">
        <f>IF(ABS(M694)&lt;Overview!$B$6,"OK",IF(I694=0,"REVIEW (zero base)",IF(ABS(M694/ABS(I694))&gt;=Overview!$B$5,"REVIEW","OK")))</f>
        <v>OK</v>
      </c>
      <c r="P694" s="31">
        <f t="shared" si="52"/>
        <v>0</v>
      </c>
      <c r="Q694" s="32">
        <f t="shared" si="53"/>
        <v>0</v>
      </c>
      <c r="R694" s="6" t="str">
        <f>IF(ABS(P694)&lt;Overview!$B$6,"OK",IF(J694=0,"REVIEW (zero base)",IF(ABS(P694/ABS(J694))&gt;=Overview!$B$5,"REVIEW","OK")))</f>
        <v>OK</v>
      </c>
      <c r="S694" s="33">
        <f t="shared" si="54"/>
        <v>6386.0006940000003</v>
      </c>
    </row>
    <row r="695" spans="1:19" x14ac:dyDescent="0.2">
      <c r="A695" s="17">
        <v>693</v>
      </c>
      <c r="B695" s="17" t="s">
        <v>171</v>
      </c>
      <c r="C695" s="17" t="s">
        <v>338</v>
      </c>
      <c r="D695" s="17" t="s">
        <v>57</v>
      </c>
      <c r="E695" s="17" t="s">
        <v>87</v>
      </c>
      <c r="F695" s="17" t="s">
        <v>341</v>
      </c>
      <c r="G695" s="17" t="s">
        <v>375</v>
      </c>
      <c r="H695" s="30">
        <v>226626</v>
      </c>
      <c r="I695" s="30">
        <v>260926</v>
      </c>
      <c r="J695" s="30">
        <v>269750</v>
      </c>
      <c r="K695" s="30">
        <v>269750</v>
      </c>
      <c r="L695" s="30">
        <v>269750</v>
      </c>
      <c r="M695" s="31">
        <f t="shared" si="50"/>
        <v>8824</v>
      </c>
      <c r="N695" s="32">
        <f t="shared" si="51"/>
        <v>3.3818017368909194E-2</v>
      </c>
      <c r="O695" s="6" t="str">
        <f>IF(ABS(M695)&lt;Overview!$B$6,"OK",IF(I695=0,"REVIEW (zero base)",IF(ABS(M695/ABS(I695))&gt;=Overview!$B$5,"REVIEW","OK")))</f>
        <v>OK</v>
      </c>
      <c r="P695" s="31">
        <f t="shared" si="52"/>
        <v>0</v>
      </c>
      <c r="Q695" s="32">
        <f t="shared" si="53"/>
        <v>0</v>
      </c>
      <c r="R695" s="6" t="str">
        <f>IF(ABS(P695)&lt;Overview!$B$6,"OK",IF(J695=0,"REVIEW (zero base)",IF(ABS(P695/ABS(J695))&gt;=Overview!$B$5,"REVIEW","OK")))</f>
        <v>OK</v>
      </c>
      <c r="S695" s="33">
        <f t="shared" si="54"/>
        <v>8824.0006950000006</v>
      </c>
    </row>
    <row r="696" spans="1:19" x14ac:dyDescent="0.2">
      <c r="A696" s="17">
        <v>694</v>
      </c>
      <c r="B696" s="17" t="s">
        <v>171</v>
      </c>
      <c r="C696" s="17" t="s">
        <v>338</v>
      </c>
      <c r="D696" s="17" t="s">
        <v>57</v>
      </c>
      <c r="E696" s="17" t="s">
        <v>87</v>
      </c>
      <c r="F696" s="17" t="s">
        <v>341</v>
      </c>
      <c r="G696" s="17" t="s">
        <v>376</v>
      </c>
      <c r="H696" s="30">
        <v>630340</v>
      </c>
      <c r="I696" s="30">
        <v>692405</v>
      </c>
      <c r="J696" s="30">
        <v>658225</v>
      </c>
      <c r="K696" s="30">
        <v>721476</v>
      </c>
      <c r="L696" s="30">
        <v>759209</v>
      </c>
      <c r="M696" s="31">
        <f t="shared" si="50"/>
        <v>-34180</v>
      </c>
      <c r="N696" s="32">
        <f t="shared" si="51"/>
        <v>-4.9364172702392385E-2</v>
      </c>
      <c r="O696" s="6" t="str">
        <f>IF(ABS(M696)&lt;Overview!$B$6,"OK",IF(I696=0,"REVIEW (zero base)",IF(ABS(M696/ABS(I696))&gt;=Overview!$B$5,"REVIEW","OK")))</f>
        <v>OK</v>
      </c>
      <c r="P696" s="31">
        <f t="shared" si="52"/>
        <v>63251</v>
      </c>
      <c r="Q696" s="32">
        <f t="shared" si="53"/>
        <v>9.6093281172851222E-2</v>
      </c>
      <c r="R696" s="6" t="str">
        <f>IF(ABS(P696)&lt;Overview!$B$6,"OK",IF(J696=0,"REVIEW (zero base)",IF(ABS(P696/ABS(J696))&gt;=Overview!$B$5,"REVIEW","OK")))</f>
        <v>OK</v>
      </c>
      <c r="S696" s="33">
        <f t="shared" si="54"/>
        <v>34180.000696000003</v>
      </c>
    </row>
    <row r="697" spans="1:19" x14ac:dyDescent="0.2">
      <c r="A697" s="17">
        <v>695</v>
      </c>
      <c r="B697" s="17" t="s">
        <v>171</v>
      </c>
      <c r="C697" s="17" t="s">
        <v>338</v>
      </c>
      <c r="D697" s="17" t="s">
        <v>57</v>
      </c>
      <c r="E697" s="17" t="s">
        <v>87</v>
      </c>
      <c r="F697" s="17" t="s">
        <v>341</v>
      </c>
      <c r="G697" s="17" t="s">
        <v>343</v>
      </c>
      <c r="H697" s="30">
        <v>214309</v>
      </c>
      <c r="I697" s="30">
        <v>213615</v>
      </c>
      <c r="J697" s="30">
        <v>231430</v>
      </c>
      <c r="K697" s="30">
        <v>272872</v>
      </c>
      <c r="L697" s="30">
        <v>275601</v>
      </c>
      <c r="M697" s="31">
        <f t="shared" si="50"/>
        <v>17815</v>
      </c>
      <c r="N697" s="32">
        <f t="shared" si="51"/>
        <v>8.339770147227489E-2</v>
      </c>
      <c r="O697" s="6" t="str">
        <f>IF(ABS(M697)&lt;Overview!$B$6,"OK",IF(I697=0,"REVIEW (zero base)",IF(ABS(M697/ABS(I697))&gt;=Overview!$B$5,"REVIEW","OK")))</f>
        <v>OK</v>
      </c>
      <c r="P697" s="31">
        <f t="shared" si="52"/>
        <v>41442</v>
      </c>
      <c r="Q697" s="32">
        <f t="shared" si="53"/>
        <v>0.17906926500453701</v>
      </c>
      <c r="R697" s="6" t="str">
        <f>IF(ABS(P697)&lt;Overview!$B$6,"OK",IF(J697=0,"REVIEW (zero base)",IF(ABS(P697/ABS(J697))&gt;=Overview!$B$5,"REVIEW","OK")))</f>
        <v>OK</v>
      </c>
      <c r="S697" s="33">
        <f t="shared" si="54"/>
        <v>17815.000696999999</v>
      </c>
    </row>
    <row r="698" spans="1:19" x14ac:dyDescent="0.2">
      <c r="A698" s="17">
        <v>696</v>
      </c>
      <c r="B698" s="17" t="s">
        <v>171</v>
      </c>
      <c r="C698" s="17" t="s">
        <v>338</v>
      </c>
      <c r="D698" s="17" t="s">
        <v>57</v>
      </c>
      <c r="E698" s="17" t="s">
        <v>87</v>
      </c>
      <c r="F698" s="17" t="s">
        <v>341</v>
      </c>
      <c r="G698" s="17" t="s">
        <v>439</v>
      </c>
      <c r="H698" s="30">
        <v>0</v>
      </c>
      <c r="I698" s="30">
        <v>0</v>
      </c>
      <c r="J698" s="30">
        <v>0</v>
      </c>
      <c r="K698" s="30">
        <v>0</v>
      </c>
      <c r="L698" s="30">
        <v>0</v>
      </c>
      <c r="M698" s="31">
        <f t="shared" si="50"/>
        <v>0</v>
      </c>
      <c r="N698" s="32" t="str">
        <f t="shared" si="51"/>
        <v>n/a</v>
      </c>
      <c r="O698" s="6" t="str">
        <f>IF(ABS(M698)&lt;Overview!$B$6,"OK",IF(I698=0,"REVIEW (zero base)",IF(ABS(M698/ABS(I698))&gt;=Overview!$B$5,"REVIEW","OK")))</f>
        <v>OK</v>
      </c>
      <c r="P698" s="31">
        <f t="shared" si="52"/>
        <v>0</v>
      </c>
      <c r="Q698" s="32" t="str">
        <f t="shared" si="53"/>
        <v>n/a</v>
      </c>
      <c r="R698" s="6" t="str">
        <f>IF(ABS(P698)&lt;Overview!$B$6,"OK",IF(J698=0,"REVIEW (zero base)",IF(ABS(P698/ABS(J698))&gt;=Overview!$B$5,"REVIEW","OK")))</f>
        <v>OK</v>
      </c>
      <c r="S698" s="33">
        <f t="shared" si="54"/>
        <v>6.9800000000000005E-4</v>
      </c>
    </row>
    <row r="699" spans="1:19" x14ac:dyDescent="0.2">
      <c r="A699" s="17">
        <v>697</v>
      </c>
      <c r="B699" s="17" t="s">
        <v>171</v>
      </c>
      <c r="C699" s="17" t="s">
        <v>338</v>
      </c>
      <c r="D699" s="17" t="s">
        <v>57</v>
      </c>
      <c r="E699" s="17" t="s">
        <v>87</v>
      </c>
      <c r="F699" s="17" t="s">
        <v>341</v>
      </c>
      <c r="G699" s="17" t="s">
        <v>378</v>
      </c>
      <c r="H699" s="30">
        <v>176074</v>
      </c>
      <c r="I699" s="30">
        <v>192190</v>
      </c>
      <c r="J699" s="30">
        <v>203932</v>
      </c>
      <c r="K699" s="30">
        <v>215800</v>
      </c>
      <c r="L699" s="30">
        <v>225360</v>
      </c>
      <c r="M699" s="31">
        <f t="shared" si="50"/>
        <v>11742</v>
      </c>
      <c r="N699" s="32">
        <f t="shared" si="51"/>
        <v>6.1095790623861806E-2</v>
      </c>
      <c r="O699" s="6" t="str">
        <f>IF(ABS(M699)&lt;Overview!$B$6,"OK",IF(I699=0,"REVIEW (zero base)",IF(ABS(M699/ABS(I699))&gt;=Overview!$B$5,"REVIEW","OK")))</f>
        <v>OK</v>
      </c>
      <c r="P699" s="31">
        <f t="shared" si="52"/>
        <v>11868</v>
      </c>
      <c r="Q699" s="32">
        <f t="shared" si="53"/>
        <v>5.8195869211305727E-2</v>
      </c>
      <c r="R699" s="6" t="str">
        <f>IF(ABS(P699)&lt;Overview!$B$6,"OK",IF(J699=0,"REVIEW (zero base)",IF(ABS(P699/ABS(J699))&gt;=Overview!$B$5,"REVIEW","OK")))</f>
        <v>OK</v>
      </c>
      <c r="S699" s="33">
        <f t="shared" si="54"/>
        <v>11742.000699</v>
      </c>
    </row>
    <row r="700" spans="1:19" x14ac:dyDescent="0.2">
      <c r="A700" s="17">
        <v>698</v>
      </c>
      <c r="B700" s="17" t="s">
        <v>171</v>
      </c>
      <c r="C700" s="17" t="s">
        <v>338</v>
      </c>
      <c r="D700" s="17" t="s">
        <v>57</v>
      </c>
      <c r="E700" s="17" t="s">
        <v>87</v>
      </c>
      <c r="F700" s="17" t="s">
        <v>341</v>
      </c>
      <c r="G700" s="17" t="s">
        <v>344</v>
      </c>
      <c r="H700" s="30">
        <v>638514</v>
      </c>
      <c r="I700" s="30">
        <v>569232</v>
      </c>
      <c r="J700" s="30">
        <v>723587</v>
      </c>
      <c r="K700" s="30">
        <v>837216</v>
      </c>
      <c r="L700" s="30">
        <v>853960</v>
      </c>
      <c r="M700" s="31">
        <f t="shared" si="50"/>
        <v>154355</v>
      </c>
      <c r="N700" s="32">
        <f t="shared" si="51"/>
        <v>0.27116360288950725</v>
      </c>
      <c r="O700" s="6" t="str">
        <f>IF(ABS(M700)&lt;Overview!$B$6,"OK",IF(I700=0,"REVIEW (zero base)",IF(ABS(M700/ABS(I700))&gt;=Overview!$B$5,"REVIEW","OK")))</f>
        <v>OK</v>
      </c>
      <c r="P700" s="31">
        <f t="shared" si="52"/>
        <v>113629</v>
      </c>
      <c r="Q700" s="32">
        <f t="shared" si="53"/>
        <v>0.1570357123607804</v>
      </c>
      <c r="R700" s="6" t="str">
        <f>IF(ABS(P700)&lt;Overview!$B$6,"OK",IF(J700=0,"REVIEW (zero base)",IF(ABS(P700/ABS(J700))&gt;=Overview!$B$5,"REVIEW","OK")))</f>
        <v>OK</v>
      </c>
      <c r="S700" s="33">
        <f t="shared" si="54"/>
        <v>154355.0007</v>
      </c>
    </row>
    <row r="701" spans="1:19" x14ac:dyDescent="0.2">
      <c r="A701" s="17">
        <v>699</v>
      </c>
      <c r="B701" s="17" t="s">
        <v>171</v>
      </c>
      <c r="C701" s="17" t="s">
        <v>338</v>
      </c>
      <c r="D701" s="17" t="s">
        <v>57</v>
      </c>
      <c r="E701" s="17" t="s">
        <v>87</v>
      </c>
      <c r="F701" s="17" t="s">
        <v>404</v>
      </c>
      <c r="G701" s="17" t="s">
        <v>405</v>
      </c>
      <c r="H701" s="30">
        <v>679</v>
      </c>
      <c r="I701" s="30">
        <v>0</v>
      </c>
      <c r="J701" s="30">
        <v>0</v>
      </c>
      <c r="K701" s="30">
        <v>0</v>
      </c>
      <c r="L701" s="30">
        <v>0</v>
      </c>
      <c r="M701" s="31">
        <f t="shared" si="50"/>
        <v>0</v>
      </c>
      <c r="N701" s="32" t="str">
        <f t="shared" si="51"/>
        <v>n/a</v>
      </c>
      <c r="O701" s="6" t="str">
        <f>IF(ABS(M701)&lt;Overview!$B$6,"OK",IF(I701=0,"REVIEW (zero base)",IF(ABS(M701/ABS(I701))&gt;=Overview!$B$5,"REVIEW","OK")))</f>
        <v>OK</v>
      </c>
      <c r="P701" s="31">
        <f t="shared" si="52"/>
        <v>0</v>
      </c>
      <c r="Q701" s="32" t="str">
        <f t="shared" si="53"/>
        <v>n/a</v>
      </c>
      <c r="R701" s="6" t="str">
        <f>IF(ABS(P701)&lt;Overview!$B$6,"OK",IF(J701=0,"REVIEW (zero base)",IF(ABS(P701/ABS(J701))&gt;=Overview!$B$5,"REVIEW","OK")))</f>
        <v>OK</v>
      </c>
      <c r="S701" s="33">
        <f t="shared" si="54"/>
        <v>7.0100000000000002E-4</v>
      </c>
    </row>
    <row r="702" spans="1:19" x14ac:dyDescent="0.2">
      <c r="A702" s="17">
        <v>700</v>
      </c>
      <c r="B702" s="17" t="s">
        <v>171</v>
      </c>
      <c r="C702" s="17" t="s">
        <v>338</v>
      </c>
      <c r="D702" s="17" t="s">
        <v>57</v>
      </c>
      <c r="E702" s="17" t="s">
        <v>87</v>
      </c>
      <c r="F702" s="17" t="s">
        <v>402</v>
      </c>
      <c r="G702" s="17" t="s">
        <v>403</v>
      </c>
      <c r="H702" s="30">
        <v>68879</v>
      </c>
      <c r="I702" s="30">
        <v>57397</v>
      </c>
      <c r="J702" s="30">
        <v>67000</v>
      </c>
      <c r="K702" s="30">
        <v>67000</v>
      </c>
      <c r="L702" s="30">
        <v>67469</v>
      </c>
      <c r="M702" s="31">
        <f t="shared" si="50"/>
        <v>9603</v>
      </c>
      <c r="N702" s="32">
        <f t="shared" si="51"/>
        <v>0.16730839590919386</v>
      </c>
      <c r="O702" s="6" t="str">
        <f>IF(ABS(M702)&lt;Overview!$B$6,"OK",IF(I702=0,"REVIEW (zero base)",IF(ABS(M702/ABS(I702))&gt;=Overview!$B$5,"REVIEW","OK")))</f>
        <v>OK</v>
      </c>
      <c r="P702" s="31">
        <f t="shared" si="52"/>
        <v>0</v>
      </c>
      <c r="Q702" s="32">
        <f t="shared" si="53"/>
        <v>0</v>
      </c>
      <c r="R702" s="6" t="str">
        <f>IF(ABS(P702)&lt;Overview!$B$6,"OK",IF(J702=0,"REVIEW (zero base)",IF(ABS(P702/ABS(J702))&gt;=Overview!$B$5,"REVIEW","OK")))</f>
        <v>OK</v>
      </c>
      <c r="S702" s="33">
        <f t="shared" si="54"/>
        <v>9603.0007019999994</v>
      </c>
    </row>
    <row r="703" spans="1:19" x14ac:dyDescent="0.2">
      <c r="A703" s="17">
        <v>701</v>
      </c>
      <c r="B703" s="17" t="s">
        <v>171</v>
      </c>
      <c r="C703" s="17" t="s">
        <v>338</v>
      </c>
      <c r="D703" s="17" t="s">
        <v>57</v>
      </c>
      <c r="E703" s="17" t="s">
        <v>87</v>
      </c>
      <c r="F703" s="17" t="s">
        <v>402</v>
      </c>
      <c r="G703" s="17" t="s">
        <v>445</v>
      </c>
      <c r="H703" s="30">
        <v>25542</v>
      </c>
      <c r="I703" s="30">
        <v>37866</v>
      </c>
      <c r="J703" s="30">
        <v>30000</v>
      </c>
      <c r="K703" s="30">
        <v>30000</v>
      </c>
      <c r="L703" s="30">
        <v>30210</v>
      </c>
      <c r="M703" s="31">
        <f t="shared" si="50"/>
        <v>-7866</v>
      </c>
      <c r="N703" s="32">
        <f t="shared" si="51"/>
        <v>-0.20773253050229756</v>
      </c>
      <c r="O703" s="6" t="str">
        <f>IF(ABS(M703)&lt;Overview!$B$6,"OK",IF(I703=0,"REVIEW (zero base)",IF(ABS(M703/ABS(I703))&gt;=Overview!$B$5,"REVIEW","OK")))</f>
        <v>OK</v>
      </c>
      <c r="P703" s="31">
        <f t="shared" si="52"/>
        <v>0</v>
      </c>
      <c r="Q703" s="32">
        <f t="shared" si="53"/>
        <v>0</v>
      </c>
      <c r="R703" s="6" t="str">
        <f>IF(ABS(P703)&lt;Overview!$B$6,"OK",IF(J703=0,"REVIEW (zero base)",IF(ABS(P703/ABS(J703))&gt;=Overview!$B$5,"REVIEW","OK")))</f>
        <v>OK</v>
      </c>
      <c r="S703" s="33">
        <f t="shared" si="54"/>
        <v>7866.0007029999997</v>
      </c>
    </row>
    <row r="704" spans="1:19" x14ac:dyDescent="0.2">
      <c r="A704" s="17">
        <v>702</v>
      </c>
      <c r="B704" s="17" t="s">
        <v>171</v>
      </c>
      <c r="C704" s="17" t="s">
        <v>338</v>
      </c>
      <c r="D704" s="17" t="s">
        <v>57</v>
      </c>
      <c r="E704" s="17" t="s">
        <v>87</v>
      </c>
      <c r="F704" s="17" t="s">
        <v>402</v>
      </c>
      <c r="G704" s="17" t="s">
        <v>460</v>
      </c>
      <c r="H704" s="30">
        <v>56985</v>
      </c>
      <c r="I704" s="30">
        <v>49333</v>
      </c>
      <c r="J704" s="30">
        <v>46000</v>
      </c>
      <c r="K704" s="30">
        <v>46000</v>
      </c>
      <c r="L704" s="30">
        <v>46322</v>
      </c>
      <c r="M704" s="31">
        <f t="shared" si="50"/>
        <v>-3333</v>
      </c>
      <c r="N704" s="32">
        <f t="shared" si="51"/>
        <v>-6.7561267305860179E-2</v>
      </c>
      <c r="O704" s="6" t="str">
        <f>IF(ABS(M704)&lt;Overview!$B$6,"OK",IF(I704=0,"REVIEW (zero base)",IF(ABS(M704/ABS(I704))&gt;=Overview!$B$5,"REVIEW","OK")))</f>
        <v>OK</v>
      </c>
      <c r="P704" s="31">
        <f t="shared" si="52"/>
        <v>0</v>
      </c>
      <c r="Q704" s="32">
        <f t="shared" si="53"/>
        <v>0</v>
      </c>
      <c r="R704" s="6" t="str">
        <f>IF(ABS(P704)&lt;Overview!$B$6,"OK",IF(J704=0,"REVIEW (zero base)",IF(ABS(P704/ABS(J704))&gt;=Overview!$B$5,"REVIEW","OK")))</f>
        <v>OK</v>
      </c>
      <c r="S704" s="33">
        <f t="shared" si="54"/>
        <v>3333.000704</v>
      </c>
    </row>
    <row r="705" spans="1:19" x14ac:dyDescent="0.2">
      <c r="A705" s="17">
        <v>703</v>
      </c>
      <c r="B705" s="17" t="s">
        <v>171</v>
      </c>
      <c r="C705" s="17" t="s">
        <v>338</v>
      </c>
      <c r="D705" s="17" t="s">
        <v>57</v>
      </c>
      <c r="E705" s="17" t="s">
        <v>87</v>
      </c>
      <c r="F705" s="17" t="s">
        <v>402</v>
      </c>
      <c r="G705" s="17" t="s">
        <v>446</v>
      </c>
      <c r="H705" s="30">
        <v>35326</v>
      </c>
      <c r="I705" s="30">
        <v>42802</v>
      </c>
      <c r="J705" s="30">
        <v>93000</v>
      </c>
      <c r="K705" s="30">
        <v>73000</v>
      </c>
      <c r="L705" s="30">
        <v>73511</v>
      </c>
      <c r="M705" s="31">
        <f t="shared" si="50"/>
        <v>50198</v>
      </c>
      <c r="N705" s="32">
        <f t="shared" si="51"/>
        <v>1.1727956637540302</v>
      </c>
      <c r="O705" s="6" t="str">
        <f>IF(ABS(M705)&lt;Overview!$B$6,"OK",IF(I705=0,"REVIEW (zero base)",IF(ABS(M705/ABS(I705))&gt;=Overview!$B$5,"REVIEW","OK")))</f>
        <v>OK</v>
      </c>
      <c r="P705" s="31">
        <f t="shared" si="52"/>
        <v>-20000</v>
      </c>
      <c r="Q705" s="32">
        <f t="shared" si="53"/>
        <v>-0.21505376344086022</v>
      </c>
      <c r="R705" s="6" t="str">
        <f>IF(ABS(P705)&lt;Overview!$B$6,"OK",IF(J705=0,"REVIEW (zero base)",IF(ABS(P705/ABS(J705))&gt;=Overview!$B$5,"REVIEW","OK")))</f>
        <v>OK</v>
      </c>
      <c r="S705" s="33">
        <f t="shared" si="54"/>
        <v>50198.000704999999</v>
      </c>
    </row>
    <row r="706" spans="1:19" x14ac:dyDescent="0.2">
      <c r="A706" s="17">
        <v>704</v>
      </c>
      <c r="B706" s="17" t="s">
        <v>171</v>
      </c>
      <c r="C706" s="17" t="s">
        <v>338</v>
      </c>
      <c r="D706" s="17" t="s">
        <v>57</v>
      </c>
      <c r="E706" s="17" t="s">
        <v>87</v>
      </c>
      <c r="F706" s="17" t="s">
        <v>409</v>
      </c>
      <c r="G706" s="17" t="s">
        <v>410</v>
      </c>
      <c r="H706" s="30">
        <v>187432</v>
      </c>
      <c r="I706" s="30">
        <v>246926</v>
      </c>
      <c r="J706" s="30">
        <v>240000</v>
      </c>
      <c r="K706" s="30">
        <v>240000</v>
      </c>
      <c r="L706" s="30">
        <v>241680</v>
      </c>
      <c r="M706" s="31">
        <f t="shared" ref="M706:M769" si="55">J706-I706</f>
        <v>-6926</v>
      </c>
      <c r="N706" s="32">
        <f t="shared" ref="N706:N769" si="56">IF(I706=0,"n/a",M706/ABS(I706))</f>
        <v>-2.8048889140876214E-2</v>
      </c>
      <c r="O706" s="6" t="str">
        <f>IF(ABS(M706)&lt;Overview!$B$6,"OK",IF(I706=0,"REVIEW (zero base)",IF(ABS(M706/ABS(I706))&gt;=Overview!$B$5,"REVIEW","OK")))</f>
        <v>OK</v>
      </c>
      <c r="P706" s="31">
        <f t="shared" ref="P706:P769" si="57">K706-J706</f>
        <v>0</v>
      </c>
      <c r="Q706" s="32">
        <f t="shared" ref="Q706:Q769" si="58">IF(J706=0,"n/a",P706/ABS(J706))</f>
        <v>0</v>
      </c>
      <c r="R706" s="6" t="str">
        <f>IF(ABS(P706)&lt;Overview!$B$6,"OK",IF(J706=0,"REVIEW (zero base)",IF(ABS(P706/ABS(J706))&gt;=Overview!$B$5,"REVIEW","OK")))</f>
        <v>OK</v>
      </c>
      <c r="S706" s="33">
        <f t="shared" ref="S706:S769" si="59">IF(C706="EXPENSES",ABS(M706)+ROW()/1000000,0)</f>
        <v>6926.0007059999998</v>
      </c>
    </row>
    <row r="707" spans="1:19" x14ac:dyDescent="0.2">
      <c r="A707" s="17">
        <v>705</v>
      </c>
      <c r="B707" s="17" t="s">
        <v>171</v>
      </c>
      <c r="C707" s="17" t="s">
        <v>338</v>
      </c>
      <c r="D707" s="17" t="s">
        <v>57</v>
      </c>
      <c r="E707" s="17" t="s">
        <v>87</v>
      </c>
      <c r="F707" s="17" t="s">
        <v>347</v>
      </c>
      <c r="G707" s="17" t="s">
        <v>348</v>
      </c>
      <c r="H707" s="30">
        <v>52057</v>
      </c>
      <c r="I707" s="30">
        <v>115740</v>
      </c>
      <c r="J707" s="30">
        <v>20800</v>
      </c>
      <c r="K707" s="30">
        <v>20800</v>
      </c>
      <c r="L707" s="30">
        <v>20946</v>
      </c>
      <c r="M707" s="31">
        <f t="shared" si="55"/>
        <v>-94940</v>
      </c>
      <c r="N707" s="32">
        <f t="shared" si="56"/>
        <v>-0.82028684983583899</v>
      </c>
      <c r="O707" s="6" t="str">
        <f>IF(ABS(M707)&lt;Overview!$B$6,"OK",IF(I707=0,"REVIEW (zero base)",IF(ABS(M707/ABS(I707))&gt;=Overview!$B$5,"REVIEW","OK")))</f>
        <v>OK</v>
      </c>
      <c r="P707" s="31">
        <f t="shared" si="57"/>
        <v>0</v>
      </c>
      <c r="Q707" s="32">
        <f t="shared" si="58"/>
        <v>0</v>
      </c>
      <c r="R707" s="6" t="str">
        <f>IF(ABS(P707)&lt;Overview!$B$6,"OK",IF(J707=0,"REVIEW (zero base)",IF(ABS(P707/ABS(J707))&gt;=Overview!$B$5,"REVIEW","OK")))</f>
        <v>OK</v>
      </c>
      <c r="S707" s="33">
        <f t="shared" si="59"/>
        <v>94940.000706999999</v>
      </c>
    </row>
    <row r="708" spans="1:19" x14ac:dyDescent="0.2">
      <c r="A708" s="17">
        <v>706</v>
      </c>
      <c r="B708" s="17" t="s">
        <v>171</v>
      </c>
      <c r="C708" s="17" t="s">
        <v>338</v>
      </c>
      <c r="D708" s="17" t="s">
        <v>57</v>
      </c>
      <c r="E708" s="17" t="s">
        <v>87</v>
      </c>
      <c r="F708" s="17" t="s">
        <v>386</v>
      </c>
      <c r="G708" s="17" t="s">
        <v>387</v>
      </c>
      <c r="H708" s="30">
        <v>4145</v>
      </c>
      <c r="I708" s="30">
        <v>6681</v>
      </c>
      <c r="J708" s="30">
        <v>2800</v>
      </c>
      <c r="K708" s="30">
        <v>2800</v>
      </c>
      <c r="L708" s="30">
        <v>2820</v>
      </c>
      <c r="M708" s="31">
        <f t="shared" si="55"/>
        <v>-3881</v>
      </c>
      <c r="N708" s="32">
        <f t="shared" si="56"/>
        <v>-0.5809010627151624</v>
      </c>
      <c r="O708" s="6" t="str">
        <f>IF(ABS(M708)&lt;Overview!$B$6,"OK",IF(I708=0,"REVIEW (zero base)",IF(ABS(M708/ABS(I708))&gt;=Overview!$B$5,"REVIEW","OK")))</f>
        <v>OK</v>
      </c>
      <c r="P708" s="31">
        <f t="shared" si="57"/>
        <v>0</v>
      </c>
      <c r="Q708" s="32">
        <f t="shared" si="58"/>
        <v>0</v>
      </c>
      <c r="R708" s="6" t="str">
        <f>IF(ABS(P708)&lt;Overview!$B$6,"OK",IF(J708=0,"REVIEW (zero base)",IF(ABS(P708/ABS(J708))&gt;=Overview!$B$5,"REVIEW","OK")))</f>
        <v>OK</v>
      </c>
      <c r="S708" s="33">
        <f t="shared" si="59"/>
        <v>3881.000708</v>
      </c>
    </row>
    <row r="709" spans="1:19" x14ac:dyDescent="0.2">
      <c r="A709" s="17">
        <v>707</v>
      </c>
      <c r="B709" s="17" t="s">
        <v>171</v>
      </c>
      <c r="C709" s="17" t="s">
        <v>338</v>
      </c>
      <c r="D709" s="17" t="s">
        <v>57</v>
      </c>
      <c r="E709" s="17" t="s">
        <v>87</v>
      </c>
      <c r="F709" s="17" t="s">
        <v>386</v>
      </c>
      <c r="G709" s="17" t="s">
        <v>447</v>
      </c>
      <c r="H709" s="30">
        <v>20408</v>
      </c>
      <c r="I709" s="30">
        <v>16838</v>
      </c>
      <c r="J709" s="30">
        <v>9000</v>
      </c>
      <c r="K709" s="30">
        <v>9000</v>
      </c>
      <c r="L709" s="30">
        <v>9063</v>
      </c>
      <c r="M709" s="31">
        <f t="shared" si="55"/>
        <v>-7838</v>
      </c>
      <c r="N709" s="32">
        <f t="shared" si="56"/>
        <v>-0.46549471433661954</v>
      </c>
      <c r="O709" s="6" t="str">
        <f>IF(ABS(M709)&lt;Overview!$B$6,"OK",IF(I709=0,"REVIEW (zero base)",IF(ABS(M709/ABS(I709))&gt;=Overview!$B$5,"REVIEW","OK")))</f>
        <v>OK</v>
      </c>
      <c r="P709" s="31">
        <f t="shared" si="57"/>
        <v>0</v>
      </c>
      <c r="Q709" s="32">
        <f t="shared" si="58"/>
        <v>0</v>
      </c>
      <c r="R709" s="6" t="str">
        <f>IF(ABS(P709)&lt;Overview!$B$6,"OK",IF(J709=0,"REVIEW (zero base)",IF(ABS(P709/ABS(J709))&gt;=Overview!$B$5,"REVIEW","OK")))</f>
        <v>OK</v>
      </c>
      <c r="S709" s="33">
        <f t="shared" si="59"/>
        <v>7838.0007089999999</v>
      </c>
    </row>
    <row r="710" spans="1:19" x14ac:dyDescent="0.2">
      <c r="A710" s="17">
        <v>708</v>
      </c>
      <c r="B710" s="17" t="s">
        <v>171</v>
      </c>
      <c r="C710" s="17" t="s">
        <v>338</v>
      </c>
      <c r="D710" s="17" t="s">
        <v>57</v>
      </c>
      <c r="E710" s="17" t="s">
        <v>87</v>
      </c>
      <c r="F710" s="17" t="s">
        <v>461</v>
      </c>
      <c r="G710" s="17" t="s">
        <v>462</v>
      </c>
      <c r="H710" s="30">
        <v>38452</v>
      </c>
      <c r="I710" s="30">
        <v>45107</v>
      </c>
      <c r="J710" s="30">
        <v>40000</v>
      </c>
      <c r="K710" s="30">
        <v>40000</v>
      </c>
      <c r="L710" s="30">
        <v>40280</v>
      </c>
      <c r="M710" s="31">
        <f t="shared" si="55"/>
        <v>-5107</v>
      </c>
      <c r="N710" s="32">
        <f t="shared" si="56"/>
        <v>-0.11321967765535283</v>
      </c>
      <c r="O710" s="6" t="str">
        <f>IF(ABS(M710)&lt;Overview!$B$6,"OK",IF(I710=0,"REVIEW (zero base)",IF(ABS(M710/ABS(I710))&gt;=Overview!$B$5,"REVIEW","OK")))</f>
        <v>OK</v>
      </c>
      <c r="P710" s="31">
        <f t="shared" si="57"/>
        <v>0</v>
      </c>
      <c r="Q710" s="32">
        <f t="shared" si="58"/>
        <v>0</v>
      </c>
      <c r="R710" s="6" t="str">
        <f>IF(ABS(P710)&lt;Overview!$B$6,"OK",IF(J710=0,"REVIEW (zero base)",IF(ABS(P710/ABS(J710))&gt;=Overview!$B$5,"REVIEW","OK")))</f>
        <v>OK</v>
      </c>
      <c r="S710" s="33">
        <f t="shared" si="59"/>
        <v>5107.0007100000003</v>
      </c>
    </row>
    <row r="711" spans="1:19" x14ac:dyDescent="0.2">
      <c r="A711" s="17">
        <v>709</v>
      </c>
      <c r="B711" s="17" t="s">
        <v>171</v>
      </c>
      <c r="C711" s="17" t="s">
        <v>338</v>
      </c>
      <c r="D711" s="17" t="s">
        <v>57</v>
      </c>
      <c r="E711" s="17" t="s">
        <v>87</v>
      </c>
      <c r="F711" s="17" t="s">
        <v>461</v>
      </c>
      <c r="G711" s="17" t="s">
        <v>463</v>
      </c>
      <c r="H711" s="30">
        <v>64249</v>
      </c>
      <c r="I711" s="30">
        <v>55850</v>
      </c>
      <c r="J711" s="30">
        <v>50000</v>
      </c>
      <c r="K711" s="30">
        <v>70000</v>
      </c>
      <c r="L711" s="30">
        <v>70490</v>
      </c>
      <c r="M711" s="31">
        <f t="shared" si="55"/>
        <v>-5850</v>
      </c>
      <c r="N711" s="32">
        <f t="shared" si="56"/>
        <v>-0.10474485228290063</v>
      </c>
      <c r="O711" s="6" t="str">
        <f>IF(ABS(M711)&lt;Overview!$B$6,"OK",IF(I711=0,"REVIEW (zero base)",IF(ABS(M711/ABS(I711))&gt;=Overview!$B$5,"REVIEW","OK")))</f>
        <v>OK</v>
      </c>
      <c r="P711" s="31">
        <f t="shared" si="57"/>
        <v>20000</v>
      </c>
      <c r="Q711" s="32">
        <f t="shared" si="58"/>
        <v>0.4</v>
      </c>
      <c r="R711" s="6" t="str">
        <f>IF(ABS(P711)&lt;Overview!$B$6,"OK",IF(J711=0,"REVIEW (zero base)",IF(ABS(P711/ABS(J711))&gt;=Overview!$B$5,"REVIEW","OK")))</f>
        <v>OK</v>
      </c>
      <c r="S711" s="33">
        <f t="shared" si="59"/>
        <v>5850.0007109999997</v>
      </c>
    </row>
    <row r="712" spans="1:19" x14ac:dyDescent="0.2">
      <c r="A712" s="17">
        <v>710</v>
      </c>
      <c r="B712" s="17" t="s">
        <v>171</v>
      </c>
      <c r="C712" s="17" t="s">
        <v>338</v>
      </c>
      <c r="D712" s="17" t="s">
        <v>57</v>
      </c>
      <c r="E712" s="17" t="s">
        <v>87</v>
      </c>
      <c r="F712" s="17" t="s">
        <v>448</v>
      </c>
      <c r="G712" s="17" t="s">
        <v>449</v>
      </c>
      <c r="H712" s="30">
        <v>5678</v>
      </c>
      <c r="I712" s="30">
        <v>5901</v>
      </c>
      <c r="J712" s="30">
        <v>6000</v>
      </c>
      <c r="K712" s="30">
        <v>6000</v>
      </c>
      <c r="L712" s="30">
        <v>6042</v>
      </c>
      <c r="M712" s="31">
        <f t="shared" si="55"/>
        <v>99</v>
      </c>
      <c r="N712" s="32">
        <f t="shared" si="56"/>
        <v>1.677681748856126E-2</v>
      </c>
      <c r="O712" s="6" t="str">
        <f>IF(ABS(M712)&lt;Overview!$B$6,"OK",IF(I712=0,"REVIEW (zero base)",IF(ABS(M712/ABS(I712))&gt;=Overview!$B$5,"REVIEW","OK")))</f>
        <v>OK</v>
      </c>
      <c r="P712" s="31">
        <f t="shared" si="57"/>
        <v>0</v>
      </c>
      <c r="Q712" s="32">
        <f t="shared" si="58"/>
        <v>0</v>
      </c>
      <c r="R712" s="6" t="str">
        <f>IF(ABS(P712)&lt;Overview!$B$6,"OK",IF(J712=0,"REVIEW (zero base)",IF(ABS(P712/ABS(J712))&gt;=Overview!$B$5,"REVIEW","OK")))</f>
        <v>OK</v>
      </c>
      <c r="S712" s="33">
        <f t="shared" si="59"/>
        <v>99.000711999999993</v>
      </c>
    </row>
    <row r="713" spans="1:19" x14ac:dyDescent="0.2">
      <c r="A713" s="17">
        <v>711</v>
      </c>
      <c r="B713" s="17" t="s">
        <v>171</v>
      </c>
      <c r="C713" s="17" t="s">
        <v>338</v>
      </c>
      <c r="D713" s="17" t="s">
        <v>57</v>
      </c>
      <c r="E713" s="17" t="s">
        <v>87</v>
      </c>
      <c r="F713" s="17" t="s">
        <v>448</v>
      </c>
      <c r="G713" s="17" t="s">
        <v>464</v>
      </c>
      <c r="H713" s="30">
        <v>59134</v>
      </c>
      <c r="I713" s="30">
        <v>46996</v>
      </c>
      <c r="J713" s="30">
        <v>60000</v>
      </c>
      <c r="K713" s="30">
        <v>80000</v>
      </c>
      <c r="L713" s="30">
        <v>80560</v>
      </c>
      <c r="M713" s="31">
        <f t="shared" si="55"/>
        <v>13004</v>
      </c>
      <c r="N713" s="32">
        <f t="shared" si="56"/>
        <v>0.27670440037449995</v>
      </c>
      <c r="O713" s="6" t="str">
        <f>IF(ABS(M713)&lt;Overview!$B$6,"OK",IF(I713=0,"REVIEW (zero base)",IF(ABS(M713/ABS(I713))&gt;=Overview!$B$5,"REVIEW","OK")))</f>
        <v>OK</v>
      </c>
      <c r="P713" s="31">
        <f t="shared" si="57"/>
        <v>20000</v>
      </c>
      <c r="Q713" s="32">
        <f t="shared" si="58"/>
        <v>0.33333333333333331</v>
      </c>
      <c r="R713" s="6" t="str">
        <f>IF(ABS(P713)&lt;Overview!$B$6,"OK",IF(J713=0,"REVIEW (zero base)",IF(ABS(P713/ABS(J713))&gt;=Overview!$B$5,"REVIEW","OK")))</f>
        <v>OK</v>
      </c>
      <c r="S713" s="33">
        <f t="shared" si="59"/>
        <v>13004.000712999999</v>
      </c>
    </row>
    <row r="714" spans="1:19" x14ac:dyDescent="0.2">
      <c r="A714" s="17">
        <v>712</v>
      </c>
      <c r="B714" s="17" t="s">
        <v>171</v>
      </c>
      <c r="C714" s="17" t="s">
        <v>338</v>
      </c>
      <c r="D714" s="17" t="s">
        <v>57</v>
      </c>
      <c r="E714" s="17" t="s">
        <v>87</v>
      </c>
      <c r="F714" s="17" t="s">
        <v>411</v>
      </c>
      <c r="G714" s="17" t="s">
        <v>465</v>
      </c>
      <c r="H714" s="30">
        <v>44397</v>
      </c>
      <c r="I714" s="30">
        <v>72743</v>
      </c>
      <c r="J714" s="30">
        <v>48000</v>
      </c>
      <c r="K714" s="30">
        <v>48000</v>
      </c>
      <c r="L714" s="30">
        <v>48336</v>
      </c>
      <c r="M714" s="31">
        <f t="shared" si="55"/>
        <v>-24743</v>
      </c>
      <c r="N714" s="32">
        <f t="shared" si="56"/>
        <v>-0.34014269414239173</v>
      </c>
      <c r="O714" s="6" t="str">
        <f>IF(ABS(M714)&lt;Overview!$B$6,"OK",IF(I714=0,"REVIEW (zero base)",IF(ABS(M714/ABS(I714))&gt;=Overview!$B$5,"REVIEW","OK")))</f>
        <v>OK</v>
      </c>
      <c r="P714" s="31">
        <f t="shared" si="57"/>
        <v>0</v>
      </c>
      <c r="Q714" s="32">
        <f t="shared" si="58"/>
        <v>0</v>
      </c>
      <c r="R714" s="6" t="str">
        <f>IF(ABS(P714)&lt;Overview!$B$6,"OK",IF(J714=0,"REVIEW (zero base)",IF(ABS(P714/ABS(J714))&gt;=Overview!$B$5,"REVIEW","OK")))</f>
        <v>OK</v>
      </c>
      <c r="S714" s="33">
        <f t="shared" si="59"/>
        <v>24743.000714000002</v>
      </c>
    </row>
    <row r="715" spans="1:19" x14ac:dyDescent="0.2">
      <c r="A715" s="17">
        <v>713</v>
      </c>
      <c r="B715" s="17" t="s">
        <v>171</v>
      </c>
      <c r="C715" s="17" t="s">
        <v>338</v>
      </c>
      <c r="D715" s="17" t="s">
        <v>57</v>
      </c>
      <c r="E715" s="17" t="s">
        <v>87</v>
      </c>
      <c r="F715" s="17" t="s">
        <v>411</v>
      </c>
      <c r="G715" s="17" t="s">
        <v>451</v>
      </c>
      <c r="H715" s="30">
        <v>13720</v>
      </c>
      <c r="I715" s="30">
        <v>26379</v>
      </c>
      <c r="J715" s="30">
        <v>8000</v>
      </c>
      <c r="K715" s="30">
        <v>8000</v>
      </c>
      <c r="L715" s="30">
        <v>8056</v>
      </c>
      <c r="M715" s="31">
        <f t="shared" si="55"/>
        <v>-18379</v>
      </c>
      <c r="N715" s="32">
        <f t="shared" si="56"/>
        <v>-0.69672845824329954</v>
      </c>
      <c r="O715" s="6" t="str">
        <f>IF(ABS(M715)&lt;Overview!$B$6,"OK",IF(I715=0,"REVIEW (zero base)",IF(ABS(M715/ABS(I715))&gt;=Overview!$B$5,"REVIEW","OK")))</f>
        <v>OK</v>
      </c>
      <c r="P715" s="31">
        <f t="shared" si="57"/>
        <v>0</v>
      </c>
      <c r="Q715" s="32">
        <f t="shared" si="58"/>
        <v>0</v>
      </c>
      <c r="R715" s="6" t="str">
        <f>IF(ABS(P715)&lt;Overview!$B$6,"OK",IF(J715=0,"REVIEW (zero base)",IF(ABS(P715/ABS(J715))&gt;=Overview!$B$5,"REVIEW","OK")))</f>
        <v>OK</v>
      </c>
      <c r="S715" s="33">
        <f t="shared" si="59"/>
        <v>18379.000714999998</v>
      </c>
    </row>
    <row r="716" spans="1:19" x14ac:dyDescent="0.2">
      <c r="A716" s="17">
        <v>714</v>
      </c>
      <c r="B716" s="17" t="s">
        <v>171</v>
      </c>
      <c r="C716" s="17" t="s">
        <v>338</v>
      </c>
      <c r="D716" s="17" t="s">
        <v>57</v>
      </c>
      <c r="E716" s="17" t="s">
        <v>87</v>
      </c>
      <c r="F716" s="17" t="s">
        <v>411</v>
      </c>
      <c r="G716" s="17" t="s">
        <v>466</v>
      </c>
      <c r="H716" s="30">
        <v>4000</v>
      </c>
      <c r="I716" s="30">
        <v>5960</v>
      </c>
      <c r="J716" s="30">
        <v>4500</v>
      </c>
      <c r="K716" s="30">
        <v>4500</v>
      </c>
      <c r="L716" s="30">
        <v>4532</v>
      </c>
      <c r="M716" s="31">
        <f t="shared" si="55"/>
        <v>-1460</v>
      </c>
      <c r="N716" s="32">
        <f t="shared" si="56"/>
        <v>-0.24496644295302014</v>
      </c>
      <c r="O716" s="6" t="str">
        <f>IF(ABS(M716)&lt;Overview!$B$6,"OK",IF(I716=0,"REVIEW (zero base)",IF(ABS(M716/ABS(I716))&gt;=Overview!$B$5,"REVIEW","OK")))</f>
        <v>OK</v>
      </c>
      <c r="P716" s="31">
        <f t="shared" si="57"/>
        <v>0</v>
      </c>
      <c r="Q716" s="32">
        <f t="shared" si="58"/>
        <v>0</v>
      </c>
      <c r="R716" s="6" t="str">
        <f>IF(ABS(P716)&lt;Overview!$B$6,"OK",IF(J716=0,"REVIEW (zero base)",IF(ABS(P716/ABS(J716))&gt;=Overview!$B$5,"REVIEW","OK")))</f>
        <v>OK</v>
      </c>
      <c r="S716" s="33">
        <f t="shared" si="59"/>
        <v>1460.000716</v>
      </c>
    </row>
    <row r="717" spans="1:19" x14ac:dyDescent="0.2">
      <c r="A717" s="17">
        <v>715</v>
      </c>
      <c r="B717" s="17" t="s">
        <v>171</v>
      </c>
      <c r="C717" s="17" t="s">
        <v>338</v>
      </c>
      <c r="D717" s="17" t="s">
        <v>57</v>
      </c>
      <c r="E717" s="17" t="s">
        <v>87</v>
      </c>
      <c r="F717" s="17" t="s">
        <v>411</v>
      </c>
      <c r="G717" s="17" t="s">
        <v>467</v>
      </c>
      <c r="H717" s="30">
        <v>13518</v>
      </c>
      <c r="I717" s="30">
        <v>12949</v>
      </c>
      <c r="J717" s="30">
        <v>22000</v>
      </c>
      <c r="K717" s="30">
        <v>22000</v>
      </c>
      <c r="L717" s="30">
        <v>22154</v>
      </c>
      <c r="M717" s="31">
        <f t="shared" si="55"/>
        <v>9051</v>
      </c>
      <c r="N717" s="32">
        <f t="shared" si="56"/>
        <v>0.69897289365974202</v>
      </c>
      <c r="O717" s="6" t="str">
        <f>IF(ABS(M717)&lt;Overview!$B$6,"OK",IF(I717=0,"REVIEW (zero base)",IF(ABS(M717/ABS(I717))&gt;=Overview!$B$5,"REVIEW","OK")))</f>
        <v>OK</v>
      </c>
      <c r="P717" s="31">
        <f t="shared" si="57"/>
        <v>0</v>
      </c>
      <c r="Q717" s="32">
        <f t="shared" si="58"/>
        <v>0</v>
      </c>
      <c r="R717" s="6" t="str">
        <f>IF(ABS(P717)&lt;Overview!$B$6,"OK",IF(J717=0,"REVIEW (zero base)",IF(ABS(P717/ABS(J717))&gt;=Overview!$B$5,"REVIEW","OK")))</f>
        <v>OK</v>
      </c>
      <c r="S717" s="33">
        <f t="shared" si="59"/>
        <v>9051.0007170000008</v>
      </c>
    </row>
    <row r="718" spans="1:19" x14ac:dyDescent="0.2">
      <c r="A718" s="17">
        <v>716</v>
      </c>
      <c r="B718" s="17" t="s">
        <v>171</v>
      </c>
      <c r="C718" s="17" t="s">
        <v>338</v>
      </c>
      <c r="D718" s="17" t="s">
        <v>57</v>
      </c>
      <c r="E718" s="17" t="s">
        <v>87</v>
      </c>
      <c r="F718" s="17" t="s">
        <v>411</v>
      </c>
      <c r="G718" s="17" t="s">
        <v>468</v>
      </c>
      <c r="H718" s="30">
        <v>16600</v>
      </c>
      <c r="I718" s="30">
        <v>16099</v>
      </c>
      <c r="J718" s="30">
        <v>8000</v>
      </c>
      <c r="K718" s="30">
        <v>8000</v>
      </c>
      <c r="L718" s="30">
        <v>8056</v>
      </c>
      <c r="M718" s="31">
        <f t="shared" si="55"/>
        <v>-8099</v>
      </c>
      <c r="N718" s="32">
        <f t="shared" si="56"/>
        <v>-0.50307472513820739</v>
      </c>
      <c r="O718" s="6" t="str">
        <f>IF(ABS(M718)&lt;Overview!$B$6,"OK",IF(I718=0,"REVIEW (zero base)",IF(ABS(M718/ABS(I718))&gt;=Overview!$B$5,"REVIEW","OK")))</f>
        <v>OK</v>
      </c>
      <c r="P718" s="31">
        <f t="shared" si="57"/>
        <v>0</v>
      </c>
      <c r="Q718" s="32">
        <f t="shared" si="58"/>
        <v>0</v>
      </c>
      <c r="R718" s="6" t="str">
        <f>IF(ABS(P718)&lt;Overview!$B$6,"OK",IF(J718=0,"REVIEW (zero base)",IF(ABS(P718/ABS(J718))&gt;=Overview!$B$5,"REVIEW","OK")))</f>
        <v>OK</v>
      </c>
      <c r="S718" s="33">
        <f t="shared" si="59"/>
        <v>8099.0007180000002</v>
      </c>
    </row>
    <row r="719" spans="1:19" x14ac:dyDescent="0.2">
      <c r="A719" s="17">
        <v>717</v>
      </c>
      <c r="B719" s="17" t="s">
        <v>171</v>
      </c>
      <c r="C719" s="17" t="s">
        <v>338</v>
      </c>
      <c r="D719" s="17" t="s">
        <v>57</v>
      </c>
      <c r="E719" s="17" t="s">
        <v>87</v>
      </c>
      <c r="F719" s="17" t="s">
        <v>411</v>
      </c>
      <c r="G719" s="17" t="s">
        <v>454</v>
      </c>
      <c r="H719" s="30">
        <v>13342</v>
      </c>
      <c r="I719" s="30">
        <v>16838</v>
      </c>
      <c r="J719" s="30">
        <v>13000</v>
      </c>
      <c r="K719" s="30">
        <v>13000</v>
      </c>
      <c r="L719" s="30">
        <v>13091</v>
      </c>
      <c r="M719" s="31">
        <f t="shared" si="55"/>
        <v>-3838</v>
      </c>
      <c r="N719" s="32">
        <f t="shared" si="56"/>
        <v>-0.22793680959733936</v>
      </c>
      <c r="O719" s="6" t="str">
        <f>IF(ABS(M719)&lt;Overview!$B$6,"OK",IF(I719=0,"REVIEW (zero base)",IF(ABS(M719/ABS(I719))&gt;=Overview!$B$5,"REVIEW","OK")))</f>
        <v>OK</v>
      </c>
      <c r="P719" s="31">
        <f t="shared" si="57"/>
        <v>0</v>
      </c>
      <c r="Q719" s="32">
        <f t="shared" si="58"/>
        <v>0</v>
      </c>
      <c r="R719" s="6" t="str">
        <f>IF(ABS(P719)&lt;Overview!$B$6,"OK",IF(J719=0,"REVIEW (zero base)",IF(ABS(P719/ABS(J719))&gt;=Overview!$B$5,"REVIEW","OK")))</f>
        <v>OK</v>
      </c>
      <c r="S719" s="33">
        <f t="shared" si="59"/>
        <v>3838.0007190000001</v>
      </c>
    </row>
    <row r="720" spans="1:19" x14ac:dyDescent="0.2">
      <c r="A720" s="17">
        <v>718</v>
      </c>
      <c r="B720" s="17" t="s">
        <v>171</v>
      </c>
      <c r="C720" s="17" t="s">
        <v>338</v>
      </c>
      <c r="D720" s="17" t="s">
        <v>57</v>
      </c>
      <c r="E720" s="17" t="s">
        <v>87</v>
      </c>
      <c r="F720" s="17" t="s">
        <v>411</v>
      </c>
      <c r="G720" s="17" t="s">
        <v>455</v>
      </c>
      <c r="H720" s="30">
        <v>36986</v>
      </c>
      <c r="I720" s="30">
        <v>34142</v>
      </c>
      <c r="J720" s="30">
        <v>20000</v>
      </c>
      <c r="K720" s="30">
        <v>30000</v>
      </c>
      <c r="L720" s="30">
        <v>30210</v>
      </c>
      <c r="M720" s="31">
        <f t="shared" si="55"/>
        <v>-14142</v>
      </c>
      <c r="N720" s="32">
        <f t="shared" si="56"/>
        <v>-0.41421123542850447</v>
      </c>
      <c r="O720" s="6" t="str">
        <f>IF(ABS(M720)&lt;Overview!$B$6,"OK",IF(I720=0,"REVIEW (zero base)",IF(ABS(M720/ABS(I720))&gt;=Overview!$B$5,"REVIEW","OK")))</f>
        <v>OK</v>
      </c>
      <c r="P720" s="31">
        <f t="shared" si="57"/>
        <v>10000</v>
      </c>
      <c r="Q720" s="32">
        <f t="shared" si="58"/>
        <v>0.5</v>
      </c>
      <c r="R720" s="6" t="str">
        <f>IF(ABS(P720)&lt;Overview!$B$6,"OK",IF(J720=0,"REVIEW (zero base)",IF(ABS(P720/ABS(J720))&gt;=Overview!$B$5,"REVIEW","OK")))</f>
        <v>OK</v>
      </c>
      <c r="S720" s="33">
        <f t="shared" si="59"/>
        <v>14142.00072</v>
      </c>
    </row>
    <row r="721" spans="1:19" x14ac:dyDescent="0.2">
      <c r="A721" s="17">
        <v>719</v>
      </c>
      <c r="B721" s="17" t="s">
        <v>171</v>
      </c>
      <c r="C721" s="17" t="s">
        <v>338</v>
      </c>
      <c r="D721" s="17" t="s">
        <v>57</v>
      </c>
      <c r="E721" s="17" t="s">
        <v>87</v>
      </c>
      <c r="F721" s="17" t="s">
        <v>469</v>
      </c>
      <c r="G721" s="17" t="s">
        <v>470</v>
      </c>
      <c r="H721" s="30">
        <v>6981</v>
      </c>
      <c r="I721" s="30">
        <v>2992</v>
      </c>
      <c r="J721" s="30">
        <v>10000</v>
      </c>
      <c r="K721" s="30">
        <v>8000</v>
      </c>
      <c r="L721" s="30">
        <v>8000</v>
      </c>
      <c r="M721" s="31">
        <f t="shared" si="55"/>
        <v>7008</v>
      </c>
      <c r="N721" s="32">
        <f t="shared" si="56"/>
        <v>2.3422459893048129</v>
      </c>
      <c r="O721" s="6" t="str">
        <f>IF(ABS(M721)&lt;Overview!$B$6,"OK",IF(I721=0,"REVIEW (zero base)",IF(ABS(M721/ABS(I721))&gt;=Overview!$B$5,"REVIEW","OK")))</f>
        <v>OK</v>
      </c>
      <c r="P721" s="31">
        <f t="shared" si="57"/>
        <v>-2000</v>
      </c>
      <c r="Q721" s="32">
        <f t="shared" si="58"/>
        <v>-0.2</v>
      </c>
      <c r="R721" s="6" t="str">
        <f>IF(ABS(P721)&lt;Overview!$B$6,"OK",IF(J721=0,"REVIEW (zero base)",IF(ABS(P721/ABS(J721))&gt;=Overview!$B$5,"REVIEW","OK")))</f>
        <v>OK</v>
      </c>
      <c r="S721" s="33">
        <f t="shared" si="59"/>
        <v>7008.0007210000003</v>
      </c>
    </row>
    <row r="722" spans="1:19" x14ac:dyDescent="0.2">
      <c r="A722" s="17">
        <v>720</v>
      </c>
      <c r="B722" s="17" t="s">
        <v>171</v>
      </c>
      <c r="C722" s="17" t="s">
        <v>338</v>
      </c>
      <c r="D722" s="17" t="s">
        <v>57</v>
      </c>
      <c r="E722" s="17" t="s">
        <v>105</v>
      </c>
      <c r="F722" s="17" t="s">
        <v>339</v>
      </c>
      <c r="G722" s="17" t="s">
        <v>340</v>
      </c>
      <c r="H722" s="30">
        <v>524343</v>
      </c>
      <c r="I722" s="30">
        <v>655426</v>
      </c>
      <c r="J722" s="30">
        <v>728084</v>
      </c>
      <c r="K722" s="30">
        <v>812877</v>
      </c>
      <c r="L722" s="30">
        <v>821006</v>
      </c>
      <c r="M722" s="31">
        <f t="shared" si="55"/>
        <v>72658</v>
      </c>
      <c r="N722" s="32">
        <f t="shared" si="56"/>
        <v>0.11085614546874857</v>
      </c>
      <c r="O722" s="6" t="str">
        <f>IF(ABS(M722)&lt;Overview!$B$6,"OK",IF(I722=0,"REVIEW (zero base)",IF(ABS(M722/ABS(I722))&gt;=Overview!$B$5,"REVIEW","OK")))</f>
        <v>OK</v>
      </c>
      <c r="P722" s="31">
        <f t="shared" si="57"/>
        <v>84793</v>
      </c>
      <c r="Q722" s="32">
        <f t="shared" si="58"/>
        <v>0.11646046335312958</v>
      </c>
      <c r="R722" s="6" t="str">
        <f>IF(ABS(P722)&lt;Overview!$B$6,"OK",IF(J722=0,"REVIEW (zero base)",IF(ABS(P722/ABS(J722))&gt;=Overview!$B$5,"REVIEW","OK")))</f>
        <v>OK</v>
      </c>
      <c r="S722" s="33">
        <f t="shared" si="59"/>
        <v>72658.000721999997</v>
      </c>
    </row>
    <row r="723" spans="1:19" x14ac:dyDescent="0.2">
      <c r="A723" s="17">
        <v>721</v>
      </c>
      <c r="B723" s="17" t="s">
        <v>171</v>
      </c>
      <c r="C723" s="17" t="s">
        <v>338</v>
      </c>
      <c r="D723" s="17" t="s">
        <v>57</v>
      </c>
      <c r="E723" s="17" t="s">
        <v>105</v>
      </c>
      <c r="F723" s="17" t="s">
        <v>339</v>
      </c>
      <c r="G723" s="17" t="s">
        <v>390</v>
      </c>
      <c r="H723" s="30">
        <v>6054</v>
      </c>
      <c r="I723" s="30">
        <v>8292</v>
      </c>
      <c r="J723" s="30">
        <v>12000</v>
      </c>
      <c r="K723" s="30">
        <v>12000</v>
      </c>
      <c r="L723" s="30">
        <v>12000</v>
      </c>
      <c r="M723" s="31">
        <f t="shared" si="55"/>
        <v>3708</v>
      </c>
      <c r="N723" s="32">
        <f t="shared" si="56"/>
        <v>0.447178002894356</v>
      </c>
      <c r="O723" s="6" t="str">
        <f>IF(ABS(M723)&lt;Overview!$B$6,"OK",IF(I723=0,"REVIEW (zero base)",IF(ABS(M723/ABS(I723))&gt;=Overview!$B$5,"REVIEW","OK")))</f>
        <v>OK</v>
      </c>
      <c r="P723" s="31">
        <f t="shared" si="57"/>
        <v>0</v>
      </c>
      <c r="Q723" s="32">
        <f t="shared" si="58"/>
        <v>0</v>
      </c>
      <c r="R723" s="6" t="str">
        <f>IF(ABS(P723)&lt;Overview!$B$6,"OK",IF(J723=0,"REVIEW (zero base)",IF(ABS(P723/ABS(J723))&gt;=Overview!$B$5,"REVIEW","OK")))</f>
        <v>OK</v>
      </c>
      <c r="S723" s="33">
        <f t="shared" si="59"/>
        <v>3708.0007230000001</v>
      </c>
    </row>
    <row r="724" spans="1:19" x14ac:dyDescent="0.2">
      <c r="A724" s="17">
        <v>722</v>
      </c>
      <c r="B724" s="17" t="s">
        <v>171</v>
      </c>
      <c r="C724" s="17" t="s">
        <v>338</v>
      </c>
      <c r="D724" s="17" t="s">
        <v>57</v>
      </c>
      <c r="E724" s="17" t="s">
        <v>105</v>
      </c>
      <c r="F724" s="17" t="s">
        <v>339</v>
      </c>
      <c r="G724" s="17" t="s">
        <v>391</v>
      </c>
      <c r="H724" s="30">
        <v>27703</v>
      </c>
      <c r="I724" s="30">
        <v>28013</v>
      </c>
      <c r="J724" s="30">
        <v>0</v>
      </c>
      <c r="K724" s="30">
        <v>0</v>
      </c>
      <c r="L724" s="30">
        <v>0</v>
      </c>
      <c r="M724" s="31">
        <f t="shared" si="55"/>
        <v>-28013</v>
      </c>
      <c r="N724" s="32">
        <f t="shared" si="56"/>
        <v>-1</v>
      </c>
      <c r="O724" s="6" t="str">
        <f>IF(ABS(M724)&lt;Overview!$B$6,"OK",IF(I724=0,"REVIEW (zero base)",IF(ABS(M724/ABS(I724))&gt;=Overview!$B$5,"REVIEW","OK")))</f>
        <v>OK</v>
      </c>
      <c r="P724" s="31">
        <f t="shared" si="57"/>
        <v>0</v>
      </c>
      <c r="Q724" s="32" t="str">
        <f t="shared" si="58"/>
        <v>n/a</v>
      </c>
      <c r="R724" s="6" t="str">
        <f>IF(ABS(P724)&lt;Overview!$B$6,"OK",IF(J724=0,"REVIEW (zero base)",IF(ABS(P724/ABS(J724))&gt;=Overview!$B$5,"REVIEW","OK")))</f>
        <v>OK</v>
      </c>
      <c r="S724" s="33">
        <f t="shared" si="59"/>
        <v>28013.000724000001</v>
      </c>
    </row>
    <row r="725" spans="1:19" x14ac:dyDescent="0.2">
      <c r="A725" s="17">
        <v>723</v>
      </c>
      <c r="B725" s="17" t="s">
        <v>171</v>
      </c>
      <c r="C725" s="17" t="s">
        <v>338</v>
      </c>
      <c r="D725" s="17" t="s">
        <v>57</v>
      </c>
      <c r="E725" s="17" t="s">
        <v>105</v>
      </c>
      <c r="F725" s="17" t="s">
        <v>339</v>
      </c>
      <c r="G725" s="17" t="s">
        <v>392</v>
      </c>
      <c r="H725" s="30">
        <v>52594</v>
      </c>
      <c r="I725" s="30">
        <v>34798</v>
      </c>
      <c r="J725" s="30">
        <v>0</v>
      </c>
      <c r="K725" s="30">
        <v>0</v>
      </c>
      <c r="L725" s="30">
        <v>0</v>
      </c>
      <c r="M725" s="31">
        <f t="shared" si="55"/>
        <v>-34798</v>
      </c>
      <c r="N725" s="32">
        <f t="shared" si="56"/>
        <v>-1</v>
      </c>
      <c r="O725" s="6" t="str">
        <f>IF(ABS(M725)&lt;Overview!$B$6,"OK",IF(I725=0,"REVIEW (zero base)",IF(ABS(M725/ABS(I725))&gt;=Overview!$B$5,"REVIEW","OK")))</f>
        <v>OK</v>
      </c>
      <c r="P725" s="31">
        <f t="shared" si="57"/>
        <v>0</v>
      </c>
      <c r="Q725" s="32" t="str">
        <f t="shared" si="58"/>
        <v>n/a</v>
      </c>
      <c r="R725" s="6" t="str">
        <f>IF(ABS(P725)&lt;Overview!$B$6,"OK",IF(J725=0,"REVIEW (zero base)",IF(ABS(P725/ABS(J725))&gt;=Overview!$B$5,"REVIEW","OK")))</f>
        <v>OK</v>
      </c>
      <c r="S725" s="33">
        <f t="shared" si="59"/>
        <v>34798.000724999998</v>
      </c>
    </row>
    <row r="726" spans="1:19" x14ac:dyDescent="0.2">
      <c r="A726" s="17">
        <v>724</v>
      </c>
      <c r="B726" s="17" t="s">
        <v>171</v>
      </c>
      <c r="C726" s="17" t="s">
        <v>338</v>
      </c>
      <c r="D726" s="17" t="s">
        <v>57</v>
      </c>
      <c r="E726" s="17" t="s">
        <v>105</v>
      </c>
      <c r="F726" s="17" t="s">
        <v>339</v>
      </c>
      <c r="G726" s="17" t="s">
        <v>393</v>
      </c>
      <c r="H726" s="30">
        <v>8632</v>
      </c>
      <c r="I726" s="30">
        <v>5275</v>
      </c>
      <c r="J726" s="30">
        <v>0</v>
      </c>
      <c r="K726" s="30">
        <v>0</v>
      </c>
      <c r="L726" s="30">
        <v>0</v>
      </c>
      <c r="M726" s="31">
        <f t="shared" si="55"/>
        <v>-5275</v>
      </c>
      <c r="N726" s="32">
        <f t="shared" si="56"/>
        <v>-1</v>
      </c>
      <c r="O726" s="6" t="str">
        <f>IF(ABS(M726)&lt;Overview!$B$6,"OK",IF(I726=0,"REVIEW (zero base)",IF(ABS(M726/ABS(I726))&gt;=Overview!$B$5,"REVIEW","OK")))</f>
        <v>OK</v>
      </c>
      <c r="P726" s="31">
        <f t="shared" si="57"/>
        <v>0</v>
      </c>
      <c r="Q726" s="32" t="str">
        <f t="shared" si="58"/>
        <v>n/a</v>
      </c>
      <c r="R726" s="6" t="str">
        <f>IF(ABS(P726)&lt;Overview!$B$6,"OK",IF(J726=0,"REVIEW (zero base)",IF(ABS(P726/ABS(J726))&gt;=Overview!$B$5,"REVIEW","OK")))</f>
        <v>OK</v>
      </c>
      <c r="S726" s="33">
        <f t="shared" si="59"/>
        <v>5275.0007260000002</v>
      </c>
    </row>
    <row r="727" spans="1:19" x14ac:dyDescent="0.2">
      <c r="A727" s="17">
        <v>725</v>
      </c>
      <c r="B727" s="17" t="s">
        <v>171</v>
      </c>
      <c r="C727" s="17" t="s">
        <v>338</v>
      </c>
      <c r="D727" s="17" t="s">
        <v>57</v>
      </c>
      <c r="E727" s="17" t="s">
        <v>105</v>
      </c>
      <c r="F727" s="17" t="s">
        <v>339</v>
      </c>
      <c r="G727" s="17" t="s">
        <v>394</v>
      </c>
      <c r="H727" s="30">
        <v>41207</v>
      </c>
      <c r="I727" s="30">
        <v>45986</v>
      </c>
      <c r="J727" s="30">
        <v>0</v>
      </c>
      <c r="K727" s="30">
        <v>0</v>
      </c>
      <c r="L727" s="30">
        <v>0</v>
      </c>
      <c r="M727" s="31">
        <f t="shared" si="55"/>
        <v>-45986</v>
      </c>
      <c r="N727" s="32">
        <f t="shared" si="56"/>
        <v>-1</v>
      </c>
      <c r="O727" s="6" t="str">
        <f>IF(ABS(M727)&lt;Overview!$B$6,"OK",IF(I727=0,"REVIEW (zero base)",IF(ABS(M727/ABS(I727))&gt;=Overview!$B$5,"REVIEW","OK")))</f>
        <v>OK</v>
      </c>
      <c r="P727" s="31">
        <f t="shared" si="57"/>
        <v>0</v>
      </c>
      <c r="Q727" s="32" t="str">
        <f t="shared" si="58"/>
        <v>n/a</v>
      </c>
      <c r="R727" s="6" t="str">
        <f>IF(ABS(P727)&lt;Overview!$B$6,"OK",IF(J727=0,"REVIEW (zero base)",IF(ABS(P727/ABS(J727))&gt;=Overview!$B$5,"REVIEW","OK")))</f>
        <v>OK</v>
      </c>
      <c r="S727" s="33">
        <f t="shared" si="59"/>
        <v>45986.000726999999</v>
      </c>
    </row>
    <row r="728" spans="1:19" x14ac:dyDescent="0.2">
      <c r="A728" s="17">
        <v>726</v>
      </c>
      <c r="B728" s="17" t="s">
        <v>171</v>
      </c>
      <c r="C728" s="17" t="s">
        <v>338</v>
      </c>
      <c r="D728" s="17" t="s">
        <v>57</v>
      </c>
      <c r="E728" s="17" t="s">
        <v>105</v>
      </c>
      <c r="F728" s="17" t="s">
        <v>339</v>
      </c>
      <c r="G728" s="17" t="s">
        <v>395</v>
      </c>
      <c r="H728" s="30">
        <v>22161</v>
      </c>
      <c r="I728" s="30">
        <v>22649</v>
      </c>
      <c r="J728" s="30">
        <v>22743</v>
      </c>
      <c r="K728" s="30">
        <v>28380</v>
      </c>
      <c r="L728" s="30">
        <v>28664</v>
      </c>
      <c r="M728" s="31">
        <f t="shared" si="55"/>
        <v>94</v>
      </c>
      <c r="N728" s="32">
        <f t="shared" si="56"/>
        <v>4.1502936111969622E-3</v>
      </c>
      <c r="O728" s="6" t="str">
        <f>IF(ABS(M728)&lt;Overview!$B$6,"OK",IF(I728=0,"REVIEW (zero base)",IF(ABS(M728/ABS(I728))&gt;=Overview!$B$5,"REVIEW","OK")))</f>
        <v>OK</v>
      </c>
      <c r="P728" s="31">
        <f t="shared" si="57"/>
        <v>5637</v>
      </c>
      <c r="Q728" s="32">
        <f t="shared" si="58"/>
        <v>0.24785648331354704</v>
      </c>
      <c r="R728" s="6" t="str">
        <f>IF(ABS(P728)&lt;Overview!$B$6,"OK",IF(J728=0,"REVIEW (zero base)",IF(ABS(P728/ABS(J728))&gt;=Overview!$B$5,"REVIEW","OK")))</f>
        <v>OK</v>
      </c>
      <c r="S728" s="33">
        <f t="shared" si="59"/>
        <v>94.000727999999995</v>
      </c>
    </row>
    <row r="729" spans="1:19" x14ac:dyDescent="0.2">
      <c r="A729" s="17">
        <v>727</v>
      </c>
      <c r="B729" s="17" t="s">
        <v>171</v>
      </c>
      <c r="C729" s="17" t="s">
        <v>338</v>
      </c>
      <c r="D729" s="17" t="s">
        <v>57</v>
      </c>
      <c r="E729" s="17" t="s">
        <v>105</v>
      </c>
      <c r="F729" s="17" t="s">
        <v>341</v>
      </c>
      <c r="G729" s="17" t="s">
        <v>342</v>
      </c>
      <c r="H729" s="30">
        <v>14677</v>
      </c>
      <c r="I729" s="30">
        <v>15385</v>
      </c>
      <c r="J729" s="30">
        <v>17220</v>
      </c>
      <c r="K729" s="30">
        <v>17220</v>
      </c>
      <c r="L729" s="30">
        <v>17220</v>
      </c>
      <c r="M729" s="31">
        <f t="shared" si="55"/>
        <v>1835</v>
      </c>
      <c r="N729" s="32">
        <f t="shared" si="56"/>
        <v>0.11927201819954501</v>
      </c>
      <c r="O729" s="6" t="str">
        <f>IF(ABS(M729)&lt;Overview!$B$6,"OK",IF(I729=0,"REVIEW (zero base)",IF(ABS(M729/ABS(I729))&gt;=Overview!$B$5,"REVIEW","OK")))</f>
        <v>OK</v>
      </c>
      <c r="P729" s="31">
        <f t="shared" si="57"/>
        <v>0</v>
      </c>
      <c r="Q729" s="32">
        <f t="shared" si="58"/>
        <v>0</v>
      </c>
      <c r="R729" s="6" t="str">
        <f>IF(ABS(P729)&lt;Overview!$B$6,"OK",IF(J729=0,"REVIEW (zero base)",IF(ABS(P729/ABS(J729))&gt;=Overview!$B$5,"REVIEW","OK")))</f>
        <v>OK</v>
      </c>
      <c r="S729" s="33">
        <f t="shared" si="59"/>
        <v>1835.0007290000001</v>
      </c>
    </row>
    <row r="730" spans="1:19" x14ac:dyDescent="0.2">
      <c r="A730" s="17">
        <v>728</v>
      </c>
      <c r="B730" s="17" t="s">
        <v>171</v>
      </c>
      <c r="C730" s="17" t="s">
        <v>338</v>
      </c>
      <c r="D730" s="17" t="s">
        <v>57</v>
      </c>
      <c r="E730" s="17" t="s">
        <v>105</v>
      </c>
      <c r="F730" s="17" t="s">
        <v>341</v>
      </c>
      <c r="G730" s="17" t="s">
        <v>375</v>
      </c>
      <c r="H730" s="30">
        <v>60064</v>
      </c>
      <c r="I730" s="30">
        <v>75173</v>
      </c>
      <c r="J730" s="30">
        <v>72150</v>
      </c>
      <c r="K730" s="30">
        <v>72150</v>
      </c>
      <c r="L730" s="30">
        <v>72150</v>
      </c>
      <c r="M730" s="31">
        <f t="shared" si="55"/>
        <v>-3023</v>
      </c>
      <c r="N730" s="32">
        <f t="shared" si="56"/>
        <v>-4.0213906588801827E-2</v>
      </c>
      <c r="O730" s="6" t="str">
        <f>IF(ABS(M730)&lt;Overview!$B$6,"OK",IF(I730=0,"REVIEW (zero base)",IF(ABS(M730/ABS(I730))&gt;=Overview!$B$5,"REVIEW","OK")))</f>
        <v>OK</v>
      </c>
      <c r="P730" s="31">
        <f t="shared" si="57"/>
        <v>0</v>
      </c>
      <c r="Q730" s="32">
        <f t="shared" si="58"/>
        <v>0</v>
      </c>
      <c r="R730" s="6" t="str">
        <f>IF(ABS(P730)&lt;Overview!$B$6,"OK",IF(J730=0,"REVIEW (zero base)",IF(ABS(P730/ABS(J730))&gt;=Overview!$B$5,"REVIEW","OK")))</f>
        <v>OK</v>
      </c>
      <c r="S730" s="33">
        <f t="shared" si="59"/>
        <v>3023.0007300000002</v>
      </c>
    </row>
    <row r="731" spans="1:19" x14ac:dyDescent="0.2">
      <c r="A731" s="17">
        <v>729</v>
      </c>
      <c r="B731" s="17" t="s">
        <v>171</v>
      </c>
      <c r="C731" s="17" t="s">
        <v>338</v>
      </c>
      <c r="D731" s="17" t="s">
        <v>57</v>
      </c>
      <c r="E731" s="17" t="s">
        <v>105</v>
      </c>
      <c r="F731" s="17" t="s">
        <v>341</v>
      </c>
      <c r="G731" s="17" t="s">
        <v>376</v>
      </c>
      <c r="H731" s="30">
        <v>191145</v>
      </c>
      <c r="I731" s="30">
        <v>230806</v>
      </c>
      <c r="J731" s="30">
        <v>210336</v>
      </c>
      <c r="K731" s="30">
        <v>240492</v>
      </c>
      <c r="L731" s="30">
        <v>253070</v>
      </c>
      <c r="M731" s="31">
        <f t="shared" si="55"/>
        <v>-20470</v>
      </c>
      <c r="N731" s="32">
        <f t="shared" si="56"/>
        <v>-8.8689202187118191E-2</v>
      </c>
      <c r="O731" s="6" t="str">
        <f>IF(ABS(M731)&lt;Overview!$B$6,"OK",IF(I731=0,"REVIEW (zero base)",IF(ABS(M731/ABS(I731))&gt;=Overview!$B$5,"REVIEW","OK")))</f>
        <v>OK</v>
      </c>
      <c r="P731" s="31">
        <f t="shared" si="57"/>
        <v>30156</v>
      </c>
      <c r="Q731" s="32">
        <f t="shared" si="58"/>
        <v>0.14337060702875398</v>
      </c>
      <c r="R731" s="6" t="str">
        <f>IF(ABS(P731)&lt;Overview!$B$6,"OK",IF(J731=0,"REVIEW (zero base)",IF(ABS(P731/ABS(J731))&gt;=Overview!$B$5,"REVIEW","OK")))</f>
        <v>OK</v>
      </c>
      <c r="S731" s="33">
        <f t="shared" si="59"/>
        <v>20470.000731</v>
      </c>
    </row>
    <row r="732" spans="1:19" x14ac:dyDescent="0.2">
      <c r="A732" s="17">
        <v>730</v>
      </c>
      <c r="B732" s="17" t="s">
        <v>171</v>
      </c>
      <c r="C732" s="17" t="s">
        <v>338</v>
      </c>
      <c r="D732" s="17" t="s">
        <v>57</v>
      </c>
      <c r="E732" s="17" t="s">
        <v>105</v>
      </c>
      <c r="F732" s="17" t="s">
        <v>341</v>
      </c>
      <c r="G732" s="17" t="s">
        <v>343</v>
      </c>
      <c r="H732" s="30">
        <v>52293</v>
      </c>
      <c r="I732" s="30">
        <v>60351</v>
      </c>
      <c r="J732" s="30">
        <v>65354</v>
      </c>
      <c r="K732" s="30">
        <v>68562</v>
      </c>
      <c r="L732" s="30">
        <v>69248</v>
      </c>
      <c r="M732" s="31">
        <f t="shared" si="55"/>
        <v>5003</v>
      </c>
      <c r="N732" s="32">
        <f t="shared" si="56"/>
        <v>8.2898377823068387E-2</v>
      </c>
      <c r="O732" s="6" t="str">
        <f>IF(ABS(M732)&lt;Overview!$B$6,"OK",IF(I732=0,"REVIEW (zero base)",IF(ABS(M732/ABS(I732))&gt;=Overview!$B$5,"REVIEW","OK")))</f>
        <v>OK</v>
      </c>
      <c r="P732" s="31">
        <f t="shared" si="57"/>
        <v>3208</v>
      </c>
      <c r="Q732" s="32">
        <f t="shared" si="58"/>
        <v>4.9086513449827097E-2</v>
      </c>
      <c r="R732" s="6" t="str">
        <f>IF(ABS(P732)&lt;Overview!$B$6,"OK",IF(J732=0,"REVIEW (zero base)",IF(ABS(P732/ABS(J732))&gt;=Overview!$B$5,"REVIEW","OK")))</f>
        <v>OK</v>
      </c>
      <c r="S732" s="33">
        <f t="shared" si="59"/>
        <v>5003.0007320000004</v>
      </c>
    </row>
    <row r="733" spans="1:19" x14ac:dyDescent="0.2">
      <c r="A733" s="17">
        <v>731</v>
      </c>
      <c r="B733" s="17" t="s">
        <v>171</v>
      </c>
      <c r="C733" s="17" t="s">
        <v>338</v>
      </c>
      <c r="D733" s="17" t="s">
        <v>57</v>
      </c>
      <c r="E733" s="17" t="s">
        <v>105</v>
      </c>
      <c r="F733" s="17" t="s">
        <v>341</v>
      </c>
      <c r="G733" s="17" t="s">
        <v>378</v>
      </c>
      <c r="H733" s="30">
        <v>48986</v>
      </c>
      <c r="I733" s="30">
        <v>56663</v>
      </c>
      <c r="J733" s="30">
        <v>54548</v>
      </c>
      <c r="K733" s="30">
        <v>57720</v>
      </c>
      <c r="L733" s="30">
        <v>60277</v>
      </c>
      <c r="M733" s="31">
        <f t="shared" si="55"/>
        <v>-2115</v>
      </c>
      <c r="N733" s="32">
        <f t="shared" si="56"/>
        <v>-3.7325944619945997E-2</v>
      </c>
      <c r="O733" s="6" t="str">
        <f>IF(ABS(M733)&lt;Overview!$B$6,"OK",IF(I733=0,"REVIEW (zero base)",IF(ABS(M733/ABS(I733))&gt;=Overview!$B$5,"REVIEW","OK")))</f>
        <v>OK</v>
      </c>
      <c r="P733" s="31">
        <f t="shared" si="57"/>
        <v>3172</v>
      </c>
      <c r="Q733" s="32">
        <f t="shared" si="58"/>
        <v>5.8150619637750235E-2</v>
      </c>
      <c r="R733" s="6" t="str">
        <f>IF(ABS(P733)&lt;Overview!$B$6,"OK",IF(J733=0,"REVIEW (zero base)",IF(ABS(P733/ABS(J733))&gt;=Overview!$B$5,"REVIEW","OK")))</f>
        <v>OK</v>
      </c>
      <c r="S733" s="33">
        <f t="shared" si="59"/>
        <v>2115.0007329999999</v>
      </c>
    </row>
    <row r="734" spans="1:19" x14ac:dyDescent="0.2">
      <c r="A734" s="17">
        <v>732</v>
      </c>
      <c r="B734" s="17" t="s">
        <v>171</v>
      </c>
      <c r="C734" s="17" t="s">
        <v>338</v>
      </c>
      <c r="D734" s="17" t="s">
        <v>57</v>
      </c>
      <c r="E734" s="17" t="s">
        <v>105</v>
      </c>
      <c r="F734" s="17" t="s">
        <v>341</v>
      </c>
      <c r="G734" s="17" t="s">
        <v>344</v>
      </c>
      <c r="H734" s="30">
        <v>169572</v>
      </c>
      <c r="I734" s="30">
        <v>180307</v>
      </c>
      <c r="J734" s="30">
        <v>220983</v>
      </c>
      <c r="K734" s="30">
        <v>265188</v>
      </c>
      <c r="L734" s="30">
        <v>270492</v>
      </c>
      <c r="M734" s="31">
        <f t="shared" si="55"/>
        <v>40676</v>
      </c>
      <c r="N734" s="32">
        <f t="shared" si="56"/>
        <v>0.22559301635543821</v>
      </c>
      <c r="O734" s="6" t="str">
        <f>IF(ABS(M734)&lt;Overview!$B$6,"OK",IF(I734=0,"REVIEW (zero base)",IF(ABS(M734/ABS(I734))&gt;=Overview!$B$5,"REVIEW","OK")))</f>
        <v>OK</v>
      </c>
      <c r="P734" s="31">
        <f t="shared" si="57"/>
        <v>44205</v>
      </c>
      <c r="Q734" s="32">
        <f t="shared" si="58"/>
        <v>0.20003801197377175</v>
      </c>
      <c r="R734" s="6" t="str">
        <f>IF(ABS(P734)&lt;Overview!$B$6,"OK",IF(J734=0,"REVIEW (zero base)",IF(ABS(P734/ABS(J734))&gt;=Overview!$B$5,"REVIEW","OK")))</f>
        <v>OK</v>
      </c>
      <c r="S734" s="33">
        <f t="shared" si="59"/>
        <v>40676.000734000001</v>
      </c>
    </row>
    <row r="735" spans="1:19" x14ac:dyDescent="0.2">
      <c r="A735" s="17">
        <v>733</v>
      </c>
      <c r="B735" s="17" t="s">
        <v>171</v>
      </c>
      <c r="C735" s="17" t="s">
        <v>338</v>
      </c>
      <c r="D735" s="17" t="s">
        <v>57</v>
      </c>
      <c r="E735" s="17" t="s">
        <v>105</v>
      </c>
      <c r="F735" s="17" t="s">
        <v>364</v>
      </c>
      <c r="G735" s="17" t="s">
        <v>398</v>
      </c>
      <c r="H735" s="30">
        <v>0</v>
      </c>
      <c r="I735" s="30">
        <v>0</v>
      </c>
      <c r="J735" s="30">
        <v>0</v>
      </c>
      <c r="K735" s="30">
        <v>1000</v>
      </c>
      <c r="L735" s="30">
        <v>1007</v>
      </c>
      <c r="M735" s="31">
        <f t="shared" si="55"/>
        <v>0</v>
      </c>
      <c r="N735" s="32" t="str">
        <f t="shared" si="56"/>
        <v>n/a</v>
      </c>
      <c r="O735" s="6" t="str">
        <f>IF(ABS(M735)&lt;Overview!$B$6,"OK",IF(I735=0,"REVIEW (zero base)",IF(ABS(M735/ABS(I735))&gt;=Overview!$B$5,"REVIEW","OK")))</f>
        <v>OK</v>
      </c>
      <c r="P735" s="31">
        <f t="shared" si="57"/>
        <v>1000</v>
      </c>
      <c r="Q735" s="32" t="str">
        <f t="shared" si="58"/>
        <v>n/a</v>
      </c>
      <c r="R735" s="6" t="str">
        <f>IF(ABS(P735)&lt;Overview!$B$6,"OK",IF(J735=0,"REVIEW (zero base)",IF(ABS(P735/ABS(J735))&gt;=Overview!$B$5,"REVIEW","OK")))</f>
        <v>OK</v>
      </c>
      <c r="S735" s="33">
        <f t="shared" si="59"/>
        <v>7.3499999999999998E-4</v>
      </c>
    </row>
    <row r="736" spans="1:19" x14ac:dyDescent="0.2">
      <c r="A736" s="17">
        <v>734</v>
      </c>
      <c r="B736" s="17" t="s">
        <v>171</v>
      </c>
      <c r="C736" s="17" t="s">
        <v>338</v>
      </c>
      <c r="D736" s="17" t="s">
        <v>57</v>
      </c>
      <c r="E736" s="17" t="s">
        <v>105</v>
      </c>
      <c r="F736" s="17" t="s">
        <v>404</v>
      </c>
      <c r="G736" s="17" t="s">
        <v>405</v>
      </c>
      <c r="H736" s="30">
        <v>254</v>
      </c>
      <c r="I736" s="30">
        <v>234</v>
      </c>
      <c r="J736" s="30">
        <v>250</v>
      </c>
      <c r="K736" s="30">
        <v>250</v>
      </c>
      <c r="L736" s="30">
        <v>252</v>
      </c>
      <c r="M736" s="31">
        <f t="shared" si="55"/>
        <v>16</v>
      </c>
      <c r="N736" s="32">
        <f t="shared" si="56"/>
        <v>6.8376068376068383E-2</v>
      </c>
      <c r="O736" s="6" t="str">
        <f>IF(ABS(M736)&lt;Overview!$B$6,"OK",IF(I736=0,"REVIEW (zero base)",IF(ABS(M736/ABS(I736))&gt;=Overview!$B$5,"REVIEW","OK")))</f>
        <v>OK</v>
      </c>
      <c r="P736" s="31">
        <f t="shared" si="57"/>
        <v>0</v>
      </c>
      <c r="Q736" s="32">
        <f t="shared" si="58"/>
        <v>0</v>
      </c>
      <c r="R736" s="6" t="str">
        <f>IF(ABS(P736)&lt;Overview!$B$6,"OK",IF(J736=0,"REVIEW (zero base)",IF(ABS(P736/ABS(J736))&gt;=Overview!$B$5,"REVIEW","OK")))</f>
        <v>OK</v>
      </c>
      <c r="S736" s="33">
        <f t="shared" si="59"/>
        <v>16.000736</v>
      </c>
    </row>
    <row r="737" spans="1:19" x14ac:dyDescent="0.2">
      <c r="A737" s="17">
        <v>735</v>
      </c>
      <c r="B737" s="17" t="s">
        <v>171</v>
      </c>
      <c r="C737" s="17" t="s">
        <v>338</v>
      </c>
      <c r="D737" s="17" t="s">
        <v>57</v>
      </c>
      <c r="E737" s="17" t="s">
        <v>105</v>
      </c>
      <c r="F737" s="17" t="s">
        <v>402</v>
      </c>
      <c r="G737" s="17" t="s">
        <v>403</v>
      </c>
      <c r="H737" s="30">
        <v>2856</v>
      </c>
      <c r="I737" s="30">
        <v>2719</v>
      </c>
      <c r="J737" s="30">
        <v>2856</v>
      </c>
      <c r="K737" s="30">
        <v>2856</v>
      </c>
      <c r="L737" s="30">
        <v>2876</v>
      </c>
      <c r="M737" s="31">
        <f t="shared" si="55"/>
        <v>137</v>
      </c>
      <c r="N737" s="32">
        <f t="shared" si="56"/>
        <v>5.0386171386539169E-2</v>
      </c>
      <c r="O737" s="6" t="str">
        <f>IF(ABS(M737)&lt;Overview!$B$6,"OK",IF(I737=0,"REVIEW (zero base)",IF(ABS(M737/ABS(I737))&gt;=Overview!$B$5,"REVIEW","OK")))</f>
        <v>OK</v>
      </c>
      <c r="P737" s="31">
        <f t="shared" si="57"/>
        <v>0</v>
      </c>
      <c r="Q737" s="32">
        <f t="shared" si="58"/>
        <v>0</v>
      </c>
      <c r="R737" s="6" t="str">
        <f>IF(ABS(P737)&lt;Overview!$B$6,"OK",IF(J737=0,"REVIEW (zero base)",IF(ABS(P737/ABS(J737))&gt;=Overview!$B$5,"REVIEW","OK")))</f>
        <v>OK</v>
      </c>
      <c r="S737" s="33">
        <f t="shared" si="59"/>
        <v>137.00073699999999</v>
      </c>
    </row>
    <row r="738" spans="1:19" x14ac:dyDescent="0.2">
      <c r="A738" s="17">
        <v>736</v>
      </c>
      <c r="B738" s="17" t="s">
        <v>171</v>
      </c>
      <c r="C738" s="17" t="s">
        <v>338</v>
      </c>
      <c r="D738" s="17" t="s">
        <v>57</v>
      </c>
      <c r="E738" s="17" t="s">
        <v>105</v>
      </c>
      <c r="F738" s="17" t="s">
        <v>409</v>
      </c>
      <c r="G738" s="17" t="s">
        <v>410</v>
      </c>
      <c r="H738" s="30">
        <v>104786</v>
      </c>
      <c r="I738" s="30">
        <v>133899</v>
      </c>
      <c r="J738" s="30">
        <v>125000</v>
      </c>
      <c r="K738" s="30">
        <v>124000</v>
      </c>
      <c r="L738" s="30">
        <v>124868</v>
      </c>
      <c r="M738" s="31">
        <f t="shared" si="55"/>
        <v>-8899</v>
      </c>
      <c r="N738" s="32">
        <f t="shared" si="56"/>
        <v>-6.6460541154153507E-2</v>
      </c>
      <c r="O738" s="6" t="str">
        <f>IF(ABS(M738)&lt;Overview!$B$6,"OK",IF(I738=0,"REVIEW (zero base)",IF(ABS(M738/ABS(I738))&gt;=Overview!$B$5,"REVIEW","OK")))</f>
        <v>OK</v>
      </c>
      <c r="P738" s="31">
        <f t="shared" si="57"/>
        <v>-1000</v>
      </c>
      <c r="Q738" s="32">
        <f t="shared" si="58"/>
        <v>-8.0000000000000002E-3</v>
      </c>
      <c r="R738" s="6" t="str">
        <f>IF(ABS(P738)&lt;Overview!$B$6,"OK",IF(J738=0,"REVIEW (zero base)",IF(ABS(P738/ABS(J738))&gt;=Overview!$B$5,"REVIEW","OK")))</f>
        <v>OK</v>
      </c>
      <c r="S738" s="33">
        <f t="shared" si="59"/>
        <v>8899.0007380000006</v>
      </c>
    </row>
    <row r="739" spans="1:19" x14ac:dyDescent="0.2">
      <c r="A739" s="17">
        <v>737</v>
      </c>
      <c r="B739" s="17" t="s">
        <v>171</v>
      </c>
      <c r="C739" s="17" t="s">
        <v>338</v>
      </c>
      <c r="D739" s="17" t="s">
        <v>57</v>
      </c>
      <c r="E739" s="17" t="s">
        <v>105</v>
      </c>
      <c r="F739" s="17" t="s">
        <v>347</v>
      </c>
      <c r="G739" s="17" t="s">
        <v>348</v>
      </c>
      <c r="H739" s="30">
        <v>1201</v>
      </c>
      <c r="I739" s="30">
        <v>967</v>
      </c>
      <c r="J739" s="30">
        <v>1000</v>
      </c>
      <c r="K739" s="30">
        <v>1000</v>
      </c>
      <c r="L739" s="30">
        <v>1007</v>
      </c>
      <c r="M739" s="31">
        <f t="shared" si="55"/>
        <v>33</v>
      </c>
      <c r="N739" s="32">
        <f t="shared" si="56"/>
        <v>3.4126163391933813E-2</v>
      </c>
      <c r="O739" s="6" t="str">
        <f>IF(ABS(M739)&lt;Overview!$B$6,"OK",IF(I739=0,"REVIEW (zero base)",IF(ABS(M739/ABS(I739))&gt;=Overview!$B$5,"REVIEW","OK")))</f>
        <v>OK</v>
      </c>
      <c r="P739" s="31">
        <f t="shared" si="57"/>
        <v>0</v>
      </c>
      <c r="Q739" s="32">
        <f t="shared" si="58"/>
        <v>0</v>
      </c>
      <c r="R739" s="6" t="str">
        <f>IF(ABS(P739)&lt;Overview!$B$6,"OK",IF(J739=0,"REVIEW (zero base)",IF(ABS(P739/ABS(J739))&gt;=Overview!$B$5,"REVIEW","OK")))</f>
        <v>OK</v>
      </c>
      <c r="S739" s="33">
        <f t="shared" si="59"/>
        <v>33.000739000000003</v>
      </c>
    </row>
    <row r="740" spans="1:19" x14ac:dyDescent="0.2">
      <c r="A740" s="17">
        <v>738</v>
      </c>
      <c r="B740" s="17" t="s">
        <v>171</v>
      </c>
      <c r="C740" s="17" t="s">
        <v>338</v>
      </c>
      <c r="D740" s="17" t="s">
        <v>57</v>
      </c>
      <c r="E740" s="17" t="s">
        <v>105</v>
      </c>
      <c r="F740" s="17" t="s">
        <v>386</v>
      </c>
      <c r="G740" s="17" t="s">
        <v>447</v>
      </c>
      <c r="H740" s="30">
        <v>5468</v>
      </c>
      <c r="I740" s="30">
        <v>6725</v>
      </c>
      <c r="J740" s="30">
        <v>6000</v>
      </c>
      <c r="K740" s="30">
        <v>6000</v>
      </c>
      <c r="L740" s="30">
        <v>6042</v>
      </c>
      <c r="M740" s="31">
        <f t="shared" si="55"/>
        <v>-725</v>
      </c>
      <c r="N740" s="32">
        <f t="shared" si="56"/>
        <v>-0.10780669144981413</v>
      </c>
      <c r="O740" s="6" t="str">
        <f>IF(ABS(M740)&lt;Overview!$B$6,"OK",IF(I740=0,"REVIEW (zero base)",IF(ABS(M740/ABS(I740))&gt;=Overview!$B$5,"REVIEW","OK")))</f>
        <v>OK</v>
      </c>
      <c r="P740" s="31">
        <f t="shared" si="57"/>
        <v>0</v>
      </c>
      <c r="Q740" s="32">
        <f t="shared" si="58"/>
        <v>0</v>
      </c>
      <c r="R740" s="6" t="str">
        <f>IF(ABS(P740)&lt;Overview!$B$6,"OK",IF(J740=0,"REVIEW (zero base)",IF(ABS(P740/ABS(J740))&gt;=Overview!$B$5,"REVIEW","OK")))</f>
        <v>OK</v>
      </c>
      <c r="S740" s="33">
        <f t="shared" si="59"/>
        <v>725.00073999999995</v>
      </c>
    </row>
    <row r="741" spans="1:19" x14ac:dyDescent="0.2">
      <c r="A741" s="17">
        <v>739</v>
      </c>
      <c r="B741" s="17" t="s">
        <v>171</v>
      </c>
      <c r="C741" s="17" t="s">
        <v>338</v>
      </c>
      <c r="D741" s="17" t="s">
        <v>57</v>
      </c>
      <c r="E741" s="17" t="s">
        <v>105</v>
      </c>
      <c r="F741" s="17" t="s">
        <v>411</v>
      </c>
      <c r="G741" s="17" t="s">
        <v>455</v>
      </c>
      <c r="H741" s="30">
        <v>1010</v>
      </c>
      <c r="I741" s="30">
        <v>656</v>
      </c>
      <c r="J741" s="30">
        <v>1000</v>
      </c>
      <c r="K741" s="30">
        <v>1000</v>
      </c>
      <c r="L741" s="30">
        <v>1007</v>
      </c>
      <c r="M741" s="31">
        <f t="shared" si="55"/>
        <v>344</v>
      </c>
      <c r="N741" s="32">
        <f t="shared" si="56"/>
        <v>0.52439024390243905</v>
      </c>
      <c r="O741" s="6" t="str">
        <f>IF(ABS(M741)&lt;Overview!$B$6,"OK",IF(I741=0,"REVIEW (zero base)",IF(ABS(M741/ABS(I741))&gt;=Overview!$B$5,"REVIEW","OK")))</f>
        <v>OK</v>
      </c>
      <c r="P741" s="31">
        <f t="shared" si="57"/>
        <v>0</v>
      </c>
      <c r="Q741" s="32">
        <f t="shared" si="58"/>
        <v>0</v>
      </c>
      <c r="R741" s="6" t="str">
        <f>IF(ABS(P741)&lt;Overview!$B$6,"OK",IF(J741=0,"REVIEW (zero base)",IF(ABS(P741/ABS(J741))&gt;=Overview!$B$5,"REVIEW","OK")))</f>
        <v>OK</v>
      </c>
      <c r="S741" s="33">
        <f t="shared" si="59"/>
        <v>344.000741</v>
      </c>
    </row>
    <row r="742" spans="1:19" x14ac:dyDescent="0.2">
      <c r="A742" s="17">
        <v>740</v>
      </c>
      <c r="B742" s="17" t="s">
        <v>171</v>
      </c>
      <c r="C742" s="17" t="s">
        <v>338</v>
      </c>
      <c r="D742" s="17" t="s">
        <v>57</v>
      </c>
      <c r="E742" s="17" t="s">
        <v>93</v>
      </c>
      <c r="F742" s="17" t="s">
        <v>339</v>
      </c>
      <c r="G742" s="17" t="s">
        <v>340</v>
      </c>
      <c r="H742" s="30">
        <v>1133096</v>
      </c>
      <c r="I742" s="30">
        <v>1170990</v>
      </c>
      <c r="J742" s="30">
        <v>1359736</v>
      </c>
      <c r="K742" s="30">
        <v>1463164</v>
      </c>
      <c r="L742" s="30">
        <v>1477796</v>
      </c>
      <c r="M742" s="31">
        <f t="shared" si="55"/>
        <v>188746</v>
      </c>
      <c r="N742" s="32">
        <f t="shared" si="56"/>
        <v>0.16118498023040334</v>
      </c>
      <c r="O742" s="6" t="str">
        <f>IF(ABS(M742)&lt;Overview!$B$6,"OK",IF(I742=0,"REVIEW (zero base)",IF(ABS(M742/ABS(I742))&gt;=Overview!$B$5,"REVIEW","OK")))</f>
        <v>OK</v>
      </c>
      <c r="P742" s="31">
        <f t="shared" si="57"/>
        <v>103428</v>
      </c>
      <c r="Q742" s="32">
        <f t="shared" si="58"/>
        <v>7.6064765513305529E-2</v>
      </c>
      <c r="R742" s="6" t="str">
        <f>IF(ABS(P742)&lt;Overview!$B$6,"OK",IF(J742=0,"REVIEW (zero base)",IF(ABS(P742/ABS(J742))&gt;=Overview!$B$5,"REVIEW","OK")))</f>
        <v>OK</v>
      </c>
      <c r="S742" s="33">
        <f t="shared" si="59"/>
        <v>188746.000742</v>
      </c>
    </row>
    <row r="743" spans="1:19" x14ac:dyDescent="0.2">
      <c r="A743" s="17">
        <v>741</v>
      </c>
      <c r="B743" s="17" t="s">
        <v>171</v>
      </c>
      <c r="C743" s="17" t="s">
        <v>338</v>
      </c>
      <c r="D743" s="17" t="s">
        <v>57</v>
      </c>
      <c r="E743" s="17" t="s">
        <v>93</v>
      </c>
      <c r="F743" s="17" t="s">
        <v>339</v>
      </c>
      <c r="G743" s="17" t="s">
        <v>390</v>
      </c>
      <c r="H743" s="30">
        <v>124502</v>
      </c>
      <c r="I743" s="30">
        <v>108657</v>
      </c>
      <c r="J743" s="30">
        <v>113938</v>
      </c>
      <c r="K743" s="30">
        <v>117439</v>
      </c>
      <c r="L743" s="30">
        <v>117439</v>
      </c>
      <c r="M743" s="31">
        <f t="shared" si="55"/>
        <v>5281</v>
      </c>
      <c r="N743" s="32">
        <f t="shared" si="56"/>
        <v>4.8602483042970081E-2</v>
      </c>
      <c r="O743" s="6" t="str">
        <f>IF(ABS(M743)&lt;Overview!$B$6,"OK",IF(I743=0,"REVIEW (zero base)",IF(ABS(M743/ABS(I743))&gt;=Overview!$B$5,"REVIEW","OK")))</f>
        <v>OK</v>
      </c>
      <c r="P743" s="31">
        <f t="shared" si="57"/>
        <v>3501</v>
      </c>
      <c r="Q743" s="32">
        <f t="shared" si="58"/>
        <v>3.072723762046025E-2</v>
      </c>
      <c r="R743" s="6" t="str">
        <f>IF(ABS(P743)&lt;Overview!$B$6,"OK",IF(J743=0,"REVIEW (zero base)",IF(ABS(P743/ABS(J743))&gt;=Overview!$B$5,"REVIEW","OK")))</f>
        <v>OK</v>
      </c>
      <c r="S743" s="33">
        <f t="shared" si="59"/>
        <v>5281.0007429999996</v>
      </c>
    </row>
    <row r="744" spans="1:19" x14ac:dyDescent="0.2">
      <c r="A744" s="17">
        <v>742</v>
      </c>
      <c r="B744" s="17" t="s">
        <v>171</v>
      </c>
      <c r="C744" s="17" t="s">
        <v>338</v>
      </c>
      <c r="D744" s="17" t="s">
        <v>57</v>
      </c>
      <c r="E744" s="17" t="s">
        <v>93</v>
      </c>
      <c r="F744" s="17" t="s">
        <v>339</v>
      </c>
      <c r="G744" s="17" t="s">
        <v>391</v>
      </c>
      <c r="H744" s="30">
        <v>58823</v>
      </c>
      <c r="I744" s="30">
        <v>46733</v>
      </c>
      <c r="J744" s="30">
        <v>0</v>
      </c>
      <c r="K744" s="30">
        <v>0</v>
      </c>
      <c r="L744" s="30">
        <v>0</v>
      </c>
      <c r="M744" s="31">
        <f t="shared" si="55"/>
        <v>-46733</v>
      </c>
      <c r="N744" s="32">
        <f t="shared" si="56"/>
        <v>-1</v>
      </c>
      <c r="O744" s="6" t="str">
        <f>IF(ABS(M744)&lt;Overview!$B$6,"OK",IF(I744=0,"REVIEW (zero base)",IF(ABS(M744/ABS(I744))&gt;=Overview!$B$5,"REVIEW","OK")))</f>
        <v>OK</v>
      </c>
      <c r="P744" s="31">
        <f t="shared" si="57"/>
        <v>0</v>
      </c>
      <c r="Q744" s="32" t="str">
        <f t="shared" si="58"/>
        <v>n/a</v>
      </c>
      <c r="R744" s="6" t="str">
        <f>IF(ABS(P744)&lt;Overview!$B$6,"OK",IF(J744=0,"REVIEW (zero base)",IF(ABS(P744/ABS(J744))&gt;=Overview!$B$5,"REVIEW","OK")))</f>
        <v>OK</v>
      </c>
      <c r="S744" s="33">
        <f t="shared" si="59"/>
        <v>46733.000743999997</v>
      </c>
    </row>
    <row r="745" spans="1:19" x14ac:dyDescent="0.2">
      <c r="A745" s="17">
        <v>743</v>
      </c>
      <c r="B745" s="17" t="s">
        <v>171</v>
      </c>
      <c r="C745" s="17" t="s">
        <v>338</v>
      </c>
      <c r="D745" s="17" t="s">
        <v>57</v>
      </c>
      <c r="E745" s="17" t="s">
        <v>93</v>
      </c>
      <c r="F745" s="17" t="s">
        <v>339</v>
      </c>
      <c r="G745" s="17" t="s">
        <v>392</v>
      </c>
      <c r="H745" s="30">
        <v>120647</v>
      </c>
      <c r="I745" s="30">
        <v>85840</v>
      </c>
      <c r="J745" s="30">
        <v>0</v>
      </c>
      <c r="K745" s="30">
        <v>0</v>
      </c>
      <c r="L745" s="30">
        <v>0</v>
      </c>
      <c r="M745" s="31">
        <f t="shared" si="55"/>
        <v>-85840</v>
      </c>
      <c r="N745" s="32">
        <f t="shared" si="56"/>
        <v>-1</v>
      </c>
      <c r="O745" s="6" t="str">
        <f>IF(ABS(M745)&lt;Overview!$B$6,"OK",IF(I745=0,"REVIEW (zero base)",IF(ABS(M745/ABS(I745))&gt;=Overview!$B$5,"REVIEW","OK")))</f>
        <v>OK</v>
      </c>
      <c r="P745" s="31">
        <f t="shared" si="57"/>
        <v>0</v>
      </c>
      <c r="Q745" s="32" t="str">
        <f t="shared" si="58"/>
        <v>n/a</v>
      </c>
      <c r="R745" s="6" t="str">
        <f>IF(ABS(P745)&lt;Overview!$B$6,"OK",IF(J745=0,"REVIEW (zero base)",IF(ABS(P745/ABS(J745))&gt;=Overview!$B$5,"REVIEW","OK")))</f>
        <v>OK</v>
      </c>
      <c r="S745" s="33">
        <f t="shared" si="59"/>
        <v>85840.000744999998</v>
      </c>
    </row>
    <row r="746" spans="1:19" x14ac:dyDescent="0.2">
      <c r="A746" s="17">
        <v>744</v>
      </c>
      <c r="B746" s="17" t="s">
        <v>171</v>
      </c>
      <c r="C746" s="17" t="s">
        <v>338</v>
      </c>
      <c r="D746" s="17" t="s">
        <v>57</v>
      </c>
      <c r="E746" s="17" t="s">
        <v>93</v>
      </c>
      <c r="F746" s="17" t="s">
        <v>339</v>
      </c>
      <c r="G746" s="17" t="s">
        <v>393</v>
      </c>
      <c r="H746" s="30">
        <v>8703</v>
      </c>
      <c r="I746" s="30">
        <v>1344</v>
      </c>
      <c r="J746" s="30">
        <v>0</v>
      </c>
      <c r="K746" s="30">
        <v>0</v>
      </c>
      <c r="L746" s="30">
        <v>0</v>
      </c>
      <c r="M746" s="31">
        <f t="shared" si="55"/>
        <v>-1344</v>
      </c>
      <c r="N746" s="32">
        <f t="shared" si="56"/>
        <v>-1</v>
      </c>
      <c r="O746" s="6" t="str">
        <f>IF(ABS(M746)&lt;Overview!$B$6,"OK",IF(I746=0,"REVIEW (zero base)",IF(ABS(M746/ABS(I746))&gt;=Overview!$B$5,"REVIEW","OK")))</f>
        <v>OK</v>
      </c>
      <c r="P746" s="31">
        <f t="shared" si="57"/>
        <v>0</v>
      </c>
      <c r="Q746" s="32" t="str">
        <f t="shared" si="58"/>
        <v>n/a</v>
      </c>
      <c r="R746" s="6" t="str">
        <f>IF(ABS(P746)&lt;Overview!$B$6,"OK",IF(J746=0,"REVIEW (zero base)",IF(ABS(P746/ABS(J746))&gt;=Overview!$B$5,"REVIEW","OK")))</f>
        <v>OK</v>
      </c>
      <c r="S746" s="33">
        <f t="shared" si="59"/>
        <v>1344.0007459999999</v>
      </c>
    </row>
    <row r="747" spans="1:19" x14ac:dyDescent="0.2">
      <c r="A747" s="17">
        <v>745</v>
      </c>
      <c r="B747" s="17" t="s">
        <v>171</v>
      </c>
      <c r="C747" s="17" t="s">
        <v>338</v>
      </c>
      <c r="D747" s="17" t="s">
        <v>57</v>
      </c>
      <c r="E747" s="17" t="s">
        <v>93</v>
      </c>
      <c r="F747" s="17" t="s">
        <v>339</v>
      </c>
      <c r="G747" s="17" t="s">
        <v>394</v>
      </c>
      <c r="H747" s="30">
        <v>94013</v>
      </c>
      <c r="I747" s="30">
        <v>85418</v>
      </c>
      <c r="J747" s="30">
        <v>0</v>
      </c>
      <c r="K747" s="30">
        <v>0</v>
      </c>
      <c r="L747" s="30">
        <v>0</v>
      </c>
      <c r="M747" s="31">
        <f t="shared" si="55"/>
        <v>-85418</v>
      </c>
      <c r="N747" s="32">
        <f t="shared" si="56"/>
        <v>-1</v>
      </c>
      <c r="O747" s="6" t="str">
        <f>IF(ABS(M747)&lt;Overview!$B$6,"OK",IF(I747=0,"REVIEW (zero base)",IF(ABS(M747/ABS(I747))&gt;=Overview!$B$5,"REVIEW","OK")))</f>
        <v>OK</v>
      </c>
      <c r="P747" s="31">
        <f t="shared" si="57"/>
        <v>0</v>
      </c>
      <c r="Q747" s="32" t="str">
        <f t="shared" si="58"/>
        <v>n/a</v>
      </c>
      <c r="R747" s="6" t="str">
        <f>IF(ABS(P747)&lt;Overview!$B$6,"OK",IF(J747=0,"REVIEW (zero base)",IF(ABS(P747/ABS(J747))&gt;=Overview!$B$5,"REVIEW","OK")))</f>
        <v>OK</v>
      </c>
      <c r="S747" s="33">
        <f t="shared" si="59"/>
        <v>85418.000746999998</v>
      </c>
    </row>
    <row r="748" spans="1:19" x14ac:dyDescent="0.2">
      <c r="A748" s="17">
        <v>746</v>
      </c>
      <c r="B748" s="17" t="s">
        <v>171</v>
      </c>
      <c r="C748" s="17" t="s">
        <v>338</v>
      </c>
      <c r="D748" s="17" t="s">
        <v>57</v>
      </c>
      <c r="E748" s="17" t="s">
        <v>93</v>
      </c>
      <c r="F748" s="17" t="s">
        <v>339</v>
      </c>
      <c r="G748" s="17" t="s">
        <v>395</v>
      </c>
      <c r="H748" s="30">
        <v>54642</v>
      </c>
      <c r="I748" s="30">
        <v>56748</v>
      </c>
      <c r="J748" s="30">
        <v>58133</v>
      </c>
      <c r="K748" s="30">
        <v>53040</v>
      </c>
      <c r="L748" s="30">
        <v>53570</v>
      </c>
      <c r="M748" s="31">
        <f t="shared" si="55"/>
        <v>1385</v>
      </c>
      <c r="N748" s="32">
        <f t="shared" si="56"/>
        <v>2.4406146472122366E-2</v>
      </c>
      <c r="O748" s="6" t="str">
        <f>IF(ABS(M748)&lt;Overview!$B$6,"OK",IF(I748=0,"REVIEW (zero base)",IF(ABS(M748/ABS(I748))&gt;=Overview!$B$5,"REVIEW","OK")))</f>
        <v>OK</v>
      </c>
      <c r="P748" s="31">
        <f t="shared" si="57"/>
        <v>-5093</v>
      </c>
      <c r="Q748" s="32">
        <f t="shared" si="58"/>
        <v>-8.7609447301876725E-2</v>
      </c>
      <c r="R748" s="6" t="str">
        <f>IF(ABS(P748)&lt;Overview!$B$6,"OK",IF(J748=0,"REVIEW (zero base)",IF(ABS(P748/ABS(J748))&gt;=Overview!$B$5,"REVIEW","OK")))</f>
        <v>OK</v>
      </c>
      <c r="S748" s="33">
        <f t="shared" si="59"/>
        <v>1385.0007479999999</v>
      </c>
    </row>
    <row r="749" spans="1:19" x14ac:dyDescent="0.2">
      <c r="A749" s="17">
        <v>747</v>
      </c>
      <c r="B749" s="17" t="s">
        <v>171</v>
      </c>
      <c r="C749" s="17" t="s">
        <v>338</v>
      </c>
      <c r="D749" s="17" t="s">
        <v>57</v>
      </c>
      <c r="E749" s="17" t="s">
        <v>93</v>
      </c>
      <c r="F749" s="17" t="s">
        <v>339</v>
      </c>
      <c r="G749" s="17" t="s">
        <v>425</v>
      </c>
      <c r="H749" s="30">
        <v>80801</v>
      </c>
      <c r="I749" s="30">
        <v>76842</v>
      </c>
      <c r="J749" s="30">
        <v>78000</v>
      </c>
      <c r="K749" s="30">
        <v>78000</v>
      </c>
      <c r="L749" s="30">
        <v>78000</v>
      </c>
      <c r="M749" s="31">
        <f t="shared" si="55"/>
        <v>1158</v>
      </c>
      <c r="N749" s="32">
        <f t="shared" si="56"/>
        <v>1.5069883657374872E-2</v>
      </c>
      <c r="O749" s="6" t="str">
        <f>IF(ABS(M749)&lt;Overview!$B$6,"OK",IF(I749=0,"REVIEW (zero base)",IF(ABS(M749/ABS(I749))&gt;=Overview!$B$5,"REVIEW","OK")))</f>
        <v>OK</v>
      </c>
      <c r="P749" s="31">
        <f t="shared" si="57"/>
        <v>0</v>
      </c>
      <c r="Q749" s="32">
        <f t="shared" si="58"/>
        <v>0</v>
      </c>
      <c r="R749" s="6" t="str">
        <f>IF(ABS(P749)&lt;Overview!$B$6,"OK",IF(J749=0,"REVIEW (zero base)",IF(ABS(P749/ABS(J749))&gt;=Overview!$B$5,"REVIEW","OK")))</f>
        <v>OK</v>
      </c>
      <c r="S749" s="33">
        <f t="shared" si="59"/>
        <v>1158.000749</v>
      </c>
    </row>
    <row r="750" spans="1:19" x14ac:dyDescent="0.2">
      <c r="A750" s="17">
        <v>748</v>
      </c>
      <c r="B750" s="17" t="s">
        <v>171</v>
      </c>
      <c r="C750" s="17" t="s">
        <v>338</v>
      </c>
      <c r="D750" s="17" t="s">
        <v>57</v>
      </c>
      <c r="E750" s="17" t="s">
        <v>93</v>
      </c>
      <c r="F750" s="17" t="s">
        <v>341</v>
      </c>
      <c r="G750" s="17" t="s">
        <v>342</v>
      </c>
      <c r="H750" s="30">
        <v>35788</v>
      </c>
      <c r="I750" s="30">
        <v>31777</v>
      </c>
      <c r="J750" s="30">
        <v>40548</v>
      </c>
      <c r="K750" s="30">
        <v>40548</v>
      </c>
      <c r="L750" s="30">
        <v>40548</v>
      </c>
      <c r="M750" s="31">
        <f t="shared" si="55"/>
        <v>8771</v>
      </c>
      <c r="N750" s="32">
        <f t="shared" si="56"/>
        <v>0.27601724517732951</v>
      </c>
      <c r="O750" s="6" t="str">
        <f>IF(ABS(M750)&lt;Overview!$B$6,"OK",IF(I750=0,"REVIEW (zero base)",IF(ABS(M750/ABS(I750))&gt;=Overview!$B$5,"REVIEW","OK")))</f>
        <v>OK</v>
      </c>
      <c r="P750" s="31">
        <f t="shared" si="57"/>
        <v>0</v>
      </c>
      <c r="Q750" s="32">
        <f t="shared" si="58"/>
        <v>0</v>
      </c>
      <c r="R750" s="6" t="str">
        <f>IF(ABS(P750)&lt;Overview!$B$6,"OK",IF(J750=0,"REVIEW (zero base)",IF(ABS(P750/ABS(J750))&gt;=Overview!$B$5,"REVIEW","OK")))</f>
        <v>OK</v>
      </c>
      <c r="S750" s="33">
        <f t="shared" si="59"/>
        <v>8771.0007499999992</v>
      </c>
    </row>
    <row r="751" spans="1:19" x14ac:dyDescent="0.2">
      <c r="A751" s="17">
        <v>749</v>
      </c>
      <c r="B751" s="17" t="s">
        <v>171</v>
      </c>
      <c r="C751" s="17" t="s">
        <v>338</v>
      </c>
      <c r="D751" s="17" t="s">
        <v>57</v>
      </c>
      <c r="E751" s="17" t="s">
        <v>93</v>
      </c>
      <c r="F751" s="17" t="s">
        <v>341</v>
      </c>
      <c r="G751" s="17" t="s">
        <v>375</v>
      </c>
      <c r="H751" s="30">
        <v>154178</v>
      </c>
      <c r="I751" s="30">
        <v>162999</v>
      </c>
      <c r="J751" s="30">
        <v>161200</v>
      </c>
      <c r="K751" s="30">
        <v>161200</v>
      </c>
      <c r="L751" s="30">
        <v>161200</v>
      </c>
      <c r="M751" s="31">
        <f t="shared" si="55"/>
        <v>-1799</v>
      </c>
      <c r="N751" s="32">
        <f t="shared" si="56"/>
        <v>-1.1036877526855993E-2</v>
      </c>
      <c r="O751" s="6" t="str">
        <f>IF(ABS(M751)&lt;Overview!$B$6,"OK",IF(I751=0,"REVIEW (zero base)",IF(ABS(M751/ABS(I751))&gt;=Overview!$B$5,"REVIEW","OK")))</f>
        <v>OK</v>
      </c>
      <c r="P751" s="31">
        <f t="shared" si="57"/>
        <v>0</v>
      </c>
      <c r="Q751" s="32">
        <f t="shared" si="58"/>
        <v>0</v>
      </c>
      <c r="R751" s="6" t="str">
        <f>IF(ABS(P751)&lt;Overview!$B$6,"OK",IF(J751=0,"REVIEW (zero base)",IF(ABS(P751/ABS(J751))&gt;=Overview!$B$5,"REVIEW","OK")))</f>
        <v>OK</v>
      </c>
      <c r="S751" s="33">
        <f t="shared" si="59"/>
        <v>1799.000751</v>
      </c>
    </row>
    <row r="752" spans="1:19" x14ac:dyDescent="0.2">
      <c r="A752" s="17">
        <v>750</v>
      </c>
      <c r="B752" s="17" t="s">
        <v>171</v>
      </c>
      <c r="C752" s="17" t="s">
        <v>338</v>
      </c>
      <c r="D752" s="17" t="s">
        <v>57</v>
      </c>
      <c r="E752" s="17" t="s">
        <v>93</v>
      </c>
      <c r="F752" s="17" t="s">
        <v>341</v>
      </c>
      <c r="G752" s="17" t="s">
        <v>376</v>
      </c>
      <c r="H752" s="30">
        <v>419025</v>
      </c>
      <c r="I752" s="30">
        <v>413311</v>
      </c>
      <c r="J752" s="30">
        <v>382431</v>
      </c>
      <c r="K752" s="30">
        <v>430668</v>
      </c>
      <c r="L752" s="30">
        <v>453192</v>
      </c>
      <c r="M752" s="31">
        <f t="shared" si="55"/>
        <v>-30880</v>
      </c>
      <c r="N752" s="32">
        <f t="shared" si="56"/>
        <v>-7.4713714370050643E-2</v>
      </c>
      <c r="O752" s="6" t="str">
        <f>IF(ABS(M752)&lt;Overview!$B$6,"OK",IF(I752=0,"REVIEW (zero base)",IF(ABS(M752/ABS(I752))&gt;=Overview!$B$5,"REVIEW","OK")))</f>
        <v>OK</v>
      </c>
      <c r="P752" s="31">
        <f t="shared" si="57"/>
        <v>48237</v>
      </c>
      <c r="Q752" s="32">
        <f t="shared" si="58"/>
        <v>0.12613255724562078</v>
      </c>
      <c r="R752" s="6" t="str">
        <f>IF(ABS(P752)&lt;Overview!$B$6,"OK",IF(J752=0,"REVIEW (zero base)",IF(ABS(P752/ABS(J752))&gt;=Overview!$B$5,"REVIEW","OK")))</f>
        <v>OK</v>
      </c>
      <c r="S752" s="33">
        <f t="shared" si="59"/>
        <v>30880.000752</v>
      </c>
    </row>
    <row r="753" spans="1:19" x14ac:dyDescent="0.2">
      <c r="A753" s="17">
        <v>751</v>
      </c>
      <c r="B753" s="17" t="s">
        <v>171</v>
      </c>
      <c r="C753" s="17" t="s">
        <v>338</v>
      </c>
      <c r="D753" s="17" t="s">
        <v>57</v>
      </c>
      <c r="E753" s="17" t="s">
        <v>93</v>
      </c>
      <c r="F753" s="17" t="s">
        <v>341</v>
      </c>
      <c r="G753" s="17" t="s">
        <v>343</v>
      </c>
      <c r="H753" s="30">
        <v>125982</v>
      </c>
      <c r="I753" s="30">
        <v>121897</v>
      </c>
      <c r="J753" s="30">
        <v>132045</v>
      </c>
      <c r="K753" s="30">
        <v>134766</v>
      </c>
      <c r="L753" s="30">
        <v>136114</v>
      </c>
      <c r="M753" s="31">
        <f t="shared" si="55"/>
        <v>10148</v>
      </c>
      <c r="N753" s="32">
        <f t="shared" si="56"/>
        <v>8.3250613222638783E-2</v>
      </c>
      <c r="O753" s="6" t="str">
        <f>IF(ABS(M753)&lt;Overview!$B$6,"OK",IF(I753=0,"REVIEW (zero base)",IF(ABS(M753/ABS(I753))&gt;=Overview!$B$5,"REVIEW","OK")))</f>
        <v>OK</v>
      </c>
      <c r="P753" s="31">
        <f t="shared" si="57"/>
        <v>2721</v>
      </c>
      <c r="Q753" s="32">
        <f t="shared" si="58"/>
        <v>2.0606611382483243E-2</v>
      </c>
      <c r="R753" s="6" t="str">
        <f>IF(ABS(P753)&lt;Overview!$B$6,"OK",IF(J753=0,"REVIEW (zero base)",IF(ABS(P753/ABS(J753))&gt;=Overview!$B$5,"REVIEW","OK")))</f>
        <v>OK</v>
      </c>
      <c r="S753" s="33">
        <f t="shared" si="59"/>
        <v>10148.000753</v>
      </c>
    </row>
    <row r="754" spans="1:19" x14ac:dyDescent="0.2">
      <c r="A754" s="17">
        <v>752</v>
      </c>
      <c r="B754" s="17" t="s">
        <v>171</v>
      </c>
      <c r="C754" s="17" t="s">
        <v>338</v>
      </c>
      <c r="D754" s="17" t="s">
        <v>57</v>
      </c>
      <c r="E754" s="17" t="s">
        <v>93</v>
      </c>
      <c r="F754" s="17" t="s">
        <v>341</v>
      </c>
      <c r="G754" s="17" t="s">
        <v>378</v>
      </c>
      <c r="H754" s="30">
        <v>127206</v>
      </c>
      <c r="I754" s="30">
        <v>122125</v>
      </c>
      <c r="J754" s="30">
        <v>121864</v>
      </c>
      <c r="K754" s="30">
        <v>128960</v>
      </c>
      <c r="L754" s="30">
        <v>134673</v>
      </c>
      <c r="M754" s="31">
        <f t="shared" si="55"/>
        <v>-261</v>
      </c>
      <c r="N754" s="32">
        <f t="shared" si="56"/>
        <v>-2.1371545547594676E-3</v>
      </c>
      <c r="O754" s="6" t="str">
        <f>IF(ABS(M754)&lt;Overview!$B$6,"OK",IF(I754=0,"REVIEW (zero base)",IF(ABS(M754/ABS(I754))&gt;=Overview!$B$5,"REVIEW","OK")))</f>
        <v>OK</v>
      </c>
      <c r="P754" s="31">
        <f t="shared" si="57"/>
        <v>7096</v>
      </c>
      <c r="Q754" s="32">
        <f t="shared" si="58"/>
        <v>5.8228845270137206E-2</v>
      </c>
      <c r="R754" s="6" t="str">
        <f>IF(ABS(P754)&lt;Overview!$B$6,"OK",IF(J754=0,"REVIEW (zero base)",IF(ABS(P754/ABS(J754))&gt;=Overview!$B$5,"REVIEW","OK")))</f>
        <v>OK</v>
      </c>
      <c r="S754" s="33">
        <f t="shared" si="59"/>
        <v>261.00075399999997</v>
      </c>
    </row>
    <row r="755" spans="1:19" x14ac:dyDescent="0.2">
      <c r="A755" s="17">
        <v>753</v>
      </c>
      <c r="B755" s="17" t="s">
        <v>171</v>
      </c>
      <c r="C755" s="17" t="s">
        <v>338</v>
      </c>
      <c r="D755" s="17" t="s">
        <v>57</v>
      </c>
      <c r="E755" s="17" t="s">
        <v>93</v>
      </c>
      <c r="F755" s="17" t="s">
        <v>341</v>
      </c>
      <c r="G755" s="17" t="s">
        <v>344</v>
      </c>
      <c r="H755" s="30">
        <v>320316</v>
      </c>
      <c r="I755" s="30">
        <v>295666</v>
      </c>
      <c r="J755" s="30">
        <v>375835</v>
      </c>
      <c r="K755" s="30">
        <v>434856</v>
      </c>
      <c r="L755" s="30">
        <v>443553</v>
      </c>
      <c r="M755" s="31">
        <f t="shared" si="55"/>
        <v>80169</v>
      </c>
      <c r="N755" s="32">
        <f t="shared" si="56"/>
        <v>0.27114717282338857</v>
      </c>
      <c r="O755" s="6" t="str">
        <f>IF(ABS(M755)&lt;Overview!$B$6,"OK",IF(I755=0,"REVIEW (zero base)",IF(ABS(M755/ABS(I755))&gt;=Overview!$B$5,"REVIEW","OK")))</f>
        <v>OK</v>
      </c>
      <c r="P755" s="31">
        <f t="shared" si="57"/>
        <v>59021</v>
      </c>
      <c r="Q755" s="32">
        <f t="shared" si="58"/>
        <v>0.15703965836071682</v>
      </c>
      <c r="R755" s="6" t="str">
        <f>IF(ABS(P755)&lt;Overview!$B$6,"OK",IF(J755=0,"REVIEW (zero base)",IF(ABS(P755/ABS(J755))&gt;=Overview!$B$5,"REVIEW","OK")))</f>
        <v>OK</v>
      </c>
      <c r="S755" s="33">
        <f t="shared" si="59"/>
        <v>80169.000755000001</v>
      </c>
    </row>
    <row r="756" spans="1:19" x14ac:dyDescent="0.2">
      <c r="A756" s="17">
        <v>754</v>
      </c>
      <c r="B756" s="17" t="s">
        <v>171</v>
      </c>
      <c r="C756" s="17" t="s">
        <v>338</v>
      </c>
      <c r="D756" s="17" t="s">
        <v>57</v>
      </c>
      <c r="E756" s="17" t="s">
        <v>93</v>
      </c>
      <c r="F756" s="17" t="s">
        <v>364</v>
      </c>
      <c r="G756" s="17" t="s">
        <v>383</v>
      </c>
      <c r="H756" s="30">
        <v>0</v>
      </c>
      <c r="I756" s="30">
        <v>63</v>
      </c>
      <c r="J756" s="30">
        <v>0</v>
      </c>
      <c r="K756" s="30">
        <v>0</v>
      </c>
      <c r="L756" s="30">
        <v>0</v>
      </c>
      <c r="M756" s="31">
        <f t="shared" si="55"/>
        <v>-63</v>
      </c>
      <c r="N756" s="32">
        <f t="shared" si="56"/>
        <v>-1</v>
      </c>
      <c r="O756" s="6" t="str">
        <f>IF(ABS(M756)&lt;Overview!$B$6,"OK",IF(I756=0,"REVIEW (zero base)",IF(ABS(M756/ABS(I756))&gt;=Overview!$B$5,"REVIEW","OK")))</f>
        <v>OK</v>
      </c>
      <c r="P756" s="31">
        <f t="shared" si="57"/>
        <v>0</v>
      </c>
      <c r="Q756" s="32" t="str">
        <f t="shared" si="58"/>
        <v>n/a</v>
      </c>
      <c r="R756" s="6" t="str">
        <f>IF(ABS(P756)&lt;Overview!$B$6,"OK",IF(J756=0,"REVIEW (zero base)",IF(ABS(P756/ABS(J756))&gt;=Overview!$B$5,"REVIEW","OK")))</f>
        <v>OK</v>
      </c>
      <c r="S756" s="33">
        <f t="shared" si="59"/>
        <v>63.000756000000003</v>
      </c>
    </row>
    <row r="757" spans="1:19" x14ac:dyDescent="0.2">
      <c r="A757" s="17">
        <v>755</v>
      </c>
      <c r="B757" s="17" t="s">
        <v>171</v>
      </c>
      <c r="C757" s="17" t="s">
        <v>338</v>
      </c>
      <c r="D757" s="17" t="s">
        <v>57</v>
      </c>
      <c r="E757" s="17" t="s">
        <v>93</v>
      </c>
      <c r="F757" s="17" t="s">
        <v>364</v>
      </c>
      <c r="G757" s="17" t="s">
        <v>398</v>
      </c>
      <c r="H757" s="30">
        <v>121989</v>
      </c>
      <c r="I757" s="30">
        <v>145000</v>
      </c>
      <c r="J757" s="30">
        <v>120000</v>
      </c>
      <c r="K757" s="30">
        <v>100000</v>
      </c>
      <c r="L757" s="30">
        <v>100700</v>
      </c>
      <c r="M757" s="31">
        <f t="shared" si="55"/>
        <v>-25000</v>
      </c>
      <c r="N757" s="32">
        <f t="shared" si="56"/>
        <v>-0.17241379310344829</v>
      </c>
      <c r="O757" s="6" t="str">
        <f>IF(ABS(M757)&lt;Overview!$B$6,"OK",IF(I757=0,"REVIEW (zero base)",IF(ABS(M757/ABS(I757))&gt;=Overview!$B$5,"REVIEW","OK")))</f>
        <v>OK</v>
      </c>
      <c r="P757" s="31">
        <f t="shared" si="57"/>
        <v>-20000</v>
      </c>
      <c r="Q757" s="32">
        <f t="shared" si="58"/>
        <v>-0.16666666666666666</v>
      </c>
      <c r="R757" s="6" t="str">
        <f>IF(ABS(P757)&lt;Overview!$B$6,"OK",IF(J757=0,"REVIEW (zero base)",IF(ABS(P757/ABS(J757))&gt;=Overview!$B$5,"REVIEW","OK")))</f>
        <v>OK</v>
      </c>
      <c r="S757" s="33">
        <f t="shared" si="59"/>
        <v>25000.000757000002</v>
      </c>
    </row>
    <row r="758" spans="1:19" x14ac:dyDescent="0.2">
      <c r="A758" s="17">
        <v>756</v>
      </c>
      <c r="B758" s="17" t="s">
        <v>171</v>
      </c>
      <c r="C758" s="17" t="s">
        <v>338</v>
      </c>
      <c r="D758" s="17" t="s">
        <v>57</v>
      </c>
      <c r="E758" s="17" t="s">
        <v>129</v>
      </c>
      <c r="F758" s="17" t="s">
        <v>339</v>
      </c>
      <c r="G758" s="17" t="s">
        <v>340</v>
      </c>
      <c r="H758" s="30">
        <v>144359</v>
      </c>
      <c r="I758" s="30">
        <v>223663</v>
      </c>
      <c r="J758" s="30">
        <v>251773</v>
      </c>
      <c r="K758" s="30">
        <v>294773</v>
      </c>
      <c r="L758" s="30">
        <v>297721</v>
      </c>
      <c r="M758" s="31">
        <f t="shared" si="55"/>
        <v>28110</v>
      </c>
      <c r="N758" s="32">
        <f t="shared" si="56"/>
        <v>0.12568015272977651</v>
      </c>
      <c r="O758" s="6" t="str">
        <f>IF(ABS(M758)&lt;Overview!$B$6,"OK",IF(I758=0,"REVIEW (zero base)",IF(ABS(M758/ABS(I758))&gt;=Overview!$B$5,"REVIEW","OK")))</f>
        <v>OK</v>
      </c>
      <c r="P758" s="31">
        <f t="shared" si="57"/>
        <v>43000</v>
      </c>
      <c r="Q758" s="32">
        <f t="shared" si="58"/>
        <v>0.17078876607102431</v>
      </c>
      <c r="R758" s="6" t="str">
        <f>IF(ABS(P758)&lt;Overview!$B$6,"OK",IF(J758=0,"REVIEW (zero base)",IF(ABS(P758/ABS(J758))&gt;=Overview!$B$5,"REVIEW","OK")))</f>
        <v>OK</v>
      </c>
      <c r="S758" s="33">
        <f t="shared" si="59"/>
        <v>28110.000757999998</v>
      </c>
    </row>
    <row r="759" spans="1:19" x14ac:dyDescent="0.2">
      <c r="A759" s="17">
        <v>757</v>
      </c>
      <c r="B759" s="17" t="s">
        <v>171</v>
      </c>
      <c r="C759" s="17" t="s">
        <v>338</v>
      </c>
      <c r="D759" s="17" t="s">
        <v>57</v>
      </c>
      <c r="E759" s="17" t="s">
        <v>129</v>
      </c>
      <c r="F759" s="17" t="s">
        <v>339</v>
      </c>
      <c r="G759" s="17" t="s">
        <v>390</v>
      </c>
      <c r="H759" s="30">
        <v>49320</v>
      </c>
      <c r="I759" s="30">
        <v>33811</v>
      </c>
      <c r="J759" s="30">
        <v>53000</v>
      </c>
      <c r="K759" s="30">
        <v>53000</v>
      </c>
      <c r="L759" s="30">
        <v>53000</v>
      </c>
      <c r="M759" s="31">
        <f t="shared" si="55"/>
        <v>19189</v>
      </c>
      <c r="N759" s="32">
        <f t="shared" si="56"/>
        <v>0.56753719203809416</v>
      </c>
      <c r="O759" s="6" t="str">
        <f>IF(ABS(M759)&lt;Overview!$B$6,"OK",IF(I759=0,"REVIEW (zero base)",IF(ABS(M759/ABS(I759))&gt;=Overview!$B$5,"REVIEW","OK")))</f>
        <v>OK</v>
      </c>
      <c r="P759" s="31">
        <f t="shared" si="57"/>
        <v>0</v>
      </c>
      <c r="Q759" s="32">
        <f t="shared" si="58"/>
        <v>0</v>
      </c>
      <c r="R759" s="6" t="str">
        <f>IF(ABS(P759)&lt;Overview!$B$6,"OK",IF(J759=0,"REVIEW (zero base)",IF(ABS(P759/ABS(J759))&gt;=Overview!$B$5,"REVIEW","OK")))</f>
        <v>OK</v>
      </c>
      <c r="S759" s="33">
        <f t="shared" si="59"/>
        <v>19189.000758999999</v>
      </c>
    </row>
    <row r="760" spans="1:19" x14ac:dyDescent="0.2">
      <c r="A760" s="17">
        <v>758</v>
      </c>
      <c r="B760" s="17" t="s">
        <v>171</v>
      </c>
      <c r="C760" s="17" t="s">
        <v>338</v>
      </c>
      <c r="D760" s="17" t="s">
        <v>57</v>
      </c>
      <c r="E760" s="17" t="s">
        <v>129</v>
      </c>
      <c r="F760" s="17" t="s">
        <v>339</v>
      </c>
      <c r="G760" s="17" t="s">
        <v>391</v>
      </c>
      <c r="H760" s="30">
        <v>7893</v>
      </c>
      <c r="I760" s="30">
        <v>7077</v>
      </c>
      <c r="J760" s="30">
        <v>0</v>
      </c>
      <c r="K760" s="30">
        <v>0</v>
      </c>
      <c r="L760" s="30">
        <v>0</v>
      </c>
      <c r="M760" s="31">
        <f t="shared" si="55"/>
        <v>-7077</v>
      </c>
      <c r="N760" s="32">
        <f t="shared" si="56"/>
        <v>-1</v>
      </c>
      <c r="O760" s="6" t="str">
        <f>IF(ABS(M760)&lt;Overview!$B$6,"OK",IF(I760=0,"REVIEW (zero base)",IF(ABS(M760/ABS(I760))&gt;=Overview!$B$5,"REVIEW","OK")))</f>
        <v>OK</v>
      </c>
      <c r="P760" s="31">
        <f t="shared" si="57"/>
        <v>0</v>
      </c>
      <c r="Q760" s="32" t="str">
        <f t="shared" si="58"/>
        <v>n/a</v>
      </c>
      <c r="R760" s="6" t="str">
        <f>IF(ABS(P760)&lt;Overview!$B$6,"OK",IF(J760=0,"REVIEW (zero base)",IF(ABS(P760/ABS(J760))&gt;=Overview!$B$5,"REVIEW","OK")))</f>
        <v>OK</v>
      </c>
      <c r="S760" s="33">
        <f t="shared" si="59"/>
        <v>7077.0007599999999</v>
      </c>
    </row>
    <row r="761" spans="1:19" x14ac:dyDescent="0.2">
      <c r="A761" s="17">
        <v>759</v>
      </c>
      <c r="B761" s="17" t="s">
        <v>171</v>
      </c>
      <c r="C761" s="17" t="s">
        <v>338</v>
      </c>
      <c r="D761" s="17" t="s">
        <v>57</v>
      </c>
      <c r="E761" s="17" t="s">
        <v>129</v>
      </c>
      <c r="F761" s="17" t="s">
        <v>339</v>
      </c>
      <c r="G761" s="17" t="s">
        <v>392</v>
      </c>
      <c r="H761" s="30">
        <v>17730</v>
      </c>
      <c r="I761" s="30">
        <v>12568</v>
      </c>
      <c r="J761" s="30">
        <v>0</v>
      </c>
      <c r="K761" s="30">
        <v>0</v>
      </c>
      <c r="L761" s="30">
        <v>0</v>
      </c>
      <c r="M761" s="31">
        <f t="shared" si="55"/>
        <v>-12568</v>
      </c>
      <c r="N761" s="32">
        <f t="shared" si="56"/>
        <v>-1</v>
      </c>
      <c r="O761" s="6" t="str">
        <f>IF(ABS(M761)&lt;Overview!$B$6,"OK",IF(I761=0,"REVIEW (zero base)",IF(ABS(M761/ABS(I761))&gt;=Overview!$B$5,"REVIEW","OK")))</f>
        <v>OK</v>
      </c>
      <c r="P761" s="31">
        <f t="shared" si="57"/>
        <v>0</v>
      </c>
      <c r="Q761" s="32" t="str">
        <f t="shared" si="58"/>
        <v>n/a</v>
      </c>
      <c r="R761" s="6" t="str">
        <f>IF(ABS(P761)&lt;Overview!$B$6,"OK",IF(J761=0,"REVIEW (zero base)",IF(ABS(P761/ABS(J761))&gt;=Overview!$B$5,"REVIEW","OK")))</f>
        <v>OK</v>
      </c>
      <c r="S761" s="33">
        <f t="shared" si="59"/>
        <v>12568.000760999999</v>
      </c>
    </row>
    <row r="762" spans="1:19" x14ac:dyDescent="0.2">
      <c r="A762" s="17">
        <v>760</v>
      </c>
      <c r="B762" s="17" t="s">
        <v>171</v>
      </c>
      <c r="C762" s="17" t="s">
        <v>338</v>
      </c>
      <c r="D762" s="17" t="s">
        <v>57</v>
      </c>
      <c r="E762" s="17" t="s">
        <v>129</v>
      </c>
      <c r="F762" s="17" t="s">
        <v>339</v>
      </c>
      <c r="G762" s="17" t="s">
        <v>393</v>
      </c>
      <c r="H762" s="30">
        <v>324</v>
      </c>
      <c r="I762" s="30">
        <v>0</v>
      </c>
      <c r="J762" s="30">
        <v>0</v>
      </c>
      <c r="K762" s="30">
        <v>0</v>
      </c>
      <c r="L762" s="30">
        <v>0</v>
      </c>
      <c r="M762" s="31">
        <f t="shared" si="55"/>
        <v>0</v>
      </c>
      <c r="N762" s="32" t="str">
        <f t="shared" si="56"/>
        <v>n/a</v>
      </c>
      <c r="O762" s="6" t="str">
        <f>IF(ABS(M762)&lt;Overview!$B$6,"OK",IF(I762=0,"REVIEW (zero base)",IF(ABS(M762/ABS(I762))&gt;=Overview!$B$5,"REVIEW","OK")))</f>
        <v>OK</v>
      </c>
      <c r="P762" s="31">
        <f t="shared" si="57"/>
        <v>0</v>
      </c>
      <c r="Q762" s="32" t="str">
        <f t="shared" si="58"/>
        <v>n/a</v>
      </c>
      <c r="R762" s="6" t="str">
        <f>IF(ABS(P762)&lt;Overview!$B$6,"OK",IF(J762=0,"REVIEW (zero base)",IF(ABS(P762/ABS(J762))&gt;=Overview!$B$5,"REVIEW","OK")))</f>
        <v>OK</v>
      </c>
      <c r="S762" s="33">
        <f t="shared" si="59"/>
        <v>7.6199999999999998E-4</v>
      </c>
    </row>
    <row r="763" spans="1:19" x14ac:dyDescent="0.2">
      <c r="A763" s="17">
        <v>761</v>
      </c>
      <c r="B763" s="17" t="s">
        <v>171</v>
      </c>
      <c r="C763" s="17" t="s">
        <v>338</v>
      </c>
      <c r="D763" s="17" t="s">
        <v>57</v>
      </c>
      <c r="E763" s="17" t="s">
        <v>129</v>
      </c>
      <c r="F763" s="17" t="s">
        <v>339</v>
      </c>
      <c r="G763" s="17" t="s">
        <v>394</v>
      </c>
      <c r="H763" s="30">
        <v>11839</v>
      </c>
      <c r="I763" s="30">
        <v>14867</v>
      </c>
      <c r="J763" s="30">
        <v>0</v>
      </c>
      <c r="K763" s="30">
        <v>0</v>
      </c>
      <c r="L763" s="30">
        <v>0</v>
      </c>
      <c r="M763" s="31">
        <f t="shared" si="55"/>
        <v>-14867</v>
      </c>
      <c r="N763" s="32">
        <f t="shared" si="56"/>
        <v>-1</v>
      </c>
      <c r="O763" s="6" t="str">
        <f>IF(ABS(M763)&lt;Overview!$B$6,"OK",IF(I763=0,"REVIEW (zero base)",IF(ABS(M763/ABS(I763))&gt;=Overview!$B$5,"REVIEW","OK")))</f>
        <v>OK</v>
      </c>
      <c r="P763" s="31">
        <f t="shared" si="57"/>
        <v>0</v>
      </c>
      <c r="Q763" s="32" t="str">
        <f t="shared" si="58"/>
        <v>n/a</v>
      </c>
      <c r="R763" s="6" t="str">
        <f>IF(ABS(P763)&lt;Overview!$B$6,"OK",IF(J763=0,"REVIEW (zero base)",IF(ABS(P763/ABS(J763))&gt;=Overview!$B$5,"REVIEW","OK")))</f>
        <v>OK</v>
      </c>
      <c r="S763" s="33">
        <f t="shared" si="59"/>
        <v>14867.000763</v>
      </c>
    </row>
    <row r="764" spans="1:19" x14ac:dyDescent="0.2">
      <c r="A764" s="17">
        <v>762</v>
      </c>
      <c r="B764" s="17" t="s">
        <v>171</v>
      </c>
      <c r="C764" s="17" t="s">
        <v>338</v>
      </c>
      <c r="D764" s="17" t="s">
        <v>57</v>
      </c>
      <c r="E764" s="17" t="s">
        <v>129</v>
      </c>
      <c r="F764" s="17" t="s">
        <v>339</v>
      </c>
      <c r="G764" s="17" t="s">
        <v>395</v>
      </c>
      <c r="H764" s="30">
        <v>11343</v>
      </c>
      <c r="I764" s="30">
        <v>11822</v>
      </c>
      <c r="J764" s="30">
        <v>15289</v>
      </c>
      <c r="K764" s="30">
        <v>11508</v>
      </c>
      <c r="L764" s="30">
        <v>11623</v>
      </c>
      <c r="M764" s="31">
        <f t="shared" si="55"/>
        <v>3467</v>
      </c>
      <c r="N764" s="32">
        <f t="shared" si="56"/>
        <v>0.29326679072914902</v>
      </c>
      <c r="O764" s="6" t="str">
        <f>IF(ABS(M764)&lt;Overview!$B$6,"OK",IF(I764=0,"REVIEW (zero base)",IF(ABS(M764/ABS(I764))&gt;=Overview!$B$5,"REVIEW","OK")))</f>
        <v>OK</v>
      </c>
      <c r="P764" s="31">
        <f t="shared" si="57"/>
        <v>-3781</v>
      </c>
      <c r="Q764" s="32">
        <f t="shared" si="58"/>
        <v>-0.24730198181699262</v>
      </c>
      <c r="R764" s="6" t="str">
        <f>IF(ABS(P764)&lt;Overview!$B$6,"OK",IF(J764=0,"REVIEW (zero base)",IF(ABS(P764/ABS(J764))&gt;=Overview!$B$5,"REVIEW","OK")))</f>
        <v>OK</v>
      </c>
      <c r="S764" s="33">
        <f t="shared" si="59"/>
        <v>3467.0007639999999</v>
      </c>
    </row>
    <row r="765" spans="1:19" x14ac:dyDescent="0.2">
      <c r="A765" s="17">
        <v>763</v>
      </c>
      <c r="B765" s="17" t="s">
        <v>171</v>
      </c>
      <c r="C765" s="17" t="s">
        <v>338</v>
      </c>
      <c r="D765" s="17" t="s">
        <v>57</v>
      </c>
      <c r="E765" s="17" t="s">
        <v>129</v>
      </c>
      <c r="F765" s="17" t="s">
        <v>339</v>
      </c>
      <c r="G765" s="17" t="s">
        <v>424</v>
      </c>
      <c r="H765" s="30">
        <v>0</v>
      </c>
      <c r="I765" s="30">
        <v>145</v>
      </c>
      <c r="J765" s="30">
        <v>0</v>
      </c>
      <c r="K765" s="30">
        <v>0</v>
      </c>
      <c r="L765" s="30">
        <v>0</v>
      </c>
      <c r="M765" s="31">
        <f t="shared" si="55"/>
        <v>-145</v>
      </c>
      <c r="N765" s="32">
        <f t="shared" si="56"/>
        <v>-1</v>
      </c>
      <c r="O765" s="6" t="str">
        <f>IF(ABS(M765)&lt;Overview!$B$6,"OK",IF(I765=0,"REVIEW (zero base)",IF(ABS(M765/ABS(I765))&gt;=Overview!$B$5,"REVIEW","OK")))</f>
        <v>OK</v>
      </c>
      <c r="P765" s="31">
        <f t="shared" si="57"/>
        <v>0</v>
      </c>
      <c r="Q765" s="32" t="str">
        <f t="shared" si="58"/>
        <v>n/a</v>
      </c>
      <c r="R765" s="6" t="str">
        <f>IF(ABS(P765)&lt;Overview!$B$6,"OK",IF(J765=0,"REVIEW (zero base)",IF(ABS(P765/ABS(J765))&gt;=Overview!$B$5,"REVIEW","OK")))</f>
        <v>OK</v>
      </c>
      <c r="S765" s="33">
        <f t="shared" si="59"/>
        <v>145.000765</v>
      </c>
    </row>
    <row r="766" spans="1:19" x14ac:dyDescent="0.2">
      <c r="A766" s="17">
        <v>764</v>
      </c>
      <c r="B766" s="17" t="s">
        <v>171</v>
      </c>
      <c r="C766" s="17" t="s">
        <v>338</v>
      </c>
      <c r="D766" s="17" t="s">
        <v>57</v>
      </c>
      <c r="E766" s="17" t="s">
        <v>129</v>
      </c>
      <c r="F766" s="17" t="s">
        <v>339</v>
      </c>
      <c r="G766" s="17" t="s">
        <v>425</v>
      </c>
      <c r="H766" s="30">
        <v>835</v>
      </c>
      <c r="I766" s="30">
        <v>2950</v>
      </c>
      <c r="J766" s="30">
        <v>2496</v>
      </c>
      <c r="K766" s="30">
        <v>2496</v>
      </c>
      <c r="L766" s="30">
        <v>2496</v>
      </c>
      <c r="M766" s="31">
        <f t="shared" si="55"/>
        <v>-454</v>
      </c>
      <c r="N766" s="32">
        <f t="shared" si="56"/>
        <v>-0.15389830508474575</v>
      </c>
      <c r="O766" s="6" t="str">
        <f>IF(ABS(M766)&lt;Overview!$B$6,"OK",IF(I766=0,"REVIEW (zero base)",IF(ABS(M766/ABS(I766))&gt;=Overview!$B$5,"REVIEW","OK")))</f>
        <v>OK</v>
      </c>
      <c r="P766" s="31">
        <f t="shared" si="57"/>
        <v>0</v>
      </c>
      <c r="Q766" s="32">
        <f t="shared" si="58"/>
        <v>0</v>
      </c>
      <c r="R766" s="6" t="str">
        <f>IF(ABS(P766)&lt;Overview!$B$6,"OK",IF(J766=0,"REVIEW (zero base)",IF(ABS(P766/ABS(J766))&gt;=Overview!$B$5,"REVIEW","OK")))</f>
        <v>OK</v>
      </c>
      <c r="S766" s="33">
        <f t="shared" si="59"/>
        <v>454.000766</v>
      </c>
    </row>
    <row r="767" spans="1:19" x14ac:dyDescent="0.2">
      <c r="A767" s="17">
        <v>765</v>
      </c>
      <c r="B767" s="17" t="s">
        <v>171</v>
      </c>
      <c r="C767" s="17" t="s">
        <v>338</v>
      </c>
      <c r="D767" s="17" t="s">
        <v>57</v>
      </c>
      <c r="E767" s="17" t="s">
        <v>129</v>
      </c>
      <c r="F767" s="17" t="s">
        <v>341</v>
      </c>
      <c r="G767" s="17" t="s">
        <v>342</v>
      </c>
      <c r="H767" s="30">
        <v>6858</v>
      </c>
      <c r="I767" s="30">
        <v>7133</v>
      </c>
      <c r="J767" s="30">
        <v>7332</v>
      </c>
      <c r="K767" s="30">
        <v>7332</v>
      </c>
      <c r="L767" s="30">
        <v>7332</v>
      </c>
      <c r="M767" s="31">
        <f t="shared" si="55"/>
        <v>199</v>
      </c>
      <c r="N767" s="32">
        <f t="shared" si="56"/>
        <v>2.7898499929903266E-2</v>
      </c>
      <c r="O767" s="6" t="str">
        <f>IF(ABS(M767)&lt;Overview!$B$6,"OK",IF(I767=0,"REVIEW (zero base)",IF(ABS(M767/ABS(I767))&gt;=Overview!$B$5,"REVIEW","OK")))</f>
        <v>OK</v>
      </c>
      <c r="P767" s="31">
        <f t="shared" si="57"/>
        <v>0</v>
      </c>
      <c r="Q767" s="32">
        <f t="shared" si="58"/>
        <v>0</v>
      </c>
      <c r="R767" s="6" t="str">
        <f>IF(ABS(P767)&lt;Overview!$B$6,"OK",IF(J767=0,"REVIEW (zero base)",IF(ABS(P767/ABS(J767))&gt;=Overview!$B$5,"REVIEW","OK")))</f>
        <v>OK</v>
      </c>
      <c r="S767" s="33">
        <f t="shared" si="59"/>
        <v>199.000767</v>
      </c>
    </row>
    <row r="768" spans="1:19" x14ac:dyDescent="0.2">
      <c r="A768" s="17">
        <v>766</v>
      </c>
      <c r="B768" s="17" t="s">
        <v>171</v>
      </c>
      <c r="C768" s="17" t="s">
        <v>338</v>
      </c>
      <c r="D768" s="17" t="s">
        <v>57</v>
      </c>
      <c r="E768" s="17" t="s">
        <v>129</v>
      </c>
      <c r="F768" s="17" t="s">
        <v>341</v>
      </c>
      <c r="G768" s="17" t="s">
        <v>375</v>
      </c>
      <c r="H768" s="30">
        <v>28511</v>
      </c>
      <c r="I768" s="30">
        <v>31584</v>
      </c>
      <c r="J768" s="30">
        <v>36400</v>
      </c>
      <c r="K768" s="30">
        <v>36400</v>
      </c>
      <c r="L768" s="30">
        <v>36400</v>
      </c>
      <c r="M768" s="31">
        <f t="shared" si="55"/>
        <v>4816</v>
      </c>
      <c r="N768" s="32">
        <f t="shared" si="56"/>
        <v>0.1524822695035461</v>
      </c>
      <c r="O768" s="6" t="str">
        <f>IF(ABS(M768)&lt;Overview!$B$6,"OK",IF(I768=0,"REVIEW (zero base)",IF(ABS(M768/ABS(I768))&gt;=Overview!$B$5,"REVIEW","OK")))</f>
        <v>OK</v>
      </c>
      <c r="P768" s="31">
        <f t="shared" si="57"/>
        <v>0</v>
      </c>
      <c r="Q768" s="32">
        <f t="shared" si="58"/>
        <v>0</v>
      </c>
      <c r="R768" s="6" t="str">
        <f>IF(ABS(P768)&lt;Overview!$B$6,"OK",IF(J768=0,"REVIEW (zero base)",IF(ABS(P768/ABS(J768))&gt;=Overview!$B$5,"REVIEW","OK")))</f>
        <v>OK</v>
      </c>
      <c r="S768" s="33">
        <f t="shared" si="59"/>
        <v>4816.0007679999999</v>
      </c>
    </row>
    <row r="769" spans="1:19" x14ac:dyDescent="0.2">
      <c r="A769" s="17">
        <v>767</v>
      </c>
      <c r="B769" s="17" t="s">
        <v>171</v>
      </c>
      <c r="C769" s="17" t="s">
        <v>338</v>
      </c>
      <c r="D769" s="17" t="s">
        <v>57</v>
      </c>
      <c r="E769" s="17" t="s">
        <v>129</v>
      </c>
      <c r="F769" s="17" t="s">
        <v>341</v>
      </c>
      <c r="G769" s="17" t="s">
        <v>376</v>
      </c>
      <c r="H769" s="30">
        <v>55682</v>
      </c>
      <c r="I769" s="30">
        <v>78395</v>
      </c>
      <c r="J769" s="30">
        <v>74788</v>
      </c>
      <c r="K769" s="30">
        <v>81684</v>
      </c>
      <c r="L769" s="30">
        <v>85956</v>
      </c>
      <c r="M769" s="31">
        <f t="shared" si="55"/>
        <v>-3607</v>
      </c>
      <c r="N769" s="32">
        <f t="shared" si="56"/>
        <v>-4.6010587409911347E-2</v>
      </c>
      <c r="O769" s="6" t="str">
        <f>IF(ABS(M769)&lt;Overview!$B$6,"OK",IF(I769=0,"REVIEW (zero base)",IF(ABS(M769/ABS(I769))&gt;=Overview!$B$5,"REVIEW","OK")))</f>
        <v>OK</v>
      </c>
      <c r="P769" s="31">
        <f t="shared" si="57"/>
        <v>6896</v>
      </c>
      <c r="Q769" s="32">
        <f t="shared" si="58"/>
        <v>9.2207305984917373E-2</v>
      </c>
      <c r="R769" s="6" t="str">
        <f>IF(ABS(P769)&lt;Overview!$B$6,"OK",IF(J769=0,"REVIEW (zero base)",IF(ABS(P769/ABS(J769))&gt;=Overview!$B$5,"REVIEW","OK")))</f>
        <v>OK</v>
      </c>
      <c r="S769" s="33">
        <f t="shared" si="59"/>
        <v>3607.0007690000002</v>
      </c>
    </row>
    <row r="770" spans="1:19" x14ac:dyDescent="0.2">
      <c r="A770" s="17">
        <v>768</v>
      </c>
      <c r="B770" s="17" t="s">
        <v>171</v>
      </c>
      <c r="C770" s="17" t="s">
        <v>338</v>
      </c>
      <c r="D770" s="17" t="s">
        <v>57</v>
      </c>
      <c r="E770" s="17" t="s">
        <v>129</v>
      </c>
      <c r="F770" s="17" t="s">
        <v>341</v>
      </c>
      <c r="G770" s="17" t="s">
        <v>343</v>
      </c>
      <c r="H770" s="30">
        <v>19906</v>
      </c>
      <c r="I770" s="30">
        <v>24149</v>
      </c>
      <c r="J770" s="30">
        <v>32837</v>
      </c>
      <c r="K770" s="30">
        <v>29585</v>
      </c>
      <c r="L770" s="30">
        <v>29881</v>
      </c>
      <c r="M770" s="31">
        <f t="shared" ref="M770:M833" si="60">J770-I770</f>
        <v>8688</v>
      </c>
      <c r="N770" s="32">
        <f t="shared" ref="N770:N833" si="61">IF(I770=0,"n/a",M770/ABS(I770))</f>
        <v>0.35976644995651996</v>
      </c>
      <c r="O770" s="6" t="str">
        <f>IF(ABS(M770)&lt;Overview!$B$6,"OK",IF(I770=0,"REVIEW (zero base)",IF(ABS(M770/ABS(I770))&gt;=Overview!$B$5,"REVIEW","OK")))</f>
        <v>OK</v>
      </c>
      <c r="P770" s="31">
        <f t="shared" ref="P770:P833" si="62">K770-J770</f>
        <v>-3252</v>
      </c>
      <c r="Q770" s="32">
        <f t="shared" ref="Q770:Q833" si="63">IF(J770=0,"n/a",P770/ABS(J770))</f>
        <v>-9.903462557480891E-2</v>
      </c>
      <c r="R770" s="6" t="str">
        <f>IF(ABS(P770)&lt;Overview!$B$6,"OK",IF(J770=0,"REVIEW (zero base)",IF(ABS(P770/ABS(J770))&gt;=Overview!$B$5,"REVIEW","OK")))</f>
        <v>OK</v>
      </c>
      <c r="S770" s="33">
        <f t="shared" ref="S770:S833" si="64">IF(C770="EXPENSES",ABS(M770)+ROW()/1000000,0)</f>
        <v>8688.0007700000006</v>
      </c>
    </row>
    <row r="771" spans="1:19" x14ac:dyDescent="0.2">
      <c r="A771" s="17">
        <v>769</v>
      </c>
      <c r="B771" s="17" t="s">
        <v>171</v>
      </c>
      <c r="C771" s="17" t="s">
        <v>338</v>
      </c>
      <c r="D771" s="17" t="s">
        <v>57</v>
      </c>
      <c r="E771" s="17" t="s">
        <v>129</v>
      </c>
      <c r="F771" s="17" t="s">
        <v>341</v>
      </c>
      <c r="G771" s="17" t="s">
        <v>378</v>
      </c>
      <c r="H771" s="30">
        <v>20846</v>
      </c>
      <c r="I771" s="30">
        <v>23838</v>
      </c>
      <c r="J771" s="30">
        <v>27520</v>
      </c>
      <c r="K771" s="30">
        <v>29120</v>
      </c>
      <c r="L771" s="30">
        <v>30410</v>
      </c>
      <c r="M771" s="31">
        <f t="shared" si="60"/>
        <v>3682</v>
      </c>
      <c r="N771" s="32">
        <f t="shared" si="61"/>
        <v>0.15445926671700647</v>
      </c>
      <c r="O771" s="6" t="str">
        <f>IF(ABS(M771)&lt;Overview!$B$6,"OK",IF(I771=0,"REVIEW (zero base)",IF(ABS(M771/ABS(I771))&gt;=Overview!$B$5,"REVIEW","OK")))</f>
        <v>OK</v>
      </c>
      <c r="P771" s="31">
        <f t="shared" si="62"/>
        <v>1600</v>
      </c>
      <c r="Q771" s="32">
        <f t="shared" si="63"/>
        <v>5.8139534883720929E-2</v>
      </c>
      <c r="R771" s="6" t="str">
        <f>IF(ABS(P771)&lt;Overview!$B$6,"OK",IF(J771=0,"REVIEW (zero base)",IF(ABS(P771/ABS(J771))&gt;=Overview!$B$5,"REVIEW","OK")))</f>
        <v>OK</v>
      </c>
      <c r="S771" s="33">
        <f t="shared" si="64"/>
        <v>3682.000771</v>
      </c>
    </row>
    <row r="772" spans="1:19" x14ac:dyDescent="0.2">
      <c r="A772" s="17">
        <v>770</v>
      </c>
      <c r="B772" s="17" t="s">
        <v>171</v>
      </c>
      <c r="C772" s="17" t="s">
        <v>338</v>
      </c>
      <c r="D772" s="17" t="s">
        <v>57</v>
      </c>
      <c r="E772" s="17" t="s">
        <v>129</v>
      </c>
      <c r="F772" s="17" t="s">
        <v>341</v>
      </c>
      <c r="G772" s="17" t="s">
        <v>344</v>
      </c>
      <c r="H772" s="30">
        <v>48959</v>
      </c>
      <c r="I772" s="30">
        <v>59644</v>
      </c>
      <c r="J772" s="30">
        <v>72551</v>
      </c>
      <c r="K772" s="30">
        <v>87720</v>
      </c>
      <c r="L772" s="30">
        <v>89474</v>
      </c>
      <c r="M772" s="31">
        <f t="shared" si="60"/>
        <v>12907</v>
      </c>
      <c r="N772" s="32">
        <f t="shared" si="61"/>
        <v>0.21640064381999866</v>
      </c>
      <c r="O772" s="6" t="str">
        <f>IF(ABS(M772)&lt;Overview!$B$6,"OK",IF(I772=0,"REVIEW (zero base)",IF(ABS(M772/ABS(I772))&gt;=Overview!$B$5,"REVIEW","OK")))</f>
        <v>OK</v>
      </c>
      <c r="P772" s="31">
        <f t="shared" si="62"/>
        <v>15169</v>
      </c>
      <c r="Q772" s="32">
        <f t="shared" si="63"/>
        <v>0.20908050888340615</v>
      </c>
      <c r="R772" s="6" t="str">
        <f>IF(ABS(P772)&lt;Overview!$B$6,"OK",IF(J772=0,"REVIEW (zero base)",IF(ABS(P772/ABS(J772))&gt;=Overview!$B$5,"REVIEW","OK")))</f>
        <v>OK</v>
      </c>
      <c r="S772" s="33">
        <f t="shared" si="64"/>
        <v>12907.000771999999</v>
      </c>
    </row>
    <row r="773" spans="1:19" x14ac:dyDescent="0.2">
      <c r="A773" s="17">
        <v>771</v>
      </c>
      <c r="B773" s="17" t="s">
        <v>171</v>
      </c>
      <c r="C773" s="17" t="s">
        <v>338</v>
      </c>
      <c r="D773" s="17" t="s">
        <v>57</v>
      </c>
      <c r="E773" s="17" t="s">
        <v>108</v>
      </c>
      <c r="F773" s="17" t="s">
        <v>339</v>
      </c>
      <c r="G773" s="17" t="s">
        <v>340</v>
      </c>
      <c r="H773" s="30">
        <v>591934</v>
      </c>
      <c r="I773" s="30">
        <v>583721</v>
      </c>
      <c r="J773" s="30">
        <v>735552</v>
      </c>
      <c r="K773" s="30">
        <v>260920</v>
      </c>
      <c r="L773" s="30">
        <v>263529</v>
      </c>
      <c r="M773" s="31">
        <f t="shared" si="60"/>
        <v>151831</v>
      </c>
      <c r="N773" s="32">
        <f t="shared" si="61"/>
        <v>0.2601088533734438</v>
      </c>
      <c r="O773" s="6" t="str">
        <f>IF(ABS(M773)&lt;Overview!$B$6,"OK",IF(I773=0,"REVIEW (zero base)",IF(ABS(M773/ABS(I773))&gt;=Overview!$B$5,"REVIEW","OK")))</f>
        <v>OK</v>
      </c>
      <c r="P773" s="31">
        <f t="shared" si="62"/>
        <v>-474632</v>
      </c>
      <c r="Q773" s="32">
        <f t="shared" si="63"/>
        <v>-0.64527320977986602</v>
      </c>
      <c r="R773" s="6" t="str">
        <f>IF(ABS(P773)&lt;Overview!$B$6,"OK",IF(J773=0,"REVIEW (zero base)",IF(ABS(P773/ABS(J773))&gt;=Overview!$B$5,"REVIEW","OK")))</f>
        <v>REVIEW</v>
      </c>
      <c r="S773" s="33">
        <f t="shared" si="64"/>
        <v>151831.00077300001</v>
      </c>
    </row>
    <row r="774" spans="1:19" x14ac:dyDescent="0.2">
      <c r="A774" s="17">
        <v>772</v>
      </c>
      <c r="B774" s="17" t="s">
        <v>171</v>
      </c>
      <c r="C774" s="17" t="s">
        <v>338</v>
      </c>
      <c r="D774" s="17" t="s">
        <v>57</v>
      </c>
      <c r="E774" s="17" t="s">
        <v>108</v>
      </c>
      <c r="F774" s="17" t="s">
        <v>339</v>
      </c>
      <c r="G774" s="17" t="s">
        <v>390</v>
      </c>
      <c r="H774" s="30">
        <v>17802</v>
      </c>
      <c r="I774" s="30">
        <v>8956</v>
      </c>
      <c r="J774" s="30">
        <v>25000</v>
      </c>
      <c r="K774" s="30">
        <v>0</v>
      </c>
      <c r="L774" s="30">
        <v>0</v>
      </c>
      <c r="M774" s="31">
        <f t="shared" si="60"/>
        <v>16044</v>
      </c>
      <c r="N774" s="32">
        <f t="shared" si="61"/>
        <v>1.7914247431889236</v>
      </c>
      <c r="O774" s="6" t="str">
        <f>IF(ABS(M774)&lt;Overview!$B$6,"OK",IF(I774=0,"REVIEW (zero base)",IF(ABS(M774/ABS(I774))&gt;=Overview!$B$5,"REVIEW","OK")))</f>
        <v>OK</v>
      </c>
      <c r="P774" s="31">
        <f t="shared" si="62"/>
        <v>-25000</v>
      </c>
      <c r="Q774" s="32">
        <f t="shared" si="63"/>
        <v>-1</v>
      </c>
      <c r="R774" s="6" t="str">
        <f>IF(ABS(P774)&lt;Overview!$B$6,"OK",IF(J774=0,"REVIEW (zero base)",IF(ABS(P774/ABS(J774))&gt;=Overview!$B$5,"REVIEW","OK")))</f>
        <v>OK</v>
      </c>
      <c r="S774" s="33">
        <f t="shared" si="64"/>
        <v>16044.000774</v>
      </c>
    </row>
    <row r="775" spans="1:19" x14ac:dyDescent="0.2">
      <c r="A775" s="17">
        <v>773</v>
      </c>
      <c r="B775" s="17" t="s">
        <v>171</v>
      </c>
      <c r="C775" s="17" t="s">
        <v>338</v>
      </c>
      <c r="D775" s="17" t="s">
        <v>57</v>
      </c>
      <c r="E775" s="17" t="s">
        <v>108</v>
      </c>
      <c r="F775" s="17" t="s">
        <v>339</v>
      </c>
      <c r="G775" s="17" t="s">
        <v>391</v>
      </c>
      <c r="H775" s="30">
        <v>32192</v>
      </c>
      <c r="I775" s="30">
        <v>20230</v>
      </c>
      <c r="J775" s="30">
        <v>0</v>
      </c>
      <c r="K775" s="30">
        <v>0</v>
      </c>
      <c r="L775" s="30">
        <v>0</v>
      </c>
      <c r="M775" s="31">
        <f t="shared" si="60"/>
        <v>-20230</v>
      </c>
      <c r="N775" s="32">
        <f t="shared" si="61"/>
        <v>-1</v>
      </c>
      <c r="O775" s="6" t="str">
        <f>IF(ABS(M775)&lt;Overview!$B$6,"OK",IF(I775=0,"REVIEW (zero base)",IF(ABS(M775/ABS(I775))&gt;=Overview!$B$5,"REVIEW","OK")))</f>
        <v>OK</v>
      </c>
      <c r="P775" s="31">
        <f t="shared" si="62"/>
        <v>0</v>
      </c>
      <c r="Q775" s="32" t="str">
        <f t="shared" si="63"/>
        <v>n/a</v>
      </c>
      <c r="R775" s="6" t="str">
        <f>IF(ABS(P775)&lt;Overview!$B$6,"OK",IF(J775=0,"REVIEW (zero base)",IF(ABS(P775/ABS(J775))&gt;=Overview!$B$5,"REVIEW","OK")))</f>
        <v>OK</v>
      </c>
      <c r="S775" s="33">
        <f t="shared" si="64"/>
        <v>20230.000775</v>
      </c>
    </row>
    <row r="776" spans="1:19" x14ac:dyDescent="0.2">
      <c r="A776" s="17">
        <v>774</v>
      </c>
      <c r="B776" s="17" t="s">
        <v>171</v>
      </c>
      <c r="C776" s="17" t="s">
        <v>338</v>
      </c>
      <c r="D776" s="17" t="s">
        <v>57</v>
      </c>
      <c r="E776" s="17" t="s">
        <v>108</v>
      </c>
      <c r="F776" s="17" t="s">
        <v>339</v>
      </c>
      <c r="G776" s="17" t="s">
        <v>392</v>
      </c>
      <c r="H776" s="30">
        <v>48861</v>
      </c>
      <c r="I776" s="30">
        <v>41413</v>
      </c>
      <c r="J776" s="30">
        <v>0</v>
      </c>
      <c r="K776" s="30">
        <v>0</v>
      </c>
      <c r="L776" s="30">
        <v>0</v>
      </c>
      <c r="M776" s="31">
        <f t="shared" si="60"/>
        <v>-41413</v>
      </c>
      <c r="N776" s="32">
        <f t="shared" si="61"/>
        <v>-1</v>
      </c>
      <c r="O776" s="6" t="str">
        <f>IF(ABS(M776)&lt;Overview!$B$6,"OK",IF(I776=0,"REVIEW (zero base)",IF(ABS(M776/ABS(I776))&gt;=Overview!$B$5,"REVIEW","OK")))</f>
        <v>OK</v>
      </c>
      <c r="P776" s="31">
        <f t="shared" si="62"/>
        <v>0</v>
      </c>
      <c r="Q776" s="32" t="str">
        <f t="shared" si="63"/>
        <v>n/a</v>
      </c>
      <c r="R776" s="6" t="str">
        <f>IF(ABS(P776)&lt;Overview!$B$6,"OK",IF(J776=0,"REVIEW (zero base)",IF(ABS(P776/ABS(J776))&gt;=Overview!$B$5,"REVIEW","OK")))</f>
        <v>OK</v>
      </c>
      <c r="S776" s="33">
        <f t="shared" si="64"/>
        <v>41413.000776000001</v>
      </c>
    </row>
    <row r="777" spans="1:19" x14ac:dyDescent="0.2">
      <c r="A777" s="17">
        <v>775</v>
      </c>
      <c r="B777" s="17" t="s">
        <v>171</v>
      </c>
      <c r="C777" s="17" t="s">
        <v>338</v>
      </c>
      <c r="D777" s="17" t="s">
        <v>57</v>
      </c>
      <c r="E777" s="17" t="s">
        <v>108</v>
      </c>
      <c r="F777" s="17" t="s">
        <v>339</v>
      </c>
      <c r="G777" s="17" t="s">
        <v>394</v>
      </c>
      <c r="H777" s="30">
        <v>46005</v>
      </c>
      <c r="I777" s="30">
        <v>40599</v>
      </c>
      <c r="J777" s="30">
        <v>0</v>
      </c>
      <c r="K777" s="30">
        <v>0</v>
      </c>
      <c r="L777" s="30">
        <v>0</v>
      </c>
      <c r="M777" s="31">
        <f t="shared" si="60"/>
        <v>-40599</v>
      </c>
      <c r="N777" s="32">
        <f t="shared" si="61"/>
        <v>-1</v>
      </c>
      <c r="O777" s="6" t="str">
        <f>IF(ABS(M777)&lt;Overview!$B$6,"OK",IF(I777=0,"REVIEW (zero base)",IF(ABS(M777/ABS(I777))&gt;=Overview!$B$5,"REVIEW","OK")))</f>
        <v>OK</v>
      </c>
      <c r="P777" s="31">
        <f t="shared" si="62"/>
        <v>0</v>
      </c>
      <c r="Q777" s="32" t="str">
        <f t="shared" si="63"/>
        <v>n/a</v>
      </c>
      <c r="R777" s="6" t="str">
        <f>IF(ABS(P777)&lt;Overview!$B$6,"OK",IF(J777=0,"REVIEW (zero base)",IF(ABS(P777/ABS(J777))&gt;=Overview!$B$5,"REVIEW","OK")))</f>
        <v>OK</v>
      </c>
      <c r="S777" s="33">
        <f t="shared" si="64"/>
        <v>40599.000777000001</v>
      </c>
    </row>
    <row r="778" spans="1:19" x14ac:dyDescent="0.2">
      <c r="A778" s="17">
        <v>776</v>
      </c>
      <c r="B778" s="17" t="s">
        <v>171</v>
      </c>
      <c r="C778" s="17" t="s">
        <v>338</v>
      </c>
      <c r="D778" s="17" t="s">
        <v>57</v>
      </c>
      <c r="E778" s="17" t="s">
        <v>108</v>
      </c>
      <c r="F778" s="17" t="s">
        <v>339</v>
      </c>
      <c r="G778" s="17" t="s">
        <v>395</v>
      </c>
      <c r="H778" s="30">
        <v>25419</v>
      </c>
      <c r="I778" s="30">
        <v>23541</v>
      </c>
      <c r="J778" s="30">
        <v>27407</v>
      </c>
      <c r="K778" s="30">
        <v>8392</v>
      </c>
      <c r="L778" s="30">
        <v>8476</v>
      </c>
      <c r="M778" s="31">
        <f t="shared" si="60"/>
        <v>3866</v>
      </c>
      <c r="N778" s="32">
        <f t="shared" si="61"/>
        <v>0.16422411962108663</v>
      </c>
      <c r="O778" s="6" t="str">
        <f>IF(ABS(M778)&lt;Overview!$B$6,"OK",IF(I778=0,"REVIEW (zero base)",IF(ABS(M778/ABS(I778))&gt;=Overview!$B$5,"REVIEW","OK")))</f>
        <v>OK</v>
      </c>
      <c r="P778" s="31">
        <f t="shared" si="62"/>
        <v>-19015</v>
      </c>
      <c r="Q778" s="32">
        <f t="shared" si="63"/>
        <v>-0.69380085379647538</v>
      </c>
      <c r="R778" s="6" t="str">
        <f>IF(ABS(P778)&lt;Overview!$B$6,"OK",IF(J778=0,"REVIEW (zero base)",IF(ABS(P778/ABS(J778))&gt;=Overview!$B$5,"REVIEW","OK")))</f>
        <v>OK</v>
      </c>
      <c r="S778" s="33">
        <f t="shared" si="64"/>
        <v>3866.0007780000001</v>
      </c>
    </row>
    <row r="779" spans="1:19" x14ac:dyDescent="0.2">
      <c r="A779" s="17">
        <v>777</v>
      </c>
      <c r="B779" s="17" t="s">
        <v>171</v>
      </c>
      <c r="C779" s="17" t="s">
        <v>338</v>
      </c>
      <c r="D779" s="17" t="s">
        <v>57</v>
      </c>
      <c r="E779" s="17" t="s">
        <v>108</v>
      </c>
      <c r="F779" s="17" t="s">
        <v>339</v>
      </c>
      <c r="G779" s="17" t="s">
        <v>424</v>
      </c>
      <c r="H779" s="30">
        <v>1231</v>
      </c>
      <c r="I779" s="30">
        <v>1667</v>
      </c>
      <c r="J779" s="30">
        <v>0</v>
      </c>
      <c r="K779" s="30">
        <v>0</v>
      </c>
      <c r="L779" s="30">
        <v>0</v>
      </c>
      <c r="M779" s="31">
        <f t="shared" si="60"/>
        <v>-1667</v>
      </c>
      <c r="N779" s="32">
        <f t="shared" si="61"/>
        <v>-1</v>
      </c>
      <c r="O779" s="6" t="str">
        <f>IF(ABS(M779)&lt;Overview!$B$6,"OK",IF(I779=0,"REVIEW (zero base)",IF(ABS(M779/ABS(I779))&gt;=Overview!$B$5,"REVIEW","OK")))</f>
        <v>OK</v>
      </c>
      <c r="P779" s="31">
        <f t="shared" si="62"/>
        <v>0</v>
      </c>
      <c r="Q779" s="32" t="str">
        <f t="shared" si="63"/>
        <v>n/a</v>
      </c>
      <c r="R779" s="6" t="str">
        <f>IF(ABS(P779)&lt;Overview!$B$6,"OK",IF(J779=0,"REVIEW (zero base)",IF(ABS(P779/ABS(J779))&gt;=Overview!$B$5,"REVIEW","OK")))</f>
        <v>OK</v>
      </c>
      <c r="S779" s="33">
        <f t="shared" si="64"/>
        <v>1667.000779</v>
      </c>
    </row>
    <row r="780" spans="1:19" x14ac:dyDescent="0.2">
      <c r="A780" s="17">
        <v>778</v>
      </c>
      <c r="B780" s="17" t="s">
        <v>171</v>
      </c>
      <c r="C780" s="17" t="s">
        <v>338</v>
      </c>
      <c r="D780" s="17" t="s">
        <v>57</v>
      </c>
      <c r="E780" s="17" t="s">
        <v>108</v>
      </c>
      <c r="F780" s="17" t="s">
        <v>339</v>
      </c>
      <c r="G780" s="17" t="s">
        <v>425</v>
      </c>
      <c r="H780" s="30">
        <v>2123</v>
      </c>
      <c r="I780" s="30">
        <v>2185</v>
      </c>
      <c r="J780" s="30">
        <v>2184</v>
      </c>
      <c r="K780" s="30">
        <v>2184</v>
      </c>
      <c r="L780" s="30">
        <v>2184</v>
      </c>
      <c r="M780" s="31">
        <f t="shared" si="60"/>
        <v>-1</v>
      </c>
      <c r="N780" s="32">
        <f t="shared" si="61"/>
        <v>-4.5766590389016021E-4</v>
      </c>
      <c r="O780" s="6" t="str">
        <f>IF(ABS(M780)&lt;Overview!$B$6,"OK",IF(I780=0,"REVIEW (zero base)",IF(ABS(M780/ABS(I780))&gt;=Overview!$B$5,"REVIEW","OK")))</f>
        <v>OK</v>
      </c>
      <c r="P780" s="31">
        <f t="shared" si="62"/>
        <v>0</v>
      </c>
      <c r="Q780" s="32">
        <f t="shared" si="63"/>
        <v>0</v>
      </c>
      <c r="R780" s="6" t="str">
        <f>IF(ABS(P780)&lt;Overview!$B$6,"OK",IF(J780=0,"REVIEW (zero base)",IF(ABS(P780/ABS(J780))&gt;=Overview!$B$5,"REVIEW","OK")))</f>
        <v>OK</v>
      </c>
      <c r="S780" s="33">
        <f t="shared" si="64"/>
        <v>1.00078</v>
      </c>
    </row>
    <row r="781" spans="1:19" x14ac:dyDescent="0.2">
      <c r="A781" s="17">
        <v>779</v>
      </c>
      <c r="B781" s="17" t="s">
        <v>171</v>
      </c>
      <c r="C781" s="17" t="s">
        <v>338</v>
      </c>
      <c r="D781" s="17" t="s">
        <v>57</v>
      </c>
      <c r="E781" s="17" t="s">
        <v>108</v>
      </c>
      <c r="F781" s="17" t="s">
        <v>341</v>
      </c>
      <c r="G781" s="17" t="s">
        <v>342</v>
      </c>
      <c r="H781" s="30">
        <v>15714</v>
      </c>
      <c r="I781" s="30">
        <v>13842</v>
      </c>
      <c r="J781" s="30">
        <v>18360</v>
      </c>
      <c r="K781" s="30">
        <v>18360</v>
      </c>
      <c r="L781" s="30">
        <v>18360</v>
      </c>
      <c r="M781" s="31">
        <f t="shared" si="60"/>
        <v>4518</v>
      </c>
      <c r="N781" s="32">
        <f t="shared" si="61"/>
        <v>0.32639791937581275</v>
      </c>
      <c r="O781" s="6" t="str">
        <f>IF(ABS(M781)&lt;Overview!$B$6,"OK",IF(I781=0,"REVIEW (zero base)",IF(ABS(M781/ABS(I781))&gt;=Overview!$B$5,"REVIEW","OK")))</f>
        <v>OK</v>
      </c>
      <c r="P781" s="31">
        <f t="shared" si="62"/>
        <v>0</v>
      </c>
      <c r="Q781" s="32">
        <f t="shared" si="63"/>
        <v>0</v>
      </c>
      <c r="R781" s="6" t="str">
        <f>IF(ABS(P781)&lt;Overview!$B$6,"OK",IF(J781=0,"REVIEW (zero base)",IF(ABS(P781/ABS(J781))&gt;=Overview!$B$5,"REVIEW","OK")))</f>
        <v>OK</v>
      </c>
      <c r="S781" s="33">
        <f t="shared" si="64"/>
        <v>4518.0007809999997</v>
      </c>
    </row>
    <row r="782" spans="1:19" x14ac:dyDescent="0.2">
      <c r="A782" s="17">
        <v>780</v>
      </c>
      <c r="B782" s="17" t="s">
        <v>171</v>
      </c>
      <c r="C782" s="17" t="s">
        <v>338</v>
      </c>
      <c r="D782" s="17" t="s">
        <v>57</v>
      </c>
      <c r="E782" s="17" t="s">
        <v>108</v>
      </c>
      <c r="F782" s="17" t="s">
        <v>341</v>
      </c>
      <c r="G782" s="17" t="s">
        <v>406</v>
      </c>
      <c r="H782" s="30">
        <v>1500</v>
      </c>
      <c r="I782" s="30">
        <v>1500</v>
      </c>
      <c r="J782" s="30">
        <v>0</v>
      </c>
      <c r="K782" s="30">
        <v>0</v>
      </c>
      <c r="L782" s="30">
        <v>0</v>
      </c>
      <c r="M782" s="31">
        <f t="shared" si="60"/>
        <v>-1500</v>
      </c>
      <c r="N782" s="32">
        <f t="shared" si="61"/>
        <v>-1</v>
      </c>
      <c r="O782" s="6" t="str">
        <f>IF(ABS(M782)&lt;Overview!$B$6,"OK",IF(I782=0,"REVIEW (zero base)",IF(ABS(M782/ABS(I782))&gt;=Overview!$B$5,"REVIEW","OK")))</f>
        <v>OK</v>
      </c>
      <c r="P782" s="31">
        <f t="shared" si="62"/>
        <v>0</v>
      </c>
      <c r="Q782" s="32" t="str">
        <f t="shared" si="63"/>
        <v>n/a</v>
      </c>
      <c r="R782" s="6" t="str">
        <f>IF(ABS(P782)&lt;Overview!$B$6,"OK",IF(J782=0,"REVIEW (zero base)",IF(ABS(P782/ABS(J782))&gt;=Overview!$B$5,"REVIEW","OK")))</f>
        <v>OK</v>
      </c>
      <c r="S782" s="33">
        <f t="shared" si="64"/>
        <v>1500.0007820000001</v>
      </c>
    </row>
    <row r="783" spans="1:19" x14ac:dyDescent="0.2">
      <c r="A783" s="17">
        <v>781</v>
      </c>
      <c r="B783" s="17" t="s">
        <v>171</v>
      </c>
      <c r="C783" s="17" t="s">
        <v>338</v>
      </c>
      <c r="D783" s="17" t="s">
        <v>57</v>
      </c>
      <c r="E783" s="17" t="s">
        <v>108</v>
      </c>
      <c r="F783" s="17" t="s">
        <v>341</v>
      </c>
      <c r="G783" s="17" t="s">
        <v>375</v>
      </c>
      <c r="H783" s="30">
        <v>49531</v>
      </c>
      <c r="I783" s="30">
        <v>48770</v>
      </c>
      <c r="J783" s="30">
        <v>86450</v>
      </c>
      <c r="K783" s="30">
        <v>86450</v>
      </c>
      <c r="L783" s="30">
        <v>86450</v>
      </c>
      <c r="M783" s="31">
        <f t="shared" si="60"/>
        <v>37680</v>
      </c>
      <c r="N783" s="32">
        <f t="shared" si="61"/>
        <v>0.7726061103137174</v>
      </c>
      <c r="O783" s="6" t="str">
        <f>IF(ABS(M783)&lt;Overview!$B$6,"OK",IF(I783=0,"REVIEW (zero base)",IF(ABS(M783/ABS(I783))&gt;=Overview!$B$5,"REVIEW","OK")))</f>
        <v>OK</v>
      </c>
      <c r="P783" s="31">
        <f t="shared" si="62"/>
        <v>0</v>
      </c>
      <c r="Q783" s="32">
        <f t="shared" si="63"/>
        <v>0</v>
      </c>
      <c r="R783" s="6" t="str">
        <f>IF(ABS(P783)&lt;Overview!$B$6,"OK",IF(J783=0,"REVIEW (zero base)",IF(ABS(P783/ABS(J783))&gt;=Overview!$B$5,"REVIEW","OK")))</f>
        <v>OK</v>
      </c>
      <c r="S783" s="33">
        <f t="shared" si="64"/>
        <v>37680.000783000003</v>
      </c>
    </row>
    <row r="784" spans="1:19" x14ac:dyDescent="0.2">
      <c r="A784" s="17">
        <v>782</v>
      </c>
      <c r="B784" s="17" t="s">
        <v>171</v>
      </c>
      <c r="C784" s="17" t="s">
        <v>338</v>
      </c>
      <c r="D784" s="17" t="s">
        <v>57</v>
      </c>
      <c r="E784" s="17" t="s">
        <v>108</v>
      </c>
      <c r="F784" s="17" t="s">
        <v>341</v>
      </c>
      <c r="G784" s="17" t="s">
        <v>376</v>
      </c>
      <c r="H784" s="30">
        <v>212837</v>
      </c>
      <c r="I784" s="30">
        <v>210137</v>
      </c>
      <c r="J784" s="30">
        <v>213560</v>
      </c>
      <c r="K784" s="30">
        <v>218964</v>
      </c>
      <c r="L784" s="30">
        <v>230416</v>
      </c>
      <c r="M784" s="31">
        <f t="shared" si="60"/>
        <v>3423</v>
      </c>
      <c r="N784" s="32">
        <f t="shared" si="61"/>
        <v>1.6289373123248168E-2</v>
      </c>
      <c r="O784" s="6" t="str">
        <f>IF(ABS(M784)&lt;Overview!$B$6,"OK",IF(I784=0,"REVIEW (zero base)",IF(ABS(M784/ABS(I784))&gt;=Overview!$B$5,"REVIEW","OK")))</f>
        <v>OK</v>
      </c>
      <c r="P784" s="31">
        <f t="shared" si="62"/>
        <v>5404</v>
      </c>
      <c r="Q784" s="32">
        <f t="shared" si="63"/>
        <v>2.53043641131298E-2</v>
      </c>
      <c r="R784" s="6" t="str">
        <f>IF(ABS(P784)&lt;Overview!$B$6,"OK",IF(J784=0,"REVIEW (zero base)",IF(ABS(P784/ABS(J784))&gt;=Overview!$B$5,"REVIEW","OK")))</f>
        <v>OK</v>
      </c>
      <c r="S784" s="33">
        <f t="shared" si="64"/>
        <v>3423.0007839999998</v>
      </c>
    </row>
    <row r="785" spans="1:19" x14ac:dyDescent="0.2">
      <c r="A785" s="17">
        <v>783</v>
      </c>
      <c r="B785" s="17" t="s">
        <v>171</v>
      </c>
      <c r="C785" s="17" t="s">
        <v>338</v>
      </c>
      <c r="D785" s="17" t="s">
        <v>57</v>
      </c>
      <c r="E785" s="17" t="s">
        <v>108</v>
      </c>
      <c r="F785" s="17" t="s">
        <v>341</v>
      </c>
      <c r="G785" s="17" t="s">
        <v>343</v>
      </c>
      <c r="H785" s="30">
        <v>58776</v>
      </c>
      <c r="I785" s="30">
        <v>54216</v>
      </c>
      <c r="J785" s="30">
        <v>70766</v>
      </c>
      <c r="K785" s="30">
        <v>24685</v>
      </c>
      <c r="L785" s="30">
        <v>24932</v>
      </c>
      <c r="M785" s="31">
        <f t="shared" si="60"/>
        <v>16550</v>
      </c>
      <c r="N785" s="32">
        <f t="shared" si="61"/>
        <v>0.30526043972259109</v>
      </c>
      <c r="O785" s="6" t="str">
        <f>IF(ABS(M785)&lt;Overview!$B$6,"OK",IF(I785=0,"REVIEW (zero base)",IF(ABS(M785/ABS(I785))&gt;=Overview!$B$5,"REVIEW","OK")))</f>
        <v>OK</v>
      </c>
      <c r="P785" s="31">
        <f t="shared" si="62"/>
        <v>-46081</v>
      </c>
      <c r="Q785" s="32">
        <f t="shared" si="63"/>
        <v>-0.65117429273945115</v>
      </c>
      <c r="R785" s="6" t="str">
        <f>IF(ABS(P785)&lt;Overview!$B$6,"OK",IF(J785=0,"REVIEW (zero base)",IF(ABS(P785/ABS(J785))&gt;=Overview!$B$5,"REVIEW","OK")))</f>
        <v>OK</v>
      </c>
      <c r="S785" s="33">
        <f t="shared" si="64"/>
        <v>16550.000785</v>
      </c>
    </row>
    <row r="786" spans="1:19" x14ac:dyDescent="0.2">
      <c r="A786" s="17">
        <v>784</v>
      </c>
      <c r="B786" s="17" t="s">
        <v>171</v>
      </c>
      <c r="C786" s="17" t="s">
        <v>338</v>
      </c>
      <c r="D786" s="17" t="s">
        <v>57</v>
      </c>
      <c r="E786" s="17" t="s">
        <v>108</v>
      </c>
      <c r="F786" s="17" t="s">
        <v>341</v>
      </c>
      <c r="G786" s="17" t="s">
        <v>439</v>
      </c>
      <c r="H786" s="30">
        <v>0</v>
      </c>
      <c r="I786" s="30">
        <v>0</v>
      </c>
      <c r="J786" s="30">
        <v>0</v>
      </c>
      <c r="K786" s="30">
        <v>0</v>
      </c>
      <c r="L786" s="30">
        <v>0</v>
      </c>
      <c r="M786" s="31">
        <f t="shared" si="60"/>
        <v>0</v>
      </c>
      <c r="N786" s="32" t="str">
        <f t="shared" si="61"/>
        <v>n/a</v>
      </c>
      <c r="O786" s="6" t="str">
        <f>IF(ABS(M786)&lt;Overview!$B$6,"OK",IF(I786=0,"REVIEW (zero base)",IF(ABS(M786/ABS(I786))&gt;=Overview!$B$5,"REVIEW","OK")))</f>
        <v>OK</v>
      </c>
      <c r="P786" s="31">
        <f t="shared" si="62"/>
        <v>0</v>
      </c>
      <c r="Q786" s="32" t="str">
        <f t="shared" si="63"/>
        <v>n/a</v>
      </c>
      <c r="R786" s="6" t="str">
        <f>IF(ABS(P786)&lt;Overview!$B$6,"OK",IF(J786=0,"REVIEW (zero base)",IF(ABS(P786/ABS(J786))&gt;=Overview!$B$5,"REVIEW","OK")))</f>
        <v>OK</v>
      </c>
      <c r="S786" s="33">
        <f t="shared" si="64"/>
        <v>7.8600000000000002E-4</v>
      </c>
    </row>
    <row r="787" spans="1:19" x14ac:dyDescent="0.2">
      <c r="A787" s="17">
        <v>785</v>
      </c>
      <c r="B787" s="17" t="s">
        <v>171</v>
      </c>
      <c r="C787" s="17" t="s">
        <v>338</v>
      </c>
      <c r="D787" s="17" t="s">
        <v>57</v>
      </c>
      <c r="E787" s="17" t="s">
        <v>108</v>
      </c>
      <c r="F787" s="17" t="s">
        <v>341</v>
      </c>
      <c r="G787" s="17" t="s">
        <v>378</v>
      </c>
      <c r="H787" s="30">
        <v>40761</v>
      </c>
      <c r="I787" s="30">
        <v>36810</v>
      </c>
      <c r="J787" s="30">
        <v>65352</v>
      </c>
      <c r="K787" s="30">
        <v>69160</v>
      </c>
      <c r="L787" s="30">
        <v>72224</v>
      </c>
      <c r="M787" s="31">
        <f t="shared" si="60"/>
        <v>28542</v>
      </c>
      <c r="N787" s="32">
        <f t="shared" si="61"/>
        <v>0.77538712306438473</v>
      </c>
      <c r="O787" s="6" t="str">
        <f>IF(ABS(M787)&lt;Overview!$B$6,"OK",IF(I787=0,"REVIEW (zero base)",IF(ABS(M787/ABS(I787))&gt;=Overview!$B$5,"REVIEW","OK")))</f>
        <v>OK</v>
      </c>
      <c r="P787" s="31">
        <f t="shared" si="62"/>
        <v>3808</v>
      </c>
      <c r="Q787" s="32">
        <f t="shared" si="63"/>
        <v>5.8269065981148241E-2</v>
      </c>
      <c r="R787" s="6" t="str">
        <f>IF(ABS(P787)&lt;Overview!$B$6,"OK",IF(J787=0,"REVIEW (zero base)",IF(ABS(P787/ABS(J787))&gt;=Overview!$B$5,"REVIEW","OK")))</f>
        <v>OK</v>
      </c>
      <c r="S787" s="33">
        <f t="shared" si="64"/>
        <v>28542.000787000001</v>
      </c>
    </row>
    <row r="788" spans="1:19" x14ac:dyDescent="0.2">
      <c r="A788" s="17">
        <v>786</v>
      </c>
      <c r="B788" s="17" t="s">
        <v>171</v>
      </c>
      <c r="C788" s="17" t="s">
        <v>338</v>
      </c>
      <c r="D788" s="17" t="s">
        <v>57</v>
      </c>
      <c r="E788" s="17" t="s">
        <v>108</v>
      </c>
      <c r="F788" s="17" t="s">
        <v>341</v>
      </c>
      <c r="G788" s="17" t="s">
        <v>344</v>
      </c>
      <c r="H788" s="30">
        <v>140224</v>
      </c>
      <c r="I788" s="30">
        <v>124932</v>
      </c>
      <c r="J788" s="30">
        <v>154601</v>
      </c>
      <c r="K788" s="30">
        <v>183744</v>
      </c>
      <c r="L788" s="30">
        <v>187419</v>
      </c>
      <c r="M788" s="31">
        <f t="shared" si="60"/>
        <v>29669</v>
      </c>
      <c r="N788" s="32">
        <f t="shared" si="61"/>
        <v>0.23748118976723337</v>
      </c>
      <c r="O788" s="6" t="str">
        <f>IF(ABS(M788)&lt;Overview!$B$6,"OK",IF(I788=0,"REVIEW (zero base)",IF(ABS(M788/ABS(I788))&gt;=Overview!$B$5,"REVIEW","OK")))</f>
        <v>OK</v>
      </c>
      <c r="P788" s="31">
        <f t="shared" si="62"/>
        <v>29143</v>
      </c>
      <c r="Q788" s="32">
        <f t="shared" si="63"/>
        <v>0.18850460216945555</v>
      </c>
      <c r="R788" s="6" t="str">
        <f>IF(ABS(P788)&lt;Overview!$B$6,"OK",IF(J788=0,"REVIEW (zero base)",IF(ABS(P788/ABS(J788))&gt;=Overview!$B$5,"REVIEW","OK")))</f>
        <v>OK</v>
      </c>
      <c r="S788" s="33">
        <f t="shared" si="64"/>
        <v>29669.000788000001</v>
      </c>
    </row>
    <row r="789" spans="1:19" x14ac:dyDescent="0.2">
      <c r="A789" s="17">
        <v>787</v>
      </c>
      <c r="B789" s="17" t="s">
        <v>171</v>
      </c>
      <c r="C789" s="17" t="s">
        <v>338</v>
      </c>
      <c r="D789" s="17" t="s">
        <v>57</v>
      </c>
      <c r="E789" s="17" t="s">
        <v>108</v>
      </c>
      <c r="F789" s="17" t="s">
        <v>364</v>
      </c>
      <c r="G789" s="17" t="s">
        <v>398</v>
      </c>
      <c r="H789" s="30">
        <v>1042</v>
      </c>
      <c r="I789" s="30">
        <v>921</v>
      </c>
      <c r="J789" s="30">
        <v>1000</v>
      </c>
      <c r="K789" s="30">
        <v>1000</v>
      </c>
      <c r="L789" s="30">
        <v>1007</v>
      </c>
      <c r="M789" s="31">
        <f t="shared" si="60"/>
        <v>79</v>
      </c>
      <c r="N789" s="32">
        <f t="shared" si="61"/>
        <v>8.577633007600434E-2</v>
      </c>
      <c r="O789" s="6" t="str">
        <f>IF(ABS(M789)&lt;Overview!$B$6,"OK",IF(I789=0,"REVIEW (zero base)",IF(ABS(M789/ABS(I789))&gt;=Overview!$B$5,"REVIEW","OK")))</f>
        <v>OK</v>
      </c>
      <c r="P789" s="31">
        <f t="shared" si="62"/>
        <v>0</v>
      </c>
      <c r="Q789" s="32">
        <f t="shared" si="63"/>
        <v>0</v>
      </c>
      <c r="R789" s="6" t="str">
        <f>IF(ABS(P789)&lt;Overview!$B$6,"OK",IF(J789=0,"REVIEW (zero base)",IF(ABS(P789/ABS(J789))&gt;=Overview!$B$5,"REVIEW","OK")))</f>
        <v>OK</v>
      </c>
      <c r="S789" s="33">
        <f t="shared" si="64"/>
        <v>79.000788999999997</v>
      </c>
    </row>
    <row r="790" spans="1:19" x14ac:dyDescent="0.2">
      <c r="A790" s="17">
        <v>788</v>
      </c>
      <c r="B790" s="17" t="s">
        <v>171</v>
      </c>
      <c r="C790" s="17" t="s">
        <v>338</v>
      </c>
      <c r="D790" s="17" t="s">
        <v>57</v>
      </c>
      <c r="E790" s="17" t="s">
        <v>108</v>
      </c>
      <c r="F790" s="17" t="s">
        <v>402</v>
      </c>
      <c r="G790" s="17" t="s">
        <v>403</v>
      </c>
      <c r="H790" s="30">
        <v>15993</v>
      </c>
      <c r="I790" s="30">
        <v>15937</v>
      </c>
      <c r="J790" s="30">
        <v>16000</v>
      </c>
      <c r="K790" s="30">
        <v>16000</v>
      </c>
      <c r="L790" s="30">
        <v>16112</v>
      </c>
      <c r="M790" s="31">
        <f t="shared" si="60"/>
        <v>63</v>
      </c>
      <c r="N790" s="32">
        <f t="shared" si="61"/>
        <v>3.9530651942021712E-3</v>
      </c>
      <c r="O790" s="6" t="str">
        <f>IF(ABS(M790)&lt;Overview!$B$6,"OK",IF(I790=0,"REVIEW (zero base)",IF(ABS(M790/ABS(I790))&gt;=Overview!$B$5,"REVIEW","OK")))</f>
        <v>OK</v>
      </c>
      <c r="P790" s="31">
        <f t="shared" si="62"/>
        <v>0</v>
      </c>
      <c r="Q790" s="32">
        <f t="shared" si="63"/>
        <v>0</v>
      </c>
      <c r="R790" s="6" t="str">
        <f>IF(ABS(P790)&lt;Overview!$B$6,"OK",IF(J790=0,"REVIEW (zero base)",IF(ABS(P790/ABS(J790))&gt;=Overview!$B$5,"REVIEW","OK")))</f>
        <v>OK</v>
      </c>
      <c r="S790" s="33">
        <f t="shared" si="64"/>
        <v>63.000790000000002</v>
      </c>
    </row>
    <row r="791" spans="1:19" x14ac:dyDescent="0.2">
      <c r="A791" s="17">
        <v>789</v>
      </c>
      <c r="B791" s="17" t="s">
        <v>171</v>
      </c>
      <c r="C791" s="17" t="s">
        <v>338</v>
      </c>
      <c r="D791" s="17" t="s">
        <v>57</v>
      </c>
      <c r="E791" s="17" t="s">
        <v>108</v>
      </c>
      <c r="F791" s="17" t="s">
        <v>386</v>
      </c>
      <c r="G791" s="17" t="s">
        <v>387</v>
      </c>
      <c r="H791" s="30">
        <v>970</v>
      </c>
      <c r="I791" s="30">
        <v>908</v>
      </c>
      <c r="J791" s="30">
        <v>910</v>
      </c>
      <c r="K791" s="30">
        <v>910</v>
      </c>
      <c r="L791" s="30">
        <v>916</v>
      </c>
      <c r="M791" s="31">
        <f t="shared" si="60"/>
        <v>2</v>
      </c>
      <c r="N791" s="32">
        <f t="shared" si="61"/>
        <v>2.2026431718061676E-3</v>
      </c>
      <c r="O791" s="6" t="str">
        <f>IF(ABS(M791)&lt;Overview!$B$6,"OK",IF(I791=0,"REVIEW (zero base)",IF(ABS(M791/ABS(I791))&gt;=Overview!$B$5,"REVIEW","OK")))</f>
        <v>OK</v>
      </c>
      <c r="P791" s="31">
        <f t="shared" si="62"/>
        <v>0</v>
      </c>
      <c r="Q791" s="32">
        <f t="shared" si="63"/>
        <v>0</v>
      </c>
      <c r="R791" s="6" t="str">
        <f>IF(ABS(P791)&lt;Overview!$B$6,"OK",IF(J791=0,"REVIEW (zero base)",IF(ABS(P791/ABS(J791))&gt;=Overview!$B$5,"REVIEW","OK")))</f>
        <v>OK</v>
      </c>
      <c r="S791" s="33">
        <f t="shared" si="64"/>
        <v>2.000791</v>
      </c>
    </row>
    <row r="792" spans="1:19" x14ac:dyDescent="0.2">
      <c r="A792" s="17">
        <v>790</v>
      </c>
      <c r="B792" s="17" t="s">
        <v>171</v>
      </c>
      <c r="C792" s="17" t="s">
        <v>338</v>
      </c>
      <c r="D792" s="17" t="s">
        <v>57</v>
      </c>
      <c r="E792" s="17" t="s">
        <v>108</v>
      </c>
      <c r="F792" s="17" t="s">
        <v>411</v>
      </c>
      <c r="G792" s="17" t="s">
        <v>471</v>
      </c>
      <c r="H792" s="30">
        <v>0</v>
      </c>
      <c r="I792" s="30">
        <v>0</v>
      </c>
      <c r="J792" s="30">
        <v>0</v>
      </c>
      <c r="K792" s="30">
        <v>500</v>
      </c>
      <c r="L792" s="30">
        <v>504</v>
      </c>
      <c r="M792" s="31">
        <f t="shared" si="60"/>
        <v>0</v>
      </c>
      <c r="N792" s="32" t="str">
        <f t="shared" si="61"/>
        <v>n/a</v>
      </c>
      <c r="O792" s="6" t="str">
        <f>IF(ABS(M792)&lt;Overview!$B$6,"OK",IF(I792=0,"REVIEW (zero base)",IF(ABS(M792/ABS(I792))&gt;=Overview!$B$5,"REVIEW","OK")))</f>
        <v>OK</v>
      </c>
      <c r="P792" s="31">
        <f t="shared" si="62"/>
        <v>500</v>
      </c>
      <c r="Q792" s="32" t="str">
        <f t="shared" si="63"/>
        <v>n/a</v>
      </c>
      <c r="R792" s="6" t="str">
        <f>IF(ABS(P792)&lt;Overview!$B$6,"OK",IF(J792=0,"REVIEW (zero base)",IF(ABS(P792/ABS(J792))&gt;=Overview!$B$5,"REVIEW","OK")))</f>
        <v>OK</v>
      </c>
      <c r="S792" s="33">
        <f t="shared" si="64"/>
        <v>7.9199999999999995E-4</v>
      </c>
    </row>
    <row r="793" spans="1:19" x14ac:dyDescent="0.2">
      <c r="A793" s="17">
        <v>791</v>
      </c>
      <c r="B793" s="17" t="s">
        <v>171</v>
      </c>
      <c r="C793" s="17" t="s">
        <v>338</v>
      </c>
      <c r="D793" s="17" t="s">
        <v>57</v>
      </c>
      <c r="E793" s="17" t="s">
        <v>108</v>
      </c>
      <c r="F793" s="17" t="s">
        <v>411</v>
      </c>
      <c r="G793" s="17" t="s">
        <v>451</v>
      </c>
      <c r="H793" s="30">
        <v>836</v>
      </c>
      <c r="I793" s="30">
        <v>0</v>
      </c>
      <c r="J793" s="30">
        <v>500</v>
      </c>
      <c r="K793" s="30">
        <v>2200</v>
      </c>
      <c r="L793" s="30">
        <v>2215</v>
      </c>
      <c r="M793" s="31">
        <f t="shared" si="60"/>
        <v>500</v>
      </c>
      <c r="N793" s="32" t="str">
        <f t="shared" si="61"/>
        <v>n/a</v>
      </c>
      <c r="O793" s="6" t="str">
        <f>IF(ABS(M793)&lt;Overview!$B$6,"OK",IF(I793=0,"REVIEW (zero base)",IF(ABS(M793/ABS(I793))&gt;=Overview!$B$5,"REVIEW","OK")))</f>
        <v>OK</v>
      </c>
      <c r="P793" s="31">
        <f t="shared" si="62"/>
        <v>1700</v>
      </c>
      <c r="Q793" s="32">
        <f t="shared" si="63"/>
        <v>3.4</v>
      </c>
      <c r="R793" s="6" t="str">
        <f>IF(ABS(P793)&lt;Overview!$B$6,"OK",IF(J793=0,"REVIEW (zero base)",IF(ABS(P793/ABS(J793))&gt;=Overview!$B$5,"REVIEW","OK")))</f>
        <v>OK</v>
      </c>
      <c r="S793" s="33">
        <f t="shared" si="64"/>
        <v>500.00079299999999</v>
      </c>
    </row>
    <row r="794" spans="1:19" x14ac:dyDescent="0.2">
      <c r="A794" s="17">
        <v>792</v>
      </c>
      <c r="B794" s="17" t="s">
        <v>171</v>
      </c>
      <c r="C794" s="17" t="s">
        <v>338</v>
      </c>
      <c r="D794" s="17" t="s">
        <v>57</v>
      </c>
      <c r="E794" s="17" t="s">
        <v>108</v>
      </c>
      <c r="F794" s="17" t="s">
        <v>411</v>
      </c>
      <c r="G794" s="17" t="s">
        <v>452</v>
      </c>
      <c r="H794" s="30">
        <v>0</v>
      </c>
      <c r="I794" s="30">
        <v>2270</v>
      </c>
      <c r="J794" s="30">
        <v>2200</v>
      </c>
      <c r="K794" s="30">
        <v>0</v>
      </c>
      <c r="L794" s="30">
        <v>0</v>
      </c>
      <c r="M794" s="31">
        <f t="shared" si="60"/>
        <v>-70</v>
      </c>
      <c r="N794" s="32">
        <f t="shared" si="61"/>
        <v>-3.0837004405286344E-2</v>
      </c>
      <c r="O794" s="6" t="str">
        <f>IF(ABS(M794)&lt;Overview!$B$6,"OK",IF(I794=0,"REVIEW (zero base)",IF(ABS(M794/ABS(I794))&gt;=Overview!$B$5,"REVIEW","OK")))</f>
        <v>OK</v>
      </c>
      <c r="P794" s="31">
        <f t="shared" si="62"/>
        <v>-2200</v>
      </c>
      <c r="Q794" s="32">
        <f t="shared" si="63"/>
        <v>-1</v>
      </c>
      <c r="R794" s="6" t="str">
        <f>IF(ABS(P794)&lt;Overview!$B$6,"OK",IF(J794=0,"REVIEW (zero base)",IF(ABS(P794/ABS(J794))&gt;=Overview!$B$5,"REVIEW","OK")))</f>
        <v>OK</v>
      </c>
      <c r="S794" s="33">
        <f t="shared" si="64"/>
        <v>70.000793999999999</v>
      </c>
    </row>
    <row r="795" spans="1:19" x14ac:dyDescent="0.2">
      <c r="A795" s="17">
        <v>793</v>
      </c>
      <c r="B795" s="17" t="s">
        <v>171</v>
      </c>
      <c r="C795" s="17" t="s">
        <v>338</v>
      </c>
      <c r="D795" s="17" t="s">
        <v>57</v>
      </c>
      <c r="E795" s="17" t="s">
        <v>108</v>
      </c>
      <c r="F795" s="17" t="s">
        <v>411</v>
      </c>
      <c r="G795" s="17" t="s">
        <v>412</v>
      </c>
      <c r="H795" s="30">
        <v>1880</v>
      </c>
      <c r="I795" s="30">
        <v>0</v>
      </c>
      <c r="J795" s="30">
        <v>0</v>
      </c>
      <c r="K795" s="30">
        <v>0</v>
      </c>
      <c r="L795" s="30">
        <v>0</v>
      </c>
      <c r="M795" s="31">
        <f t="shared" si="60"/>
        <v>0</v>
      </c>
      <c r="N795" s="32" t="str">
        <f t="shared" si="61"/>
        <v>n/a</v>
      </c>
      <c r="O795" s="6" t="str">
        <f>IF(ABS(M795)&lt;Overview!$B$6,"OK",IF(I795=0,"REVIEW (zero base)",IF(ABS(M795/ABS(I795))&gt;=Overview!$B$5,"REVIEW","OK")))</f>
        <v>OK</v>
      </c>
      <c r="P795" s="31">
        <f t="shared" si="62"/>
        <v>0</v>
      </c>
      <c r="Q795" s="32" t="str">
        <f t="shared" si="63"/>
        <v>n/a</v>
      </c>
      <c r="R795" s="6" t="str">
        <f>IF(ABS(P795)&lt;Overview!$B$6,"OK",IF(J795=0,"REVIEW (zero base)",IF(ABS(P795/ABS(J795))&gt;=Overview!$B$5,"REVIEW","OK")))</f>
        <v>OK</v>
      </c>
      <c r="S795" s="33">
        <f t="shared" si="64"/>
        <v>7.9500000000000003E-4</v>
      </c>
    </row>
    <row r="796" spans="1:19" x14ac:dyDescent="0.2">
      <c r="A796" s="17">
        <v>794</v>
      </c>
      <c r="B796" s="17" t="s">
        <v>171</v>
      </c>
      <c r="C796" s="17" t="s">
        <v>338</v>
      </c>
      <c r="D796" s="17" t="s">
        <v>57</v>
      </c>
      <c r="E796" s="17" t="s">
        <v>113</v>
      </c>
      <c r="F796" s="17" t="s">
        <v>339</v>
      </c>
      <c r="G796" s="17" t="s">
        <v>340</v>
      </c>
      <c r="H796" s="30">
        <v>539707</v>
      </c>
      <c r="I796" s="30">
        <v>549848</v>
      </c>
      <c r="J796" s="30">
        <v>548638</v>
      </c>
      <c r="K796" s="30">
        <v>651816</v>
      </c>
      <c r="L796" s="30">
        <v>658334</v>
      </c>
      <c r="M796" s="31">
        <f t="shared" si="60"/>
        <v>-1210</v>
      </c>
      <c r="N796" s="32">
        <f t="shared" si="61"/>
        <v>-2.2006081680755411E-3</v>
      </c>
      <c r="O796" s="6" t="str">
        <f>IF(ABS(M796)&lt;Overview!$B$6,"OK",IF(I796=0,"REVIEW (zero base)",IF(ABS(M796/ABS(I796))&gt;=Overview!$B$5,"REVIEW","OK")))</f>
        <v>OK</v>
      </c>
      <c r="P796" s="31">
        <f t="shared" si="62"/>
        <v>103178</v>
      </c>
      <c r="Q796" s="32">
        <f t="shared" si="63"/>
        <v>0.1880620737170958</v>
      </c>
      <c r="R796" s="6" t="str">
        <f>IF(ABS(P796)&lt;Overview!$B$6,"OK",IF(J796=0,"REVIEW (zero base)",IF(ABS(P796/ABS(J796))&gt;=Overview!$B$5,"REVIEW","OK")))</f>
        <v>OK</v>
      </c>
      <c r="S796" s="33">
        <f t="shared" si="64"/>
        <v>1210.000796</v>
      </c>
    </row>
    <row r="797" spans="1:19" x14ac:dyDescent="0.2">
      <c r="A797" s="17">
        <v>795</v>
      </c>
      <c r="B797" s="17" t="s">
        <v>171</v>
      </c>
      <c r="C797" s="17" t="s">
        <v>338</v>
      </c>
      <c r="D797" s="17" t="s">
        <v>57</v>
      </c>
      <c r="E797" s="17" t="s">
        <v>113</v>
      </c>
      <c r="F797" s="17" t="s">
        <v>339</v>
      </c>
      <c r="G797" s="17" t="s">
        <v>389</v>
      </c>
      <c r="H797" s="30">
        <v>20670</v>
      </c>
      <c r="I797" s="30">
        <v>32492</v>
      </c>
      <c r="J797" s="30">
        <v>56300</v>
      </c>
      <c r="K797" s="30">
        <v>56300</v>
      </c>
      <c r="L797" s="30">
        <v>56300</v>
      </c>
      <c r="M797" s="31">
        <f t="shared" si="60"/>
        <v>23808</v>
      </c>
      <c r="N797" s="32">
        <f t="shared" si="61"/>
        <v>0.73273421149821494</v>
      </c>
      <c r="O797" s="6" t="str">
        <f>IF(ABS(M797)&lt;Overview!$B$6,"OK",IF(I797=0,"REVIEW (zero base)",IF(ABS(M797/ABS(I797))&gt;=Overview!$B$5,"REVIEW","OK")))</f>
        <v>OK</v>
      </c>
      <c r="P797" s="31">
        <f t="shared" si="62"/>
        <v>0</v>
      </c>
      <c r="Q797" s="32">
        <f t="shared" si="63"/>
        <v>0</v>
      </c>
      <c r="R797" s="6" t="str">
        <f>IF(ABS(P797)&lt;Overview!$B$6,"OK",IF(J797=0,"REVIEW (zero base)",IF(ABS(P797/ABS(J797))&gt;=Overview!$B$5,"REVIEW","OK")))</f>
        <v>OK</v>
      </c>
      <c r="S797" s="33">
        <f t="shared" si="64"/>
        <v>23808.000797000001</v>
      </c>
    </row>
    <row r="798" spans="1:19" x14ac:dyDescent="0.2">
      <c r="A798" s="17">
        <v>796</v>
      </c>
      <c r="B798" s="17" t="s">
        <v>171</v>
      </c>
      <c r="C798" s="17" t="s">
        <v>338</v>
      </c>
      <c r="D798" s="17" t="s">
        <v>57</v>
      </c>
      <c r="E798" s="17" t="s">
        <v>113</v>
      </c>
      <c r="F798" s="17" t="s">
        <v>339</v>
      </c>
      <c r="G798" s="17" t="s">
        <v>391</v>
      </c>
      <c r="H798" s="30">
        <v>13165</v>
      </c>
      <c r="I798" s="30">
        <v>11814</v>
      </c>
      <c r="J798" s="30">
        <v>0</v>
      </c>
      <c r="K798" s="30">
        <v>0</v>
      </c>
      <c r="L798" s="30">
        <v>0</v>
      </c>
      <c r="M798" s="31">
        <f t="shared" si="60"/>
        <v>-11814</v>
      </c>
      <c r="N798" s="32">
        <f t="shared" si="61"/>
        <v>-1</v>
      </c>
      <c r="O798" s="6" t="str">
        <f>IF(ABS(M798)&lt;Overview!$B$6,"OK",IF(I798=0,"REVIEW (zero base)",IF(ABS(M798/ABS(I798))&gt;=Overview!$B$5,"REVIEW","OK")))</f>
        <v>OK</v>
      </c>
      <c r="P798" s="31">
        <f t="shared" si="62"/>
        <v>0</v>
      </c>
      <c r="Q798" s="32" t="str">
        <f t="shared" si="63"/>
        <v>n/a</v>
      </c>
      <c r="R798" s="6" t="str">
        <f>IF(ABS(P798)&lt;Overview!$B$6,"OK",IF(J798=0,"REVIEW (zero base)",IF(ABS(P798/ABS(J798))&gt;=Overview!$B$5,"REVIEW","OK")))</f>
        <v>OK</v>
      </c>
      <c r="S798" s="33">
        <f t="shared" si="64"/>
        <v>11814.000797999999</v>
      </c>
    </row>
    <row r="799" spans="1:19" x14ac:dyDescent="0.2">
      <c r="A799" s="17">
        <v>797</v>
      </c>
      <c r="B799" s="17" t="s">
        <v>171</v>
      </c>
      <c r="C799" s="17" t="s">
        <v>338</v>
      </c>
      <c r="D799" s="17" t="s">
        <v>57</v>
      </c>
      <c r="E799" s="17" t="s">
        <v>113</v>
      </c>
      <c r="F799" s="17" t="s">
        <v>339</v>
      </c>
      <c r="G799" s="17" t="s">
        <v>392</v>
      </c>
      <c r="H799" s="30">
        <v>25874</v>
      </c>
      <c r="I799" s="30">
        <v>25948</v>
      </c>
      <c r="J799" s="30">
        <v>0</v>
      </c>
      <c r="K799" s="30">
        <v>0</v>
      </c>
      <c r="L799" s="30">
        <v>0</v>
      </c>
      <c r="M799" s="31">
        <f t="shared" si="60"/>
        <v>-25948</v>
      </c>
      <c r="N799" s="32">
        <f t="shared" si="61"/>
        <v>-1</v>
      </c>
      <c r="O799" s="6" t="str">
        <f>IF(ABS(M799)&lt;Overview!$B$6,"OK",IF(I799=0,"REVIEW (zero base)",IF(ABS(M799/ABS(I799))&gt;=Overview!$B$5,"REVIEW","OK")))</f>
        <v>OK</v>
      </c>
      <c r="P799" s="31">
        <f t="shared" si="62"/>
        <v>0</v>
      </c>
      <c r="Q799" s="32" t="str">
        <f t="shared" si="63"/>
        <v>n/a</v>
      </c>
      <c r="R799" s="6" t="str">
        <f>IF(ABS(P799)&lt;Overview!$B$6,"OK",IF(J799=0,"REVIEW (zero base)",IF(ABS(P799/ABS(J799))&gt;=Overview!$B$5,"REVIEW","OK")))</f>
        <v>OK</v>
      </c>
      <c r="S799" s="33">
        <f t="shared" si="64"/>
        <v>25948.000799000001</v>
      </c>
    </row>
    <row r="800" spans="1:19" x14ac:dyDescent="0.2">
      <c r="A800" s="17">
        <v>798</v>
      </c>
      <c r="B800" s="17" t="s">
        <v>171</v>
      </c>
      <c r="C800" s="17" t="s">
        <v>338</v>
      </c>
      <c r="D800" s="17" t="s">
        <v>57</v>
      </c>
      <c r="E800" s="17" t="s">
        <v>113</v>
      </c>
      <c r="F800" s="17" t="s">
        <v>339</v>
      </c>
      <c r="G800" s="17" t="s">
        <v>394</v>
      </c>
      <c r="H800" s="30">
        <v>42198</v>
      </c>
      <c r="I800" s="30">
        <v>38194</v>
      </c>
      <c r="J800" s="30">
        <v>0</v>
      </c>
      <c r="K800" s="30">
        <v>0</v>
      </c>
      <c r="L800" s="30">
        <v>0</v>
      </c>
      <c r="M800" s="31">
        <f t="shared" si="60"/>
        <v>-38194</v>
      </c>
      <c r="N800" s="32">
        <f t="shared" si="61"/>
        <v>-1</v>
      </c>
      <c r="O800" s="6" t="str">
        <f>IF(ABS(M800)&lt;Overview!$B$6,"OK",IF(I800=0,"REVIEW (zero base)",IF(ABS(M800/ABS(I800))&gt;=Overview!$B$5,"REVIEW","OK")))</f>
        <v>OK</v>
      </c>
      <c r="P800" s="31">
        <f t="shared" si="62"/>
        <v>0</v>
      </c>
      <c r="Q800" s="32" t="str">
        <f t="shared" si="63"/>
        <v>n/a</v>
      </c>
      <c r="R800" s="6" t="str">
        <f>IF(ABS(P800)&lt;Overview!$B$6,"OK",IF(J800=0,"REVIEW (zero base)",IF(ABS(P800/ABS(J800))&gt;=Overview!$B$5,"REVIEW","OK")))</f>
        <v>OK</v>
      </c>
      <c r="S800" s="33">
        <f t="shared" si="64"/>
        <v>38194.000800000002</v>
      </c>
    </row>
    <row r="801" spans="1:19" x14ac:dyDescent="0.2">
      <c r="A801" s="17">
        <v>799</v>
      </c>
      <c r="B801" s="17" t="s">
        <v>171</v>
      </c>
      <c r="C801" s="17" t="s">
        <v>338</v>
      </c>
      <c r="D801" s="17" t="s">
        <v>57</v>
      </c>
      <c r="E801" s="17" t="s">
        <v>113</v>
      </c>
      <c r="F801" s="17" t="s">
        <v>339</v>
      </c>
      <c r="G801" s="17" t="s">
        <v>395</v>
      </c>
      <c r="H801" s="30">
        <v>11953</v>
      </c>
      <c r="I801" s="30">
        <v>13213</v>
      </c>
      <c r="J801" s="30">
        <v>13433</v>
      </c>
      <c r="K801" s="30">
        <v>10129</v>
      </c>
      <c r="L801" s="30">
        <v>10230</v>
      </c>
      <c r="M801" s="31">
        <f t="shared" si="60"/>
        <v>220</v>
      </c>
      <c r="N801" s="32">
        <f t="shared" si="61"/>
        <v>1.665026867478998E-2</v>
      </c>
      <c r="O801" s="6" t="str">
        <f>IF(ABS(M801)&lt;Overview!$B$6,"OK",IF(I801=0,"REVIEW (zero base)",IF(ABS(M801/ABS(I801))&gt;=Overview!$B$5,"REVIEW","OK")))</f>
        <v>OK</v>
      </c>
      <c r="P801" s="31">
        <f t="shared" si="62"/>
        <v>-3304</v>
      </c>
      <c r="Q801" s="32">
        <f t="shared" si="63"/>
        <v>-0.24596143824908806</v>
      </c>
      <c r="R801" s="6" t="str">
        <f>IF(ABS(P801)&lt;Overview!$B$6,"OK",IF(J801=0,"REVIEW (zero base)",IF(ABS(P801/ABS(J801))&gt;=Overview!$B$5,"REVIEW","OK")))</f>
        <v>OK</v>
      </c>
      <c r="S801" s="33">
        <f t="shared" si="64"/>
        <v>220.000801</v>
      </c>
    </row>
    <row r="802" spans="1:19" x14ac:dyDescent="0.2">
      <c r="A802" s="17">
        <v>800</v>
      </c>
      <c r="B802" s="17" t="s">
        <v>171</v>
      </c>
      <c r="C802" s="17" t="s">
        <v>338</v>
      </c>
      <c r="D802" s="17" t="s">
        <v>57</v>
      </c>
      <c r="E802" s="17" t="s">
        <v>113</v>
      </c>
      <c r="F802" s="17" t="s">
        <v>341</v>
      </c>
      <c r="G802" s="17" t="s">
        <v>342</v>
      </c>
      <c r="H802" s="30">
        <v>10148</v>
      </c>
      <c r="I802" s="30">
        <v>9251</v>
      </c>
      <c r="J802" s="30">
        <v>11712</v>
      </c>
      <c r="K802" s="30">
        <v>11712</v>
      </c>
      <c r="L802" s="30">
        <v>11712</v>
      </c>
      <c r="M802" s="31">
        <f t="shared" si="60"/>
        <v>2461</v>
      </c>
      <c r="N802" s="32">
        <f t="shared" si="61"/>
        <v>0.26602529456274998</v>
      </c>
      <c r="O802" s="6" t="str">
        <f>IF(ABS(M802)&lt;Overview!$B$6,"OK",IF(I802=0,"REVIEW (zero base)",IF(ABS(M802/ABS(I802))&gt;=Overview!$B$5,"REVIEW","OK")))</f>
        <v>OK</v>
      </c>
      <c r="P802" s="31">
        <f t="shared" si="62"/>
        <v>0</v>
      </c>
      <c r="Q802" s="32">
        <f t="shared" si="63"/>
        <v>0</v>
      </c>
      <c r="R802" s="6" t="str">
        <f>IF(ABS(P802)&lt;Overview!$B$6,"OK",IF(J802=0,"REVIEW (zero base)",IF(ABS(P802/ABS(J802))&gt;=Overview!$B$5,"REVIEW","OK")))</f>
        <v>OK</v>
      </c>
      <c r="S802" s="33">
        <f t="shared" si="64"/>
        <v>2461.000802</v>
      </c>
    </row>
    <row r="803" spans="1:19" x14ac:dyDescent="0.2">
      <c r="A803" s="17">
        <v>801</v>
      </c>
      <c r="B803" s="17" t="s">
        <v>171</v>
      </c>
      <c r="C803" s="17" t="s">
        <v>338</v>
      </c>
      <c r="D803" s="17" t="s">
        <v>57</v>
      </c>
      <c r="E803" s="17" t="s">
        <v>113</v>
      </c>
      <c r="F803" s="17" t="s">
        <v>341</v>
      </c>
      <c r="G803" s="17" t="s">
        <v>406</v>
      </c>
      <c r="H803" s="30">
        <v>3500</v>
      </c>
      <c r="I803" s="30">
        <v>0</v>
      </c>
      <c r="J803" s="30">
        <v>0</v>
      </c>
      <c r="K803" s="30">
        <v>0</v>
      </c>
      <c r="L803" s="30">
        <v>0</v>
      </c>
      <c r="M803" s="31">
        <f t="shared" si="60"/>
        <v>0</v>
      </c>
      <c r="N803" s="32" t="str">
        <f t="shared" si="61"/>
        <v>n/a</v>
      </c>
      <c r="O803" s="6" t="str">
        <f>IF(ABS(M803)&lt;Overview!$B$6,"OK",IF(I803=0,"REVIEW (zero base)",IF(ABS(M803/ABS(I803))&gt;=Overview!$B$5,"REVIEW","OK")))</f>
        <v>OK</v>
      </c>
      <c r="P803" s="31">
        <f t="shared" si="62"/>
        <v>0</v>
      </c>
      <c r="Q803" s="32" t="str">
        <f t="shared" si="63"/>
        <v>n/a</v>
      </c>
      <c r="R803" s="6" t="str">
        <f>IF(ABS(P803)&lt;Overview!$B$6,"OK",IF(J803=0,"REVIEW (zero base)",IF(ABS(P803/ABS(J803))&gt;=Overview!$B$5,"REVIEW","OK")))</f>
        <v>OK</v>
      </c>
      <c r="S803" s="33">
        <f t="shared" si="64"/>
        <v>8.03E-4</v>
      </c>
    </row>
    <row r="804" spans="1:19" x14ac:dyDescent="0.2">
      <c r="A804" s="17">
        <v>802</v>
      </c>
      <c r="B804" s="17" t="s">
        <v>171</v>
      </c>
      <c r="C804" s="17" t="s">
        <v>338</v>
      </c>
      <c r="D804" s="17" t="s">
        <v>57</v>
      </c>
      <c r="E804" s="17" t="s">
        <v>113</v>
      </c>
      <c r="F804" s="17" t="s">
        <v>341</v>
      </c>
      <c r="G804" s="17" t="s">
        <v>375</v>
      </c>
      <c r="H804" s="30">
        <v>21247</v>
      </c>
      <c r="I804" s="30">
        <v>23227</v>
      </c>
      <c r="J804" s="30">
        <v>28600</v>
      </c>
      <c r="K804" s="30">
        <v>28600</v>
      </c>
      <c r="L804" s="30">
        <v>28600</v>
      </c>
      <c r="M804" s="31">
        <f t="shared" si="60"/>
        <v>5373</v>
      </c>
      <c r="N804" s="32">
        <f t="shared" si="61"/>
        <v>0.23132561243380548</v>
      </c>
      <c r="O804" s="6" t="str">
        <f>IF(ABS(M804)&lt;Overview!$B$6,"OK",IF(I804=0,"REVIEW (zero base)",IF(ABS(M804/ABS(I804))&gt;=Overview!$B$5,"REVIEW","OK")))</f>
        <v>OK</v>
      </c>
      <c r="P804" s="31">
        <f t="shared" si="62"/>
        <v>0</v>
      </c>
      <c r="Q804" s="32">
        <f t="shared" si="63"/>
        <v>0</v>
      </c>
      <c r="R804" s="6" t="str">
        <f>IF(ABS(P804)&lt;Overview!$B$6,"OK",IF(J804=0,"REVIEW (zero base)",IF(ABS(P804/ABS(J804))&gt;=Overview!$B$5,"REVIEW","OK")))</f>
        <v>OK</v>
      </c>
      <c r="S804" s="33">
        <f t="shared" si="64"/>
        <v>5373.0008040000002</v>
      </c>
    </row>
    <row r="805" spans="1:19" x14ac:dyDescent="0.2">
      <c r="A805" s="17">
        <v>803</v>
      </c>
      <c r="B805" s="17" t="s">
        <v>171</v>
      </c>
      <c r="C805" s="17" t="s">
        <v>338</v>
      </c>
      <c r="D805" s="17" t="s">
        <v>57</v>
      </c>
      <c r="E805" s="17" t="s">
        <v>113</v>
      </c>
      <c r="F805" s="17" t="s">
        <v>341</v>
      </c>
      <c r="G805" s="17" t="s">
        <v>376</v>
      </c>
      <c r="H805" s="30">
        <v>193379</v>
      </c>
      <c r="I805" s="30">
        <v>193421</v>
      </c>
      <c r="J805" s="30">
        <v>160971</v>
      </c>
      <c r="K805" s="30">
        <v>201540</v>
      </c>
      <c r="L805" s="30">
        <v>212081</v>
      </c>
      <c r="M805" s="31">
        <f t="shared" si="60"/>
        <v>-32450</v>
      </c>
      <c r="N805" s="32">
        <f t="shared" si="61"/>
        <v>-0.1677687531343546</v>
      </c>
      <c r="O805" s="6" t="str">
        <f>IF(ABS(M805)&lt;Overview!$B$6,"OK",IF(I805=0,"REVIEW (zero base)",IF(ABS(M805/ABS(I805))&gt;=Overview!$B$5,"REVIEW","OK")))</f>
        <v>OK</v>
      </c>
      <c r="P805" s="31">
        <f t="shared" si="62"/>
        <v>40569</v>
      </c>
      <c r="Q805" s="32">
        <f t="shared" si="63"/>
        <v>0.25202676258456491</v>
      </c>
      <c r="R805" s="6" t="str">
        <f>IF(ABS(P805)&lt;Overview!$B$6,"OK",IF(J805=0,"REVIEW (zero base)",IF(ABS(P805/ABS(J805))&gt;=Overview!$B$5,"REVIEW","OK")))</f>
        <v>OK</v>
      </c>
      <c r="S805" s="33">
        <f t="shared" si="64"/>
        <v>32450.000805</v>
      </c>
    </row>
    <row r="806" spans="1:19" x14ac:dyDescent="0.2">
      <c r="A806" s="17">
        <v>804</v>
      </c>
      <c r="B806" s="17" t="s">
        <v>171</v>
      </c>
      <c r="C806" s="17" t="s">
        <v>338</v>
      </c>
      <c r="D806" s="17" t="s">
        <v>57</v>
      </c>
      <c r="E806" s="17" t="s">
        <v>113</v>
      </c>
      <c r="F806" s="17" t="s">
        <v>341</v>
      </c>
      <c r="G806" s="17" t="s">
        <v>343</v>
      </c>
      <c r="H806" s="30">
        <v>54123</v>
      </c>
      <c r="I806" s="30">
        <v>52469</v>
      </c>
      <c r="J806" s="30">
        <v>59832</v>
      </c>
      <c r="K806" s="30">
        <v>52850</v>
      </c>
      <c r="L806" s="30">
        <v>53379</v>
      </c>
      <c r="M806" s="31">
        <f t="shared" si="60"/>
        <v>7363</v>
      </c>
      <c r="N806" s="32">
        <f t="shared" si="61"/>
        <v>0.14033048085536221</v>
      </c>
      <c r="O806" s="6" t="str">
        <f>IF(ABS(M806)&lt;Overview!$B$6,"OK",IF(I806=0,"REVIEW (zero base)",IF(ABS(M806/ABS(I806))&gt;=Overview!$B$5,"REVIEW","OK")))</f>
        <v>OK</v>
      </c>
      <c r="P806" s="31">
        <f t="shared" si="62"/>
        <v>-6982</v>
      </c>
      <c r="Q806" s="32">
        <f t="shared" si="63"/>
        <v>-0.1166934082096537</v>
      </c>
      <c r="R806" s="6" t="str">
        <f>IF(ABS(P806)&lt;Overview!$B$6,"OK",IF(J806=0,"REVIEW (zero base)",IF(ABS(P806/ABS(J806))&gt;=Overview!$B$5,"REVIEW","OK")))</f>
        <v>OK</v>
      </c>
      <c r="S806" s="33">
        <f t="shared" si="64"/>
        <v>7363.000806</v>
      </c>
    </row>
    <row r="807" spans="1:19" x14ac:dyDescent="0.2">
      <c r="A807" s="17">
        <v>805</v>
      </c>
      <c r="B807" s="17" t="s">
        <v>171</v>
      </c>
      <c r="C807" s="17" t="s">
        <v>338</v>
      </c>
      <c r="D807" s="17" t="s">
        <v>57</v>
      </c>
      <c r="E807" s="17" t="s">
        <v>113</v>
      </c>
      <c r="F807" s="17" t="s">
        <v>341</v>
      </c>
      <c r="G807" s="17" t="s">
        <v>396</v>
      </c>
      <c r="H807" s="30">
        <v>37</v>
      </c>
      <c r="I807" s="30">
        <v>0</v>
      </c>
      <c r="J807" s="30">
        <v>0</v>
      </c>
      <c r="K807" s="30">
        <v>0</v>
      </c>
      <c r="L807" s="30">
        <v>0</v>
      </c>
      <c r="M807" s="31">
        <f t="shared" si="60"/>
        <v>0</v>
      </c>
      <c r="N807" s="32" t="str">
        <f t="shared" si="61"/>
        <v>n/a</v>
      </c>
      <c r="O807" s="6" t="str">
        <f>IF(ABS(M807)&lt;Overview!$B$6,"OK",IF(I807=0,"REVIEW (zero base)",IF(ABS(M807/ABS(I807))&gt;=Overview!$B$5,"REVIEW","OK")))</f>
        <v>OK</v>
      </c>
      <c r="P807" s="31">
        <f t="shared" si="62"/>
        <v>0</v>
      </c>
      <c r="Q807" s="32" t="str">
        <f t="shared" si="63"/>
        <v>n/a</v>
      </c>
      <c r="R807" s="6" t="str">
        <f>IF(ABS(P807)&lt;Overview!$B$6,"OK",IF(J807=0,"REVIEW (zero base)",IF(ABS(P807/ABS(J807))&gt;=Overview!$B$5,"REVIEW","OK")))</f>
        <v>OK</v>
      </c>
      <c r="S807" s="33">
        <f t="shared" si="64"/>
        <v>8.0699999999999999E-4</v>
      </c>
    </row>
    <row r="808" spans="1:19" x14ac:dyDescent="0.2">
      <c r="A808" s="17">
        <v>806</v>
      </c>
      <c r="B808" s="17" t="s">
        <v>171</v>
      </c>
      <c r="C808" s="17" t="s">
        <v>338</v>
      </c>
      <c r="D808" s="17" t="s">
        <v>57</v>
      </c>
      <c r="E808" s="17" t="s">
        <v>113</v>
      </c>
      <c r="F808" s="17" t="s">
        <v>341</v>
      </c>
      <c r="G808" s="17" t="s">
        <v>378</v>
      </c>
      <c r="H808" s="30">
        <v>17489</v>
      </c>
      <c r="I808" s="30">
        <v>17531</v>
      </c>
      <c r="J808" s="30">
        <v>21620</v>
      </c>
      <c r="K808" s="30">
        <v>22880</v>
      </c>
      <c r="L808" s="30">
        <v>23894</v>
      </c>
      <c r="M808" s="31">
        <f t="shared" si="60"/>
        <v>4089</v>
      </c>
      <c r="N808" s="32">
        <f t="shared" si="61"/>
        <v>0.23324396782841822</v>
      </c>
      <c r="O808" s="6" t="str">
        <f>IF(ABS(M808)&lt;Overview!$B$6,"OK",IF(I808=0,"REVIEW (zero base)",IF(ABS(M808/ABS(I808))&gt;=Overview!$B$5,"REVIEW","OK")))</f>
        <v>OK</v>
      </c>
      <c r="P808" s="31">
        <f t="shared" si="62"/>
        <v>1260</v>
      </c>
      <c r="Q808" s="32">
        <f t="shared" si="63"/>
        <v>5.8279370952821465E-2</v>
      </c>
      <c r="R808" s="6" t="str">
        <f>IF(ABS(P808)&lt;Overview!$B$6,"OK",IF(J808=0,"REVIEW (zero base)",IF(ABS(P808/ABS(J808))&gt;=Overview!$B$5,"REVIEW","OK")))</f>
        <v>OK</v>
      </c>
      <c r="S808" s="33">
        <f t="shared" si="64"/>
        <v>4089.0008079999998</v>
      </c>
    </row>
    <row r="809" spans="1:19" x14ac:dyDescent="0.2">
      <c r="A809" s="17">
        <v>807</v>
      </c>
      <c r="B809" s="17" t="s">
        <v>171</v>
      </c>
      <c r="C809" s="17" t="s">
        <v>338</v>
      </c>
      <c r="D809" s="17" t="s">
        <v>57</v>
      </c>
      <c r="E809" s="17" t="s">
        <v>113</v>
      </c>
      <c r="F809" s="17" t="s">
        <v>341</v>
      </c>
      <c r="G809" s="17" t="s">
        <v>344</v>
      </c>
      <c r="H809" s="30">
        <v>91956</v>
      </c>
      <c r="I809" s="30">
        <v>100786</v>
      </c>
      <c r="J809" s="30">
        <v>134693</v>
      </c>
      <c r="K809" s="30">
        <v>148236</v>
      </c>
      <c r="L809" s="30">
        <v>151201</v>
      </c>
      <c r="M809" s="31">
        <f t="shared" si="60"/>
        <v>33907</v>
      </c>
      <c r="N809" s="32">
        <f t="shared" si="61"/>
        <v>0.33642569404480782</v>
      </c>
      <c r="O809" s="6" t="str">
        <f>IF(ABS(M809)&lt;Overview!$B$6,"OK",IF(I809=0,"REVIEW (zero base)",IF(ABS(M809/ABS(I809))&gt;=Overview!$B$5,"REVIEW","OK")))</f>
        <v>OK</v>
      </c>
      <c r="P809" s="31">
        <f t="shared" si="62"/>
        <v>13543</v>
      </c>
      <c r="Q809" s="32">
        <f t="shared" si="63"/>
        <v>0.10054717023156363</v>
      </c>
      <c r="R809" s="6" t="str">
        <f>IF(ABS(P809)&lt;Overview!$B$6,"OK",IF(J809=0,"REVIEW (zero base)",IF(ABS(P809/ABS(J809))&gt;=Overview!$B$5,"REVIEW","OK")))</f>
        <v>OK</v>
      </c>
      <c r="S809" s="33">
        <f t="shared" si="64"/>
        <v>33907.000808999997</v>
      </c>
    </row>
    <row r="810" spans="1:19" x14ac:dyDescent="0.2">
      <c r="A810" s="17">
        <v>808</v>
      </c>
      <c r="B810" s="17" t="s">
        <v>171</v>
      </c>
      <c r="C810" s="17" t="s">
        <v>338</v>
      </c>
      <c r="D810" s="17" t="s">
        <v>57</v>
      </c>
      <c r="E810" s="17" t="s">
        <v>113</v>
      </c>
      <c r="F810" s="17" t="s">
        <v>364</v>
      </c>
      <c r="G810" s="17" t="s">
        <v>472</v>
      </c>
      <c r="H810" s="30">
        <v>93105</v>
      </c>
      <c r="I810" s="30">
        <v>113705</v>
      </c>
      <c r="J810" s="30">
        <v>93000</v>
      </c>
      <c r="K810" s="30">
        <v>135000</v>
      </c>
      <c r="L810" s="30">
        <v>135945</v>
      </c>
      <c r="M810" s="31">
        <f t="shared" si="60"/>
        <v>-20705</v>
      </c>
      <c r="N810" s="32">
        <f t="shared" si="61"/>
        <v>-0.18209401521481025</v>
      </c>
      <c r="O810" s="6" t="str">
        <f>IF(ABS(M810)&lt;Overview!$B$6,"OK",IF(I810=0,"REVIEW (zero base)",IF(ABS(M810/ABS(I810))&gt;=Overview!$B$5,"REVIEW","OK")))</f>
        <v>OK</v>
      </c>
      <c r="P810" s="31">
        <f t="shared" si="62"/>
        <v>42000</v>
      </c>
      <c r="Q810" s="32">
        <f t="shared" si="63"/>
        <v>0.45161290322580644</v>
      </c>
      <c r="R810" s="6" t="str">
        <f>IF(ABS(P810)&lt;Overview!$B$6,"OK",IF(J810=0,"REVIEW (zero base)",IF(ABS(P810/ABS(J810))&gt;=Overview!$B$5,"REVIEW","OK")))</f>
        <v>OK</v>
      </c>
      <c r="S810" s="33">
        <f t="shared" si="64"/>
        <v>20705.000810000001</v>
      </c>
    </row>
    <row r="811" spans="1:19" x14ac:dyDescent="0.2">
      <c r="A811" s="17">
        <v>809</v>
      </c>
      <c r="B811" s="17" t="s">
        <v>171</v>
      </c>
      <c r="C811" s="17" t="s">
        <v>338</v>
      </c>
      <c r="D811" s="17" t="s">
        <v>57</v>
      </c>
      <c r="E811" s="17" t="s">
        <v>113</v>
      </c>
      <c r="F811" s="17" t="s">
        <v>364</v>
      </c>
      <c r="G811" s="17" t="s">
        <v>383</v>
      </c>
      <c r="H811" s="30">
        <v>984</v>
      </c>
      <c r="I811" s="30">
        <v>784</v>
      </c>
      <c r="J811" s="30">
        <v>2500</v>
      </c>
      <c r="K811" s="30">
        <v>2500</v>
      </c>
      <c r="L811" s="30">
        <v>2500</v>
      </c>
      <c r="M811" s="31">
        <f t="shared" si="60"/>
        <v>1716</v>
      </c>
      <c r="N811" s="32">
        <f t="shared" si="61"/>
        <v>2.1887755102040818</v>
      </c>
      <c r="O811" s="6" t="str">
        <f>IF(ABS(M811)&lt;Overview!$B$6,"OK",IF(I811=0,"REVIEW (zero base)",IF(ABS(M811/ABS(I811))&gt;=Overview!$B$5,"REVIEW","OK")))</f>
        <v>OK</v>
      </c>
      <c r="P811" s="31">
        <f t="shared" si="62"/>
        <v>0</v>
      </c>
      <c r="Q811" s="32">
        <f t="shared" si="63"/>
        <v>0</v>
      </c>
      <c r="R811" s="6" t="str">
        <f>IF(ABS(P811)&lt;Overview!$B$6,"OK",IF(J811=0,"REVIEW (zero base)",IF(ABS(P811/ABS(J811))&gt;=Overview!$B$5,"REVIEW","OK")))</f>
        <v>OK</v>
      </c>
      <c r="S811" s="33">
        <f t="shared" si="64"/>
        <v>1716.0008110000001</v>
      </c>
    </row>
    <row r="812" spans="1:19" x14ac:dyDescent="0.2">
      <c r="A812" s="17">
        <v>810</v>
      </c>
      <c r="B812" s="17" t="s">
        <v>171</v>
      </c>
      <c r="C812" s="17" t="s">
        <v>338</v>
      </c>
      <c r="D812" s="17" t="s">
        <v>57</v>
      </c>
      <c r="E812" s="17" t="s">
        <v>113</v>
      </c>
      <c r="F812" s="17" t="s">
        <v>364</v>
      </c>
      <c r="G812" s="17" t="s">
        <v>429</v>
      </c>
      <c r="H812" s="30">
        <v>7008</v>
      </c>
      <c r="I812" s="30">
        <v>5886</v>
      </c>
      <c r="J812" s="30">
        <v>7500</v>
      </c>
      <c r="K812" s="30">
        <v>7500</v>
      </c>
      <c r="L812" s="30">
        <v>7500</v>
      </c>
      <c r="M812" s="31">
        <f t="shared" si="60"/>
        <v>1614</v>
      </c>
      <c r="N812" s="32">
        <f t="shared" si="61"/>
        <v>0.27420998980632011</v>
      </c>
      <c r="O812" s="6" t="str">
        <f>IF(ABS(M812)&lt;Overview!$B$6,"OK",IF(I812=0,"REVIEW (zero base)",IF(ABS(M812/ABS(I812))&gt;=Overview!$B$5,"REVIEW","OK")))</f>
        <v>OK</v>
      </c>
      <c r="P812" s="31">
        <f t="shared" si="62"/>
        <v>0</v>
      </c>
      <c r="Q812" s="32">
        <f t="shared" si="63"/>
        <v>0</v>
      </c>
      <c r="R812" s="6" t="str">
        <f>IF(ABS(P812)&lt;Overview!$B$6,"OK",IF(J812=0,"REVIEW (zero base)",IF(ABS(P812/ABS(J812))&gt;=Overview!$B$5,"REVIEW","OK")))</f>
        <v>OK</v>
      </c>
      <c r="S812" s="33">
        <f t="shared" si="64"/>
        <v>1614.000812</v>
      </c>
    </row>
    <row r="813" spans="1:19" x14ac:dyDescent="0.2">
      <c r="A813" s="17">
        <v>811</v>
      </c>
      <c r="B813" s="17" t="s">
        <v>171</v>
      </c>
      <c r="C813" s="17" t="s">
        <v>338</v>
      </c>
      <c r="D813" s="17" t="s">
        <v>57</v>
      </c>
      <c r="E813" s="17" t="s">
        <v>113</v>
      </c>
      <c r="F813" s="17" t="s">
        <v>402</v>
      </c>
      <c r="G813" s="17" t="s">
        <v>416</v>
      </c>
      <c r="H813" s="30">
        <v>0</v>
      </c>
      <c r="I813" s="30">
        <v>0</v>
      </c>
      <c r="J813" s="30">
        <v>0</v>
      </c>
      <c r="K813" s="30">
        <v>8500</v>
      </c>
      <c r="L813" s="30">
        <v>8560</v>
      </c>
      <c r="M813" s="31">
        <f t="shared" si="60"/>
        <v>0</v>
      </c>
      <c r="N813" s="32" t="str">
        <f t="shared" si="61"/>
        <v>n/a</v>
      </c>
      <c r="O813" s="6" t="str">
        <f>IF(ABS(M813)&lt;Overview!$B$6,"OK",IF(I813=0,"REVIEW (zero base)",IF(ABS(M813/ABS(I813))&gt;=Overview!$B$5,"REVIEW","OK")))</f>
        <v>OK</v>
      </c>
      <c r="P813" s="31">
        <f t="shared" si="62"/>
        <v>8500</v>
      </c>
      <c r="Q813" s="32" t="str">
        <f t="shared" si="63"/>
        <v>n/a</v>
      </c>
      <c r="R813" s="6" t="str">
        <f>IF(ABS(P813)&lt;Overview!$B$6,"OK",IF(J813=0,"REVIEW (zero base)",IF(ABS(P813/ABS(J813))&gt;=Overview!$B$5,"REVIEW","OK")))</f>
        <v>OK</v>
      </c>
      <c r="S813" s="33">
        <f t="shared" si="64"/>
        <v>8.1300000000000003E-4</v>
      </c>
    </row>
    <row r="814" spans="1:19" x14ac:dyDescent="0.2">
      <c r="A814" s="17">
        <v>812</v>
      </c>
      <c r="B814" s="17" t="s">
        <v>171</v>
      </c>
      <c r="C814" s="17" t="s">
        <v>338</v>
      </c>
      <c r="D814" s="17" t="s">
        <v>57</v>
      </c>
      <c r="E814" s="17" t="s">
        <v>113</v>
      </c>
      <c r="F814" s="17" t="s">
        <v>402</v>
      </c>
      <c r="G814" s="17" t="s">
        <v>473</v>
      </c>
      <c r="H814" s="30">
        <v>1275</v>
      </c>
      <c r="I814" s="30">
        <v>1506</v>
      </c>
      <c r="J814" s="30">
        <v>2000</v>
      </c>
      <c r="K814" s="30">
        <v>2000</v>
      </c>
      <c r="L814" s="30">
        <v>2014</v>
      </c>
      <c r="M814" s="31">
        <f t="shared" si="60"/>
        <v>494</v>
      </c>
      <c r="N814" s="32">
        <f t="shared" si="61"/>
        <v>0.32802124833997343</v>
      </c>
      <c r="O814" s="6" t="str">
        <f>IF(ABS(M814)&lt;Overview!$B$6,"OK",IF(I814=0,"REVIEW (zero base)",IF(ABS(M814/ABS(I814))&gt;=Overview!$B$5,"REVIEW","OK")))</f>
        <v>OK</v>
      </c>
      <c r="P814" s="31">
        <f t="shared" si="62"/>
        <v>0</v>
      </c>
      <c r="Q814" s="32">
        <f t="shared" si="63"/>
        <v>0</v>
      </c>
      <c r="R814" s="6" t="str">
        <f>IF(ABS(P814)&lt;Overview!$B$6,"OK",IF(J814=0,"REVIEW (zero base)",IF(ABS(P814/ABS(J814))&gt;=Overview!$B$5,"REVIEW","OK")))</f>
        <v>OK</v>
      </c>
      <c r="S814" s="33">
        <f t="shared" si="64"/>
        <v>494.00081399999999</v>
      </c>
    </row>
    <row r="815" spans="1:19" x14ac:dyDescent="0.2">
      <c r="A815" s="17">
        <v>813</v>
      </c>
      <c r="B815" s="17" t="s">
        <v>171</v>
      </c>
      <c r="C815" s="17" t="s">
        <v>338</v>
      </c>
      <c r="D815" s="17" t="s">
        <v>57</v>
      </c>
      <c r="E815" s="17" t="s">
        <v>113</v>
      </c>
      <c r="F815" s="17" t="s">
        <v>422</v>
      </c>
      <c r="G815" s="17" t="s">
        <v>435</v>
      </c>
      <c r="H815" s="30">
        <v>8405</v>
      </c>
      <c r="I815" s="30">
        <v>6392</v>
      </c>
      <c r="J815" s="30">
        <v>8500</v>
      </c>
      <c r="K815" s="30">
        <v>0</v>
      </c>
      <c r="L815" s="30">
        <v>0</v>
      </c>
      <c r="M815" s="31">
        <f t="shared" si="60"/>
        <v>2108</v>
      </c>
      <c r="N815" s="32">
        <f t="shared" si="61"/>
        <v>0.32978723404255317</v>
      </c>
      <c r="O815" s="6" t="str">
        <f>IF(ABS(M815)&lt;Overview!$B$6,"OK",IF(I815=0,"REVIEW (zero base)",IF(ABS(M815/ABS(I815))&gt;=Overview!$B$5,"REVIEW","OK")))</f>
        <v>OK</v>
      </c>
      <c r="P815" s="31">
        <f t="shared" si="62"/>
        <v>-8500</v>
      </c>
      <c r="Q815" s="32">
        <f t="shared" si="63"/>
        <v>-1</v>
      </c>
      <c r="R815" s="6" t="str">
        <f>IF(ABS(P815)&lt;Overview!$B$6,"OK",IF(J815=0,"REVIEW (zero base)",IF(ABS(P815/ABS(J815))&gt;=Overview!$B$5,"REVIEW","OK")))</f>
        <v>OK</v>
      </c>
      <c r="S815" s="33">
        <f t="shared" si="64"/>
        <v>2108.0008149999999</v>
      </c>
    </row>
    <row r="816" spans="1:19" x14ac:dyDescent="0.2">
      <c r="A816" s="17">
        <v>814</v>
      </c>
      <c r="B816" s="17" t="s">
        <v>171</v>
      </c>
      <c r="C816" s="17" t="s">
        <v>338</v>
      </c>
      <c r="D816" s="17" t="s">
        <v>57</v>
      </c>
      <c r="E816" s="17" t="s">
        <v>113</v>
      </c>
      <c r="F816" s="17" t="s">
        <v>407</v>
      </c>
      <c r="G816" s="17" t="s">
        <v>408</v>
      </c>
      <c r="H816" s="30">
        <v>1972</v>
      </c>
      <c r="I816" s="30">
        <v>1706</v>
      </c>
      <c r="J816" s="30">
        <v>2000</v>
      </c>
      <c r="K816" s="30">
        <v>2000</v>
      </c>
      <c r="L816" s="30">
        <v>2000</v>
      </c>
      <c r="M816" s="31">
        <f t="shared" si="60"/>
        <v>294</v>
      </c>
      <c r="N816" s="32">
        <f t="shared" si="61"/>
        <v>0.17233294255568582</v>
      </c>
      <c r="O816" s="6" t="str">
        <f>IF(ABS(M816)&lt;Overview!$B$6,"OK",IF(I816=0,"REVIEW (zero base)",IF(ABS(M816/ABS(I816))&gt;=Overview!$B$5,"REVIEW","OK")))</f>
        <v>OK</v>
      </c>
      <c r="P816" s="31">
        <f t="shared" si="62"/>
        <v>0</v>
      </c>
      <c r="Q816" s="32">
        <f t="shared" si="63"/>
        <v>0</v>
      </c>
      <c r="R816" s="6" t="str">
        <f>IF(ABS(P816)&lt;Overview!$B$6,"OK",IF(J816=0,"REVIEW (zero base)",IF(ABS(P816/ABS(J816))&gt;=Overview!$B$5,"REVIEW","OK")))</f>
        <v>OK</v>
      </c>
      <c r="S816" s="33">
        <f t="shared" si="64"/>
        <v>294.00081599999999</v>
      </c>
    </row>
    <row r="817" spans="1:19" x14ac:dyDescent="0.2">
      <c r="A817" s="17">
        <v>815</v>
      </c>
      <c r="B817" s="17" t="s">
        <v>171</v>
      </c>
      <c r="C817" s="17" t="s">
        <v>338</v>
      </c>
      <c r="D817" s="17" t="s">
        <v>57</v>
      </c>
      <c r="E817" s="17" t="s">
        <v>113</v>
      </c>
      <c r="F817" s="17" t="s">
        <v>347</v>
      </c>
      <c r="G817" s="17" t="s">
        <v>348</v>
      </c>
      <c r="H817" s="30">
        <v>186</v>
      </c>
      <c r="I817" s="30">
        <v>426</v>
      </c>
      <c r="J817" s="30">
        <v>500</v>
      </c>
      <c r="K817" s="30">
        <v>500</v>
      </c>
      <c r="L817" s="30">
        <v>504</v>
      </c>
      <c r="M817" s="31">
        <f t="shared" si="60"/>
        <v>74</v>
      </c>
      <c r="N817" s="32">
        <f t="shared" si="61"/>
        <v>0.17370892018779344</v>
      </c>
      <c r="O817" s="6" t="str">
        <f>IF(ABS(M817)&lt;Overview!$B$6,"OK",IF(I817=0,"REVIEW (zero base)",IF(ABS(M817/ABS(I817))&gt;=Overview!$B$5,"REVIEW","OK")))</f>
        <v>OK</v>
      </c>
      <c r="P817" s="31">
        <f t="shared" si="62"/>
        <v>0</v>
      </c>
      <c r="Q817" s="32">
        <f t="shared" si="63"/>
        <v>0</v>
      </c>
      <c r="R817" s="6" t="str">
        <f>IF(ABS(P817)&lt;Overview!$B$6,"OK",IF(J817=0,"REVIEW (zero base)",IF(ABS(P817/ABS(J817))&gt;=Overview!$B$5,"REVIEW","OK")))</f>
        <v>OK</v>
      </c>
      <c r="S817" s="33">
        <f t="shared" si="64"/>
        <v>74.000816999999998</v>
      </c>
    </row>
    <row r="818" spans="1:19" x14ac:dyDescent="0.2">
      <c r="A818" s="17">
        <v>816</v>
      </c>
      <c r="B818" s="17" t="s">
        <v>171</v>
      </c>
      <c r="C818" s="17" t="s">
        <v>338</v>
      </c>
      <c r="D818" s="17" t="s">
        <v>57</v>
      </c>
      <c r="E818" s="17" t="s">
        <v>113</v>
      </c>
      <c r="F818" s="17" t="s">
        <v>386</v>
      </c>
      <c r="G818" s="17" t="s">
        <v>387</v>
      </c>
      <c r="H818" s="30">
        <v>4330</v>
      </c>
      <c r="I818" s="30">
        <v>3027</v>
      </c>
      <c r="J818" s="30">
        <v>2688</v>
      </c>
      <c r="K818" s="30">
        <v>2688</v>
      </c>
      <c r="L818" s="30">
        <v>2707</v>
      </c>
      <c r="M818" s="31">
        <f t="shared" si="60"/>
        <v>-339</v>
      </c>
      <c r="N818" s="32">
        <f t="shared" si="61"/>
        <v>-0.11199207135777998</v>
      </c>
      <c r="O818" s="6" t="str">
        <f>IF(ABS(M818)&lt;Overview!$B$6,"OK",IF(I818=0,"REVIEW (zero base)",IF(ABS(M818/ABS(I818))&gt;=Overview!$B$5,"REVIEW","OK")))</f>
        <v>OK</v>
      </c>
      <c r="P818" s="31">
        <f t="shared" si="62"/>
        <v>0</v>
      </c>
      <c r="Q818" s="32">
        <f t="shared" si="63"/>
        <v>0</v>
      </c>
      <c r="R818" s="6" t="str">
        <f>IF(ABS(P818)&lt;Overview!$B$6,"OK",IF(J818=0,"REVIEW (zero base)",IF(ABS(P818/ABS(J818))&gt;=Overview!$B$5,"REVIEW","OK")))</f>
        <v>OK</v>
      </c>
      <c r="S818" s="33">
        <f t="shared" si="64"/>
        <v>339.00081799999998</v>
      </c>
    </row>
    <row r="819" spans="1:19" x14ac:dyDescent="0.2">
      <c r="A819" s="17">
        <v>817</v>
      </c>
      <c r="B819" s="17" t="s">
        <v>171</v>
      </c>
      <c r="C819" s="17" t="s">
        <v>338</v>
      </c>
      <c r="D819" s="17" t="s">
        <v>57</v>
      </c>
      <c r="E819" s="17" t="s">
        <v>126</v>
      </c>
      <c r="F819" s="17" t="s">
        <v>339</v>
      </c>
      <c r="G819" s="17" t="s">
        <v>340</v>
      </c>
      <c r="H819" s="30">
        <v>257905</v>
      </c>
      <c r="I819" s="30">
        <v>306392</v>
      </c>
      <c r="J819" s="30">
        <v>349708</v>
      </c>
      <c r="K819" s="30">
        <v>386830</v>
      </c>
      <c r="L819" s="30">
        <v>390698</v>
      </c>
      <c r="M819" s="31">
        <f t="shared" si="60"/>
        <v>43316</v>
      </c>
      <c r="N819" s="32">
        <f t="shared" si="61"/>
        <v>0.14137444841901878</v>
      </c>
      <c r="O819" s="6" t="str">
        <f>IF(ABS(M819)&lt;Overview!$B$6,"OK",IF(I819=0,"REVIEW (zero base)",IF(ABS(M819/ABS(I819))&gt;=Overview!$B$5,"REVIEW","OK")))</f>
        <v>OK</v>
      </c>
      <c r="P819" s="31">
        <f t="shared" si="62"/>
        <v>37122</v>
      </c>
      <c r="Q819" s="32">
        <f t="shared" si="63"/>
        <v>0.10615141775424068</v>
      </c>
      <c r="R819" s="6" t="str">
        <f>IF(ABS(P819)&lt;Overview!$B$6,"OK",IF(J819=0,"REVIEW (zero base)",IF(ABS(P819/ABS(J819))&gt;=Overview!$B$5,"REVIEW","OK")))</f>
        <v>OK</v>
      </c>
      <c r="S819" s="33">
        <f t="shared" si="64"/>
        <v>43316.000819000001</v>
      </c>
    </row>
    <row r="820" spans="1:19" x14ac:dyDescent="0.2">
      <c r="A820" s="17">
        <v>818</v>
      </c>
      <c r="B820" s="17" t="s">
        <v>171</v>
      </c>
      <c r="C820" s="17" t="s">
        <v>338</v>
      </c>
      <c r="D820" s="17" t="s">
        <v>57</v>
      </c>
      <c r="E820" s="17" t="s">
        <v>126</v>
      </c>
      <c r="F820" s="17" t="s">
        <v>339</v>
      </c>
      <c r="G820" s="17" t="s">
        <v>389</v>
      </c>
      <c r="H820" s="30">
        <v>712</v>
      </c>
      <c r="I820" s="30">
        <v>1823</v>
      </c>
      <c r="J820" s="30">
        <v>0</v>
      </c>
      <c r="K820" s="30">
        <v>0</v>
      </c>
      <c r="L820" s="30">
        <v>0</v>
      </c>
      <c r="M820" s="31">
        <f t="shared" si="60"/>
        <v>-1823</v>
      </c>
      <c r="N820" s="32">
        <f t="shared" si="61"/>
        <v>-1</v>
      </c>
      <c r="O820" s="6" t="str">
        <f>IF(ABS(M820)&lt;Overview!$B$6,"OK",IF(I820=0,"REVIEW (zero base)",IF(ABS(M820/ABS(I820))&gt;=Overview!$B$5,"REVIEW","OK")))</f>
        <v>OK</v>
      </c>
      <c r="P820" s="31">
        <f t="shared" si="62"/>
        <v>0</v>
      </c>
      <c r="Q820" s="32" t="str">
        <f t="shared" si="63"/>
        <v>n/a</v>
      </c>
      <c r="R820" s="6" t="str">
        <f>IF(ABS(P820)&lt;Overview!$B$6,"OK",IF(J820=0,"REVIEW (zero base)",IF(ABS(P820/ABS(J820))&gt;=Overview!$B$5,"REVIEW","OK")))</f>
        <v>OK</v>
      </c>
      <c r="S820" s="33">
        <f t="shared" si="64"/>
        <v>1823.00082</v>
      </c>
    </row>
    <row r="821" spans="1:19" x14ac:dyDescent="0.2">
      <c r="A821" s="17">
        <v>819</v>
      </c>
      <c r="B821" s="17" t="s">
        <v>171</v>
      </c>
      <c r="C821" s="17" t="s">
        <v>338</v>
      </c>
      <c r="D821" s="17" t="s">
        <v>57</v>
      </c>
      <c r="E821" s="17" t="s">
        <v>126</v>
      </c>
      <c r="F821" s="17" t="s">
        <v>339</v>
      </c>
      <c r="G821" s="17" t="s">
        <v>390</v>
      </c>
      <c r="H821" s="30">
        <v>49808</v>
      </c>
      <c r="I821" s="30">
        <v>42238</v>
      </c>
      <c r="J821" s="30">
        <v>30000</v>
      </c>
      <c r="K821" s="30">
        <v>30000</v>
      </c>
      <c r="L821" s="30">
        <v>30000</v>
      </c>
      <c r="M821" s="31">
        <f t="shared" si="60"/>
        <v>-12238</v>
      </c>
      <c r="N821" s="32">
        <f t="shared" si="61"/>
        <v>-0.28973909749514654</v>
      </c>
      <c r="O821" s="6" t="str">
        <f>IF(ABS(M821)&lt;Overview!$B$6,"OK",IF(I821=0,"REVIEW (zero base)",IF(ABS(M821/ABS(I821))&gt;=Overview!$B$5,"REVIEW","OK")))</f>
        <v>OK</v>
      </c>
      <c r="P821" s="31">
        <f t="shared" si="62"/>
        <v>0</v>
      </c>
      <c r="Q821" s="32">
        <f t="shared" si="63"/>
        <v>0</v>
      </c>
      <c r="R821" s="6" t="str">
        <f>IF(ABS(P821)&lt;Overview!$B$6,"OK",IF(J821=0,"REVIEW (zero base)",IF(ABS(P821/ABS(J821))&gt;=Overview!$B$5,"REVIEW","OK")))</f>
        <v>OK</v>
      </c>
      <c r="S821" s="33">
        <f t="shared" si="64"/>
        <v>12238.000821</v>
      </c>
    </row>
    <row r="822" spans="1:19" x14ac:dyDescent="0.2">
      <c r="A822" s="17">
        <v>820</v>
      </c>
      <c r="B822" s="17" t="s">
        <v>171</v>
      </c>
      <c r="C822" s="17" t="s">
        <v>338</v>
      </c>
      <c r="D822" s="17" t="s">
        <v>57</v>
      </c>
      <c r="E822" s="17" t="s">
        <v>126</v>
      </c>
      <c r="F822" s="17" t="s">
        <v>339</v>
      </c>
      <c r="G822" s="17" t="s">
        <v>391</v>
      </c>
      <c r="H822" s="30">
        <v>11306</v>
      </c>
      <c r="I822" s="30">
        <v>13473</v>
      </c>
      <c r="J822" s="30">
        <v>0</v>
      </c>
      <c r="K822" s="30">
        <v>0</v>
      </c>
      <c r="L822" s="30">
        <v>0</v>
      </c>
      <c r="M822" s="31">
        <f t="shared" si="60"/>
        <v>-13473</v>
      </c>
      <c r="N822" s="32">
        <f t="shared" si="61"/>
        <v>-1</v>
      </c>
      <c r="O822" s="6" t="str">
        <f>IF(ABS(M822)&lt;Overview!$B$6,"OK",IF(I822=0,"REVIEW (zero base)",IF(ABS(M822/ABS(I822))&gt;=Overview!$B$5,"REVIEW","OK")))</f>
        <v>OK</v>
      </c>
      <c r="P822" s="31">
        <f t="shared" si="62"/>
        <v>0</v>
      </c>
      <c r="Q822" s="32" t="str">
        <f t="shared" si="63"/>
        <v>n/a</v>
      </c>
      <c r="R822" s="6" t="str">
        <f>IF(ABS(P822)&lt;Overview!$B$6,"OK",IF(J822=0,"REVIEW (zero base)",IF(ABS(P822/ABS(J822))&gt;=Overview!$B$5,"REVIEW","OK")))</f>
        <v>OK</v>
      </c>
      <c r="S822" s="33">
        <f t="shared" si="64"/>
        <v>13473.000822</v>
      </c>
    </row>
    <row r="823" spans="1:19" x14ac:dyDescent="0.2">
      <c r="A823" s="17">
        <v>821</v>
      </c>
      <c r="B823" s="17" t="s">
        <v>171</v>
      </c>
      <c r="C823" s="17" t="s">
        <v>338</v>
      </c>
      <c r="D823" s="17" t="s">
        <v>57</v>
      </c>
      <c r="E823" s="17" t="s">
        <v>126</v>
      </c>
      <c r="F823" s="17" t="s">
        <v>339</v>
      </c>
      <c r="G823" s="17" t="s">
        <v>392</v>
      </c>
      <c r="H823" s="30">
        <v>28591</v>
      </c>
      <c r="I823" s="30">
        <v>19301</v>
      </c>
      <c r="J823" s="30">
        <v>0</v>
      </c>
      <c r="K823" s="30">
        <v>0</v>
      </c>
      <c r="L823" s="30">
        <v>0</v>
      </c>
      <c r="M823" s="31">
        <f t="shared" si="60"/>
        <v>-19301</v>
      </c>
      <c r="N823" s="32">
        <f t="shared" si="61"/>
        <v>-1</v>
      </c>
      <c r="O823" s="6" t="str">
        <f>IF(ABS(M823)&lt;Overview!$B$6,"OK",IF(I823=0,"REVIEW (zero base)",IF(ABS(M823/ABS(I823))&gt;=Overview!$B$5,"REVIEW","OK")))</f>
        <v>OK</v>
      </c>
      <c r="P823" s="31">
        <f t="shared" si="62"/>
        <v>0</v>
      </c>
      <c r="Q823" s="32" t="str">
        <f t="shared" si="63"/>
        <v>n/a</v>
      </c>
      <c r="R823" s="6" t="str">
        <f>IF(ABS(P823)&lt;Overview!$B$6,"OK",IF(J823=0,"REVIEW (zero base)",IF(ABS(P823/ABS(J823))&gt;=Overview!$B$5,"REVIEW","OK")))</f>
        <v>OK</v>
      </c>
      <c r="S823" s="33">
        <f t="shared" si="64"/>
        <v>19301.000822999998</v>
      </c>
    </row>
    <row r="824" spans="1:19" x14ac:dyDescent="0.2">
      <c r="A824" s="17">
        <v>822</v>
      </c>
      <c r="B824" s="17" t="s">
        <v>171</v>
      </c>
      <c r="C824" s="17" t="s">
        <v>338</v>
      </c>
      <c r="D824" s="17" t="s">
        <v>57</v>
      </c>
      <c r="E824" s="17" t="s">
        <v>126</v>
      </c>
      <c r="F824" s="17" t="s">
        <v>339</v>
      </c>
      <c r="G824" s="17" t="s">
        <v>393</v>
      </c>
      <c r="H824" s="30">
        <v>680</v>
      </c>
      <c r="I824" s="30">
        <v>715</v>
      </c>
      <c r="J824" s="30">
        <v>0</v>
      </c>
      <c r="K824" s="30">
        <v>0</v>
      </c>
      <c r="L824" s="30">
        <v>0</v>
      </c>
      <c r="M824" s="31">
        <f t="shared" si="60"/>
        <v>-715</v>
      </c>
      <c r="N824" s="32">
        <f t="shared" si="61"/>
        <v>-1</v>
      </c>
      <c r="O824" s="6" t="str">
        <f>IF(ABS(M824)&lt;Overview!$B$6,"OK",IF(I824=0,"REVIEW (zero base)",IF(ABS(M824/ABS(I824))&gt;=Overview!$B$5,"REVIEW","OK")))</f>
        <v>OK</v>
      </c>
      <c r="P824" s="31">
        <f t="shared" si="62"/>
        <v>0</v>
      </c>
      <c r="Q824" s="32" t="str">
        <f t="shared" si="63"/>
        <v>n/a</v>
      </c>
      <c r="R824" s="6" t="str">
        <f>IF(ABS(P824)&lt;Overview!$B$6,"OK",IF(J824=0,"REVIEW (zero base)",IF(ABS(P824/ABS(J824))&gt;=Overview!$B$5,"REVIEW","OK")))</f>
        <v>OK</v>
      </c>
      <c r="S824" s="33">
        <f t="shared" si="64"/>
        <v>715.00082399999997</v>
      </c>
    </row>
    <row r="825" spans="1:19" x14ac:dyDescent="0.2">
      <c r="A825" s="17">
        <v>823</v>
      </c>
      <c r="B825" s="17" t="s">
        <v>171</v>
      </c>
      <c r="C825" s="17" t="s">
        <v>338</v>
      </c>
      <c r="D825" s="17" t="s">
        <v>57</v>
      </c>
      <c r="E825" s="17" t="s">
        <v>126</v>
      </c>
      <c r="F825" s="17" t="s">
        <v>339</v>
      </c>
      <c r="G825" s="17" t="s">
        <v>394</v>
      </c>
      <c r="H825" s="30">
        <v>22090</v>
      </c>
      <c r="I825" s="30">
        <v>21486</v>
      </c>
      <c r="J825" s="30">
        <v>0</v>
      </c>
      <c r="K825" s="30">
        <v>0</v>
      </c>
      <c r="L825" s="30">
        <v>0</v>
      </c>
      <c r="M825" s="31">
        <f t="shared" si="60"/>
        <v>-21486</v>
      </c>
      <c r="N825" s="32">
        <f t="shared" si="61"/>
        <v>-1</v>
      </c>
      <c r="O825" s="6" t="str">
        <f>IF(ABS(M825)&lt;Overview!$B$6,"OK",IF(I825=0,"REVIEW (zero base)",IF(ABS(M825/ABS(I825))&gt;=Overview!$B$5,"REVIEW","OK")))</f>
        <v>OK</v>
      </c>
      <c r="P825" s="31">
        <f t="shared" si="62"/>
        <v>0</v>
      </c>
      <c r="Q825" s="32" t="str">
        <f t="shared" si="63"/>
        <v>n/a</v>
      </c>
      <c r="R825" s="6" t="str">
        <f>IF(ABS(P825)&lt;Overview!$B$6,"OK",IF(J825=0,"REVIEW (zero base)",IF(ABS(P825/ABS(J825))&gt;=Overview!$B$5,"REVIEW","OK")))</f>
        <v>OK</v>
      </c>
      <c r="S825" s="33">
        <f t="shared" si="64"/>
        <v>21486.000824999999</v>
      </c>
    </row>
    <row r="826" spans="1:19" x14ac:dyDescent="0.2">
      <c r="A826" s="17">
        <v>824</v>
      </c>
      <c r="B826" s="17" t="s">
        <v>171</v>
      </c>
      <c r="C826" s="17" t="s">
        <v>338</v>
      </c>
      <c r="D826" s="17" t="s">
        <v>57</v>
      </c>
      <c r="E826" s="17" t="s">
        <v>126</v>
      </c>
      <c r="F826" s="17" t="s">
        <v>339</v>
      </c>
      <c r="G826" s="17" t="s">
        <v>395</v>
      </c>
      <c r="H826" s="30">
        <v>9722</v>
      </c>
      <c r="I826" s="30">
        <v>9480</v>
      </c>
      <c r="J826" s="30">
        <v>8689</v>
      </c>
      <c r="K826" s="30">
        <v>5485</v>
      </c>
      <c r="L826" s="30">
        <v>5540</v>
      </c>
      <c r="M826" s="31">
        <f t="shared" si="60"/>
        <v>-791</v>
      </c>
      <c r="N826" s="32">
        <f t="shared" si="61"/>
        <v>-8.3438818565400849E-2</v>
      </c>
      <c r="O826" s="6" t="str">
        <f>IF(ABS(M826)&lt;Overview!$B$6,"OK",IF(I826=0,"REVIEW (zero base)",IF(ABS(M826/ABS(I826))&gt;=Overview!$B$5,"REVIEW","OK")))</f>
        <v>OK</v>
      </c>
      <c r="P826" s="31">
        <f t="shared" si="62"/>
        <v>-3204</v>
      </c>
      <c r="Q826" s="32">
        <f t="shared" si="63"/>
        <v>-0.36874208769708827</v>
      </c>
      <c r="R826" s="6" t="str">
        <f>IF(ABS(P826)&lt;Overview!$B$6,"OK",IF(J826=0,"REVIEW (zero base)",IF(ABS(P826/ABS(J826))&gt;=Overview!$B$5,"REVIEW","OK")))</f>
        <v>OK</v>
      </c>
      <c r="S826" s="33">
        <f t="shared" si="64"/>
        <v>791.00082599999996</v>
      </c>
    </row>
    <row r="827" spans="1:19" x14ac:dyDescent="0.2">
      <c r="A827" s="17">
        <v>825</v>
      </c>
      <c r="B827" s="17" t="s">
        <v>171</v>
      </c>
      <c r="C827" s="17" t="s">
        <v>338</v>
      </c>
      <c r="D827" s="17" t="s">
        <v>57</v>
      </c>
      <c r="E827" s="17" t="s">
        <v>126</v>
      </c>
      <c r="F827" s="17" t="s">
        <v>341</v>
      </c>
      <c r="G827" s="17" t="s">
        <v>342</v>
      </c>
      <c r="H827" s="30">
        <v>8502</v>
      </c>
      <c r="I827" s="30">
        <v>6946</v>
      </c>
      <c r="J827" s="30">
        <v>11004</v>
      </c>
      <c r="K827" s="30">
        <v>11004</v>
      </c>
      <c r="L827" s="30">
        <v>11004</v>
      </c>
      <c r="M827" s="31">
        <f t="shared" si="60"/>
        <v>4058</v>
      </c>
      <c r="N827" s="32">
        <f t="shared" si="61"/>
        <v>0.58422113446587964</v>
      </c>
      <c r="O827" s="6" t="str">
        <f>IF(ABS(M827)&lt;Overview!$B$6,"OK",IF(I827=0,"REVIEW (zero base)",IF(ABS(M827/ABS(I827))&gt;=Overview!$B$5,"REVIEW","OK")))</f>
        <v>OK</v>
      </c>
      <c r="P827" s="31">
        <f t="shared" si="62"/>
        <v>0</v>
      </c>
      <c r="Q827" s="32">
        <f t="shared" si="63"/>
        <v>0</v>
      </c>
      <c r="R827" s="6" t="str">
        <f>IF(ABS(P827)&lt;Overview!$B$6,"OK",IF(J827=0,"REVIEW (zero base)",IF(ABS(P827/ABS(J827))&gt;=Overview!$B$5,"REVIEW","OK")))</f>
        <v>OK</v>
      </c>
      <c r="S827" s="33">
        <f t="shared" si="64"/>
        <v>4058.0008269999998</v>
      </c>
    </row>
    <row r="828" spans="1:19" x14ac:dyDescent="0.2">
      <c r="A828" s="17">
        <v>826</v>
      </c>
      <c r="B828" s="17" t="s">
        <v>171</v>
      </c>
      <c r="C828" s="17" t="s">
        <v>338</v>
      </c>
      <c r="D828" s="17" t="s">
        <v>57</v>
      </c>
      <c r="E828" s="17" t="s">
        <v>126</v>
      </c>
      <c r="F828" s="17" t="s">
        <v>341</v>
      </c>
      <c r="G828" s="17" t="s">
        <v>375</v>
      </c>
      <c r="H828" s="30">
        <v>30373</v>
      </c>
      <c r="I828" s="30">
        <v>32231</v>
      </c>
      <c r="J828" s="30">
        <v>35750</v>
      </c>
      <c r="K828" s="30">
        <v>35750</v>
      </c>
      <c r="L828" s="30">
        <v>35750</v>
      </c>
      <c r="M828" s="31">
        <f t="shared" si="60"/>
        <v>3519</v>
      </c>
      <c r="N828" s="32">
        <f t="shared" si="61"/>
        <v>0.10918060252551891</v>
      </c>
      <c r="O828" s="6" t="str">
        <f>IF(ABS(M828)&lt;Overview!$B$6,"OK",IF(I828=0,"REVIEW (zero base)",IF(ABS(M828/ABS(I828))&gt;=Overview!$B$5,"REVIEW","OK")))</f>
        <v>OK</v>
      </c>
      <c r="P828" s="31">
        <f t="shared" si="62"/>
        <v>0</v>
      </c>
      <c r="Q828" s="32">
        <f t="shared" si="63"/>
        <v>0</v>
      </c>
      <c r="R828" s="6" t="str">
        <f>IF(ABS(P828)&lt;Overview!$B$6,"OK",IF(J828=0,"REVIEW (zero base)",IF(ABS(P828/ABS(J828))&gt;=Overview!$B$5,"REVIEW","OK")))</f>
        <v>OK</v>
      </c>
      <c r="S828" s="33">
        <f t="shared" si="64"/>
        <v>3519.0008280000002</v>
      </c>
    </row>
    <row r="829" spans="1:19" x14ac:dyDescent="0.2">
      <c r="A829" s="17">
        <v>827</v>
      </c>
      <c r="B829" s="17" t="s">
        <v>171</v>
      </c>
      <c r="C829" s="17" t="s">
        <v>338</v>
      </c>
      <c r="D829" s="17" t="s">
        <v>57</v>
      </c>
      <c r="E829" s="17" t="s">
        <v>126</v>
      </c>
      <c r="F829" s="17" t="s">
        <v>341</v>
      </c>
      <c r="G829" s="17" t="s">
        <v>376</v>
      </c>
      <c r="H829" s="30">
        <v>94787</v>
      </c>
      <c r="I829" s="30">
        <v>106200</v>
      </c>
      <c r="J829" s="30">
        <v>100232</v>
      </c>
      <c r="K829" s="30">
        <v>110664</v>
      </c>
      <c r="L829" s="30">
        <v>116452</v>
      </c>
      <c r="M829" s="31">
        <f t="shared" si="60"/>
        <v>-5968</v>
      </c>
      <c r="N829" s="32">
        <f t="shared" si="61"/>
        <v>-5.6195856873822975E-2</v>
      </c>
      <c r="O829" s="6" t="str">
        <f>IF(ABS(M829)&lt;Overview!$B$6,"OK",IF(I829=0,"REVIEW (zero base)",IF(ABS(M829/ABS(I829))&gt;=Overview!$B$5,"REVIEW","OK")))</f>
        <v>OK</v>
      </c>
      <c r="P829" s="31">
        <f t="shared" si="62"/>
        <v>10432</v>
      </c>
      <c r="Q829" s="32">
        <f t="shared" si="63"/>
        <v>0.10407853779232182</v>
      </c>
      <c r="R829" s="6" t="str">
        <f>IF(ABS(P829)&lt;Overview!$B$6,"OK",IF(J829=0,"REVIEW (zero base)",IF(ABS(P829/ABS(J829))&gt;=Overview!$B$5,"REVIEW","OK")))</f>
        <v>OK</v>
      </c>
      <c r="S829" s="33">
        <f t="shared" si="64"/>
        <v>5968.0008289999996</v>
      </c>
    </row>
    <row r="830" spans="1:19" x14ac:dyDescent="0.2">
      <c r="A830" s="17">
        <v>828</v>
      </c>
      <c r="B830" s="17" t="s">
        <v>171</v>
      </c>
      <c r="C830" s="17" t="s">
        <v>338</v>
      </c>
      <c r="D830" s="17" t="s">
        <v>57</v>
      </c>
      <c r="E830" s="17" t="s">
        <v>126</v>
      </c>
      <c r="F830" s="17" t="s">
        <v>341</v>
      </c>
      <c r="G830" s="17" t="s">
        <v>343</v>
      </c>
      <c r="H830" s="30">
        <v>28788</v>
      </c>
      <c r="I830" s="30">
        <v>30166</v>
      </c>
      <c r="J830" s="30">
        <v>33990</v>
      </c>
      <c r="K830" s="30">
        <v>34603</v>
      </c>
      <c r="L830" s="30">
        <v>34949</v>
      </c>
      <c r="M830" s="31">
        <f t="shared" si="60"/>
        <v>3824</v>
      </c>
      <c r="N830" s="32">
        <f t="shared" si="61"/>
        <v>0.1267652323808261</v>
      </c>
      <c r="O830" s="6" t="str">
        <f>IF(ABS(M830)&lt;Overview!$B$6,"OK",IF(I830=0,"REVIEW (zero base)",IF(ABS(M830/ABS(I830))&gt;=Overview!$B$5,"REVIEW","OK")))</f>
        <v>OK</v>
      </c>
      <c r="P830" s="31">
        <f t="shared" si="62"/>
        <v>613</v>
      </c>
      <c r="Q830" s="32">
        <f t="shared" si="63"/>
        <v>1.8034716092968521E-2</v>
      </c>
      <c r="R830" s="6" t="str">
        <f>IF(ABS(P830)&lt;Overview!$B$6,"OK",IF(J830=0,"REVIEW (zero base)",IF(ABS(P830/ABS(J830))&gt;=Overview!$B$5,"REVIEW","OK")))</f>
        <v>OK</v>
      </c>
      <c r="S830" s="33">
        <f t="shared" si="64"/>
        <v>3824.00083</v>
      </c>
    </row>
    <row r="831" spans="1:19" x14ac:dyDescent="0.2">
      <c r="A831" s="17">
        <v>829</v>
      </c>
      <c r="B831" s="17" t="s">
        <v>171</v>
      </c>
      <c r="C831" s="17" t="s">
        <v>338</v>
      </c>
      <c r="D831" s="17" t="s">
        <v>57</v>
      </c>
      <c r="E831" s="17" t="s">
        <v>126</v>
      </c>
      <c r="F831" s="17" t="s">
        <v>341</v>
      </c>
      <c r="G831" s="17" t="s">
        <v>378</v>
      </c>
      <c r="H831" s="30">
        <v>28133</v>
      </c>
      <c r="I831" s="30">
        <v>24327</v>
      </c>
      <c r="J831" s="30">
        <v>27028</v>
      </c>
      <c r="K831" s="30">
        <v>28600</v>
      </c>
      <c r="L831" s="30">
        <v>29867</v>
      </c>
      <c r="M831" s="31">
        <f t="shared" si="60"/>
        <v>2701</v>
      </c>
      <c r="N831" s="32">
        <f t="shared" si="61"/>
        <v>0.11102889793233855</v>
      </c>
      <c r="O831" s="6" t="str">
        <f>IF(ABS(M831)&lt;Overview!$B$6,"OK",IF(I831=0,"REVIEW (zero base)",IF(ABS(M831/ABS(I831))&gt;=Overview!$B$5,"REVIEW","OK")))</f>
        <v>OK</v>
      </c>
      <c r="P831" s="31">
        <f t="shared" si="62"/>
        <v>1572</v>
      </c>
      <c r="Q831" s="32">
        <f t="shared" si="63"/>
        <v>5.8161906171377828E-2</v>
      </c>
      <c r="R831" s="6" t="str">
        <f>IF(ABS(P831)&lt;Overview!$B$6,"OK",IF(J831=0,"REVIEW (zero base)",IF(ABS(P831/ABS(J831))&gt;=Overview!$B$5,"REVIEW","OK")))</f>
        <v>OK</v>
      </c>
      <c r="S831" s="33">
        <f t="shared" si="64"/>
        <v>2701.0008309999998</v>
      </c>
    </row>
    <row r="832" spans="1:19" x14ac:dyDescent="0.2">
      <c r="A832" s="17">
        <v>830</v>
      </c>
      <c r="B832" s="17" t="s">
        <v>171</v>
      </c>
      <c r="C832" s="17" t="s">
        <v>338</v>
      </c>
      <c r="D832" s="17" t="s">
        <v>57</v>
      </c>
      <c r="E832" s="17" t="s">
        <v>126</v>
      </c>
      <c r="F832" s="17" t="s">
        <v>341</v>
      </c>
      <c r="G832" s="17" t="s">
        <v>344</v>
      </c>
      <c r="H832" s="30">
        <v>101038</v>
      </c>
      <c r="I832" s="30">
        <v>89729</v>
      </c>
      <c r="J832" s="30">
        <v>120360</v>
      </c>
      <c r="K832" s="30">
        <v>131976</v>
      </c>
      <c r="L832" s="30">
        <v>134616</v>
      </c>
      <c r="M832" s="31">
        <f t="shared" si="60"/>
        <v>30631</v>
      </c>
      <c r="N832" s="32">
        <f t="shared" si="61"/>
        <v>0.34137235453420856</v>
      </c>
      <c r="O832" s="6" t="str">
        <f>IF(ABS(M832)&lt;Overview!$B$6,"OK",IF(I832=0,"REVIEW (zero base)",IF(ABS(M832/ABS(I832))&gt;=Overview!$B$5,"REVIEW","OK")))</f>
        <v>OK</v>
      </c>
      <c r="P832" s="31">
        <f t="shared" si="62"/>
        <v>11616</v>
      </c>
      <c r="Q832" s="32">
        <f t="shared" si="63"/>
        <v>9.6510468594217344E-2</v>
      </c>
      <c r="R832" s="6" t="str">
        <f>IF(ABS(P832)&lt;Overview!$B$6,"OK",IF(J832=0,"REVIEW (zero base)",IF(ABS(P832/ABS(J832))&gt;=Overview!$B$5,"REVIEW","OK")))</f>
        <v>OK</v>
      </c>
      <c r="S832" s="33">
        <f t="shared" si="64"/>
        <v>30631.000832000002</v>
      </c>
    </row>
    <row r="833" spans="1:19" x14ac:dyDescent="0.2">
      <c r="A833" s="17">
        <v>831</v>
      </c>
      <c r="B833" s="17" t="s">
        <v>171</v>
      </c>
      <c r="C833" s="17" t="s">
        <v>338</v>
      </c>
      <c r="D833" s="17" t="s">
        <v>67</v>
      </c>
      <c r="E833" s="17" t="s">
        <v>94</v>
      </c>
      <c r="F833" s="17" t="s">
        <v>339</v>
      </c>
      <c r="G833" s="17" t="s">
        <v>340</v>
      </c>
      <c r="H833" s="30">
        <v>829568</v>
      </c>
      <c r="I833" s="30">
        <v>1110723</v>
      </c>
      <c r="J833" s="30">
        <v>1288226</v>
      </c>
      <c r="K833" s="30">
        <v>1503120</v>
      </c>
      <c r="L833" s="30">
        <v>1518151</v>
      </c>
      <c r="M833" s="31">
        <f t="shared" si="60"/>
        <v>177503</v>
      </c>
      <c r="N833" s="32">
        <f t="shared" si="61"/>
        <v>0.15980852111642596</v>
      </c>
      <c r="O833" s="6" t="str">
        <f>IF(ABS(M833)&lt;Overview!$B$6,"OK",IF(I833=0,"REVIEW (zero base)",IF(ABS(M833/ABS(I833))&gt;=Overview!$B$5,"REVIEW","OK")))</f>
        <v>OK</v>
      </c>
      <c r="P833" s="31">
        <f t="shared" si="62"/>
        <v>214894</v>
      </c>
      <c r="Q833" s="32">
        <f t="shared" si="63"/>
        <v>0.16681389756145273</v>
      </c>
      <c r="R833" s="6" t="str">
        <f>IF(ABS(P833)&lt;Overview!$B$6,"OK",IF(J833=0,"REVIEW (zero base)",IF(ABS(P833/ABS(J833))&gt;=Overview!$B$5,"REVIEW","OK")))</f>
        <v>OK</v>
      </c>
      <c r="S833" s="33">
        <f t="shared" si="64"/>
        <v>177503.000833</v>
      </c>
    </row>
    <row r="834" spans="1:19" x14ac:dyDescent="0.2">
      <c r="A834" s="17">
        <v>832</v>
      </c>
      <c r="B834" s="17" t="s">
        <v>171</v>
      </c>
      <c r="C834" s="17" t="s">
        <v>338</v>
      </c>
      <c r="D834" s="17" t="s">
        <v>67</v>
      </c>
      <c r="E834" s="17" t="s">
        <v>94</v>
      </c>
      <c r="F834" s="17" t="s">
        <v>339</v>
      </c>
      <c r="G834" s="17" t="s">
        <v>390</v>
      </c>
      <c r="H834" s="30">
        <v>25655</v>
      </c>
      <c r="I834" s="30">
        <v>13415</v>
      </c>
      <c r="J834" s="30">
        <v>20000</v>
      </c>
      <c r="K834" s="30">
        <v>20000</v>
      </c>
      <c r="L834" s="30">
        <v>20000</v>
      </c>
      <c r="M834" s="31">
        <f t="shared" ref="M834:M897" si="65">J834-I834</f>
        <v>6585</v>
      </c>
      <c r="N834" s="32">
        <f t="shared" ref="N834:N897" si="66">IF(I834=0,"n/a",M834/ABS(I834))</f>
        <v>0.49086843086097653</v>
      </c>
      <c r="O834" s="6" t="str">
        <f>IF(ABS(M834)&lt;Overview!$B$6,"OK",IF(I834=0,"REVIEW (zero base)",IF(ABS(M834/ABS(I834))&gt;=Overview!$B$5,"REVIEW","OK")))</f>
        <v>OK</v>
      </c>
      <c r="P834" s="31">
        <f t="shared" ref="P834:P897" si="67">K834-J834</f>
        <v>0</v>
      </c>
      <c r="Q834" s="32">
        <f t="shared" ref="Q834:Q897" si="68">IF(J834=0,"n/a",P834/ABS(J834))</f>
        <v>0</v>
      </c>
      <c r="R834" s="6" t="str">
        <f>IF(ABS(P834)&lt;Overview!$B$6,"OK",IF(J834=0,"REVIEW (zero base)",IF(ABS(P834/ABS(J834))&gt;=Overview!$B$5,"REVIEW","OK")))</f>
        <v>OK</v>
      </c>
      <c r="S834" s="33">
        <f t="shared" ref="S834:S897" si="69">IF(C834="EXPENSES",ABS(M834)+ROW()/1000000,0)</f>
        <v>6585.0008340000004</v>
      </c>
    </row>
    <row r="835" spans="1:19" x14ac:dyDescent="0.2">
      <c r="A835" s="17">
        <v>833</v>
      </c>
      <c r="B835" s="17" t="s">
        <v>171</v>
      </c>
      <c r="C835" s="17" t="s">
        <v>338</v>
      </c>
      <c r="D835" s="17" t="s">
        <v>67</v>
      </c>
      <c r="E835" s="17" t="s">
        <v>94</v>
      </c>
      <c r="F835" s="17" t="s">
        <v>339</v>
      </c>
      <c r="G835" s="17" t="s">
        <v>391</v>
      </c>
      <c r="H835" s="30">
        <v>34875</v>
      </c>
      <c r="I835" s="30">
        <v>33756</v>
      </c>
      <c r="J835" s="30">
        <v>0</v>
      </c>
      <c r="K835" s="30">
        <v>0</v>
      </c>
      <c r="L835" s="30">
        <v>0</v>
      </c>
      <c r="M835" s="31">
        <f t="shared" si="65"/>
        <v>-33756</v>
      </c>
      <c r="N835" s="32">
        <f t="shared" si="66"/>
        <v>-1</v>
      </c>
      <c r="O835" s="6" t="str">
        <f>IF(ABS(M835)&lt;Overview!$B$6,"OK",IF(I835=0,"REVIEW (zero base)",IF(ABS(M835/ABS(I835))&gt;=Overview!$B$5,"REVIEW","OK")))</f>
        <v>OK</v>
      </c>
      <c r="P835" s="31">
        <f t="shared" si="67"/>
        <v>0</v>
      </c>
      <c r="Q835" s="32" t="str">
        <f t="shared" si="68"/>
        <v>n/a</v>
      </c>
      <c r="R835" s="6" t="str">
        <f>IF(ABS(P835)&lt;Overview!$B$6,"OK",IF(J835=0,"REVIEW (zero base)",IF(ABS(P835/ABS(J835))&gt;=Overview!$B$5,"REVIEW","OK")))</f>
        <v>OK</v>
      </c>
      <c r="S835" s="33">
        <f t="shared" si="69"/>
        <v>33756.000834999999</v>
      </c>
    </row>
    <row r="836" spans="1:19" x14ac:dyDescent="0.2">
      <c r="A836" s="17">
        <v>834</v>
      </c>
      <c r="B836" s="17" t="s">
        <v>171</v>
      </c>
      <c r="C836" s="17" t="s">
        <v>338</v>
      </c>
      <c r="D836" s="17" t="s">
        <v>67</v>
      </c>
      <c r="E836" s="17" t="s">
        <v>94</v>
      </c>
      <c r="F836" s="17" t="s">
        <v>339</v>
      </c>
      <c r="G836" s="17" t="s">
        <v>392</v>
      </c>
      <c r="H836" s="30">
        <v>71211</v>
      </c>
      <c r="I836" s="30">
        <v>35260</v>
      </c>
      <c r="J836" s="30">
        <v>0</v>
      </c>
      <c r="K836" s="30">
        <v>0</v>
      </c>
      <c r="L836" s="30">
        <v>0</v>
      </c>
      <c r="M836" s="31">
        <f t="shared" si="65"/>
        <v>-35260</v>
      </c>
      <c r="N836" s="32">
        <f t="shared" si="66"/>
        <v>-1</v>
      </c>
      <c r="O836" s="6" t="str">
        <f>IF(ABS(M836)&lt;Overview!$B$6,"OK",IF(I836=0,"REVIEW (zero base)",IF(ABS(M836/ABS(I836))&gt;=Overview!$B$5,"REVIEW","OK")))</f>
        <v>OK</v>
      </c>
      <c r="P836" s="31">
        <f t="shared" si="67"/>
        <v>0</v>
      </c>
      <c r="Q836" s="32" t="str">
        <f t="shared" si="68"/>
        <v>n/a</v>
      </c>
      <c r="R836" s="6" t="str">
        <f>IF(ABS(P836)&lt;Overview!$B$6,"OK",IF(J836=0,"REVIEW (zero base)",IF(ABS(P836/ABS(J836))&gt;=Overview!$B$5,"REVIEW","OK")))</f>
        <v>OK</v>
      </c>
      <c r="S836" s="33">
        <f t="shared" si="69"/>
        <v>35260.000835999999</v>
      </c>
    </row>
    <row r="837" spans="1:19" x14ac:dyDescent="0.2">
      <c r="A837" s="17">
        <v>835</v>
      </c>
      <c r="B837" s="17" t="s">
        <v>171</v>
      </c>
      <c r="C837" s="17" t="s">
        <v>338</v>
      </c>
      <c r="D837" s="17" t="s">
        <v>67</v>
      </c>
      <c r="E837" s="17" t="s">
        <v>94</v>
      </c>
      <c r="F837" s="17" t="s">
        <v>339</v>
      </c>
      <c r="G837" s="17" t="s">
        <v>394</v>
      </c>
      <c r="H837" s="30">
        <v>65477</v>
      </c>
      <c r="I837" s="30">
        <v>73516</v>
      </c>
      <c r="J837" s="30">
        <v>0</v>
      </c>
      <c r="K837" s="30">
        <v>0</v>
      </c>
      <c r="L837" s="30">
        <v>0</v>
      </c>
      <c r="M837" s="31">
        <f t="shared" si="65"/>
        <v>-73516</v>
      </c>
      <c r="N837" s="32">
        <f t="shared" si="66"/>
        <v>-1</v>
      </c>
      <c r="O837" s="6" t="str">
        <f>IF(ABS(M837)&lt;Overview!$B$6,"OK",IF(I837=0,"REVIEW (zero base)",IF(ABS(M837/ABS(I837))&gt;=Overview!$B$5,"REVIEW","OK")))</f>
        <v>OK</v>
      </c>
      <c r="P837" s="31">
        <f t="shared" si="67"/>
        <v>0</v>
      </c>
      <c r="Q837" s="32" t="str">
        <f t="shared" si="68"/>
        <v>n/a</v>
      </c>
      <c r="R837" s="6" t="str">
        <f>IF(ABS(P837)&lt;Overview!$B$6,"OK",IF(J837=0,"REVIEW (zero base)",IF(ABS(P837/ABS(J837))&gt;=Overview!$B$5,"REVIEW","OK")))</f>
        <v>OK</v>
      </c>
      <c r="S837" s="33">
        <f t="shared" si="69"/>
        <v>73516.000837</v>
      </c>
    </row>
    <row r="838" spans="1:19" x14ac:dyDescent="0.2">
      <c r="A838" s="17">
        <v>836</v>
      </c>
      <c r="B838" s="17" t="s">
        <v>171</v>
      </c>
      <c r="C838" s="17" t="s">
        <v>338</v>
      </c>
      <c r="D838" s="17" t="s">
        <v>67</v>
      </c>
      <c r="E838" s="17" t="s">
        <v>94</v>
      </c>
      <c r="F838" s="17" t="s">
        <v>339</v>
      </c>
      <c r="G838" s="17" t="s">
        <v>395</v>
      </c>
      <c r="H838" s="30">
        <v>38674</v>
      </c>
      <c r="I838" s="30">
        <v>28953</v>
      </c>
      <c r="J838" s="30">
        <v>27658</v>
      </c>
      <c r="K838" s="30">
        <v>28488</v>
      </c>
      <c r="L838" s="30">
        <v>28773</v>
      </c>
      <c r="M838" s="31">
        <f t="shared" si="65"/>
        <v>-1295</v>
      </c>
      <c r="N838" s="32">
        <f t="shared" si="66"/>
        <v>-4.4727662073014887E-2</v>
      </c>
      <c r="O838" s="6" t="str">
        <f>IF(ABS(M838)&lt;Overview!$B$6,"OK",IF(I838=0,"REVIEW (zero base)",IF(ABS(M838/ABS(I838))&gt;=Overview!$B$5,"REVIEW","OK")))</f>
        <v>OK</v>
      </c>
      <c r="P838" s="31">
        <f t="shared" si="67"/>
        <v>830</v>
      </c>
      <c r="Q838" s="32">
        <f t="shared" si="68"/>
        <v>3.0009400535107384E-2</v>
      </c>
      <c r="R838" s="6" t="str">
        <f>IF(ABS(P838)&lt;Overview!$B$6,"OK",IF(J838=0,"REVIEW (zero base)",IF(ABS(P838/ABS(J838))&gt;=Overview!$B$5,"REVIEW","OK")))</f>
        <v>OK</v>
      </c>
      <c r="S838" s="33">
        <f t="shared" si="69"/>
        <v>1295.0008379999999</v>
      </c>
    </row>
    <row r="839" spans="1:19" x14ac:dyDescent="0.2">
      <c r="A839" s="17">
        <v>837</v>
      </c>
      <c r="B839" s="17" t="s">
        <v>171</v>
      </c>
      <c r="C839" s="17" t="s">
        <v>338</v>
      </c>
      <c r="D839" s="17" t="s">
        <v>67</v>
      </c>
      <c r="E839" s="17" t="s">
        <v>94</v>
      </c>
      <c r="F839" s="17" t="s">
        <v>341</v>
      </c>
      <c r="G839" s="17" t="s">
        <v>342</v>
      </c>
      <c r="H839" s="30">
        <v>15340</v>
      </c>
      <c r="I839" s="30">
        <v>15558</v>
      </c>
      <c r="J839" s="30">
        <v>16524</v>
      </c>
      <c r="K839" s="30">
        <v>16524</v>
      </c>
      <c r="L839" s="30">
        <v>16524</v>
      </c>
      <c r="M839" s="31">
        <f t="shared" si="65"/>
        <v>966</v>
      </c>
      <c r="N839" s="32">
        <f t="shared" si="66"/>
        <v>6.2090242961820287E-2</v>
      </c>
      <c r="O839" s="6" t="str">
        <f>IF(ABS(M839)&lt;Overview!$B$6,"OK",IF(I839=0,"REVIEW (zero base)",IF(ABS(M839/ABS(I839))&gt;=Overview!$B$5,"REVIEW","OK")))</f>
        <v>OK</v>
      </c>
      <c r="P839" s="31">
        <f t="shared" si="67"/>
        <v>0</v>
      </c>
      <c r="Q839" s="32">
        <f t="shared" si="68"/>
        <v>0</v>
      </c>
      <c r="R839" s="6" t="str">
        <f>IF(ABS(P839)&lt;Overview!$B$6,"OK",IF(J839=0,"REVIEW (zero base)",IF(ABS(P839/ABS(J839))&gt;=Overview!$B$5,"REVIEW","OK")))</f>
        <v>OK</v>
      </c>
      <c r="S839" s="33">
        <f t="shared" si="69"/>
        <v>966.00083900000004</v>
      </c>
    </row>
    <row r="840" spans="1:19" x14ac:dyDescent="0.2">
      <c r="A840" s="17">
        <v>838</v>
      </c>
      <c r="B840" s="17" t="s">
        <v>171</v>
      </c>
      <c r="C840" s="17" t="s">
        <v>338</v>
      </c>
      <c r="D840" s="17" t="s">
        <v>67</v>
      </c>
      <c r="E840" s="17" t="s">
        <v>94</v>
      </c>
      <c r="F840" s="17" t="s">
        <v>341</v>
      </c>
      <c r="G840" s="17" t="s">
        <v>406</v>
      </c>
      <c r="H840" s="30">
        <v>750</v>
      </c>
      <c r="I840" s="30">
        <v>0</v>
      </c>
      <c r="J840" s="30">
        <v>0</v>
      </c>
      <c r="K840" s="30">
        <v>0</v>
      </c>
      <c r="L840" s="30">
        <v>0</v>
      </c>
      <c r="M840" s="31">
        <f t="shared" si="65"/>
        <v>0</v>
      </c>
      <c r="N840" s="32" t="str">
        <f t="shared" si="66"/>
        <v>n/a</v>
      </c>
      <c r="O840" s="6" t="str">
        <f>IF(ABS(M840)&lt;Overview!$B$6,"OK",IF(I840=0,"REVIEW (zero base)",IF(ABS(M840/ABS(I840))&gt;=Overview!$B$5,"REVIEW","OK")))</f>
        <v>OK</v>
      </c>
      <c r="P840" s="31">
        <f t="shared" si="67"/>
        <v>0</v>
      </c>
      <c r="Q840" s="32" t="str">
        <f t="shared" si="68"/>
        <v>n/a</v>
      </c>
      <c r="R840" s="6" t="str">
        <f>IF(ABS(P840)&lt;Overview!$B$6,"OK",IF(J840=0,"REVIEW (zero base)",IF(ABS(P840/ABS(J840))&gt;=Overview!$B$5,"REVIEW","OK")))</f>
        <v>OK</v>
      </c>
      <c r="S840" s="33">
        <f t="shared" si="69"/>
        <v>8.4000000000000003E-4</v>
      </c>
    </row>
    <row r="841" spans="1:19" x14ac:dyDescent="0.2">
      <c r="A841" s="17">
        <v>839</v>
      </c>
      <c r="B841" s="17" t="s">
        <v>171</v>
      </c>
      <c r="C841" s="17" t="s">
        <v>338</v>
      </c>
      <c r="D841" s="17" t="s">
        <v>67</v>
      </c>
      <c r="E841" s="17" t="s">
        <v>94</v>
      </c>
      <c r="F841" s="17" t="s">
        <v>341</v>
      </c>
      <c r="G841" s="17" t="s">
        <v>375</v>
      </c>
      <c r="H841" s="30">
        <v>24289</v>
      </c>
      <c r="I841" s="30">
        <v>14297</v>
      </c>
      <c r="J841" s="30">
        <v>14300</v>
      </c>
      <c r="K841" s="30">
        <v>14300</v>
      </c>
      <c r="L841" s="30">
        <v>14300</v>
      </c>
      <c r="M841" s="31">
        <f t="shared" si="65"/>
        <v>3</v>
      </c>
      <c r="N841" s="32">
        <f t="shared" si="66"/>
        <v>2.0983423095754353E-4</v>
      </c>
      <c r="O841" s="6" t="str">
        <f>IF(ABS(M841)&lt;Overview!$B$6,"OK",IF(I841=0,"REVIEW (zero base)",IF(ABS(M841/ABS(I841))&gt;=Overview!$B$5,"REVIEW","OK")))</f>
        <v>OK</v>
      </c>
      <c r="P841" s="31">
        <f t="shared" si="67"/>
        <v>0</v>
      </c>
      <c r="Q841" s="32">
        <f t="shared" si="68"/>
        <v>0</v>
      </c>
      <c r="R841" s="6" t="str">
        <f>IF(ABS(P841)&lt;Overview!$B$6,"OK",IF(J841=0,"REVIEW (zero base)",IF(ABS(P841/ABS(J841))&gt;=Overview!$B$5,"REVIEW","OK")))</f>
        <v>OK</v>
      </c>
      <c r="S841" s="33">
        <f t="shared" si="69"/>
        <v>3.0008409999999999</v>
      </c>
    </row>
    <row r="842" spans="1:19" x14ac:dyDescent="0.2">
      <c r="A842" s="17">
        <v>840</v>
      </c>
      <c r="B842" s="17" t="s">
        <v>171</v>
      </c>
      <c r="C842" s="17" t="s">
        <v>338</v>
      </c>
      <c r="D842" s="17" t="s">
        <v>67</v>
      </c>
      <c r="E842" s="17" t="s">
        <v>94</v>
      </c>
      <c r="F842" s="17" t="s">
        <v>341</v>
      </c>
      <c r="G842" s="17" t="s">
        <v>376</v>
      </c>
      <c r="H842" s="30">
        <v>277032</v>
      </c>
      <c r="I842" s="30">
        <v>371329</v>
      </c>
      <c r="J842" s="30">
        <v>398990</v>
      </c>
      <c r="K842" s="30">
        <v>386916</v>
      </c>
      <c r="L842" s="30">
        <v>407152</v>
      </c>
      <c r="M842" s="31">
        <f t="shared" si="65"/>
        <v>27661</v>
      </c>
      <c r="N842" s="32">
        <f t="shared" si="66"/>
        <v>7.4491892634294649E-2</v>
      </c>
      <c r="O842" s="6" t="str">
        <f>IF(ABS(M842)&lt;Overview!$B$6,"OK",IF(I842=0,"REVIEW (zero base)",IF(ABS(M842/ABS(I842))&gt;=Overview!$B$5,"REVIEW","OK")))</f>
        <v>OK</v>
      </c>
      <c r="P842" s="31">
        <f t="shared" si="67"/>
        <v>-12074</v>
      </c>
      <c r="Q842" s="32">
        <f t="shared" si="68"/>
        <v>-3.0261410060402515E-2</v>
      </c>
      <c r="R842" s="6" t="str">
        <f>IF(ABS(P842)&lt;Overview!$B$6,"OK",IF(J842=0,"REVIEW (zero base)",IF(ABS(P842/ABS(J842))&gt;=Overview!$B$5,"REVIEW","OK")))</f>
        <v>OK</v>
      </c>
      <c r="S842" s="33">
        <f t="shared" si="69"/>
        <v>27661.000842000001</v>
      </c>
    </row>
    <row r="843" spans="1:19" x14ac:dyDescent="0.2">
      <c r="A843" s="17">
        <v>841</v>
      </c>
      <c r="B843" s="17" t="s">
        <v>171</v>
      </c>
      <c r="C843" s="17" t="s">
        <v>338</v>
      </c>
      <c r="D843" s="17" t="s">
        <v>67</v>
      </c>
      <c r="E843" s="17" t="s">
        <v>94</v>
      </c>
      <c r="F843" s="17" t="s">
        <v>341</v>
      </c>
      <c r="G843" s="17" t="s">
        <v>343</v>
      </c>
      <c r="H843" s="30">
        <v>78416</v>
      </c>
      <c r="I843" s="30">
        <v>94726</v>
      </c>
      <c r="J843" s="30">
        <v>114713</v>
      </c>
      <c r="K843" s="30">
        <v>125424</v>
      </c>
      <c r="L843" s="30">
        <v>126678</v>
      </c>
      <c r="M843" s="31">
        <f t="shared" si="65"/>
        <v>19987</v>
      </c>
      <c r="N843" s="32">
        <f t="shared" si="66"/>
        <v>0.21099803644194837</v>
      </c>
      <c r="O843" s="6" t="str">
        <f>IF(ABS(M843)&lt;Overview!$B$6,"OK",IF(I843=0,"REVIEW (zero base)",IF(ABS(M843/ABS(I843))&gt;=Overview!$B$5,"REVIEW","OK")))</f>
        <v>OK</v>
      </c>
      <c r="P843" s="31">
        <f t="shared" si="67"/>
        <v>10711</v>
      </c>
      <c r="Q843" s="32">
        <f t="shared" si="68"/>
        <v>9.3372154856032008E-2</v>
      </c>
      <c r="R843" s="6" t="str">
        <f>IF(ABS(P843)&lt;Overview!$B$6,"OK",IF(J843=0,"REVIEW (zero base)",IF(ABS(P843/ABS(J843))&gt;=Overview!$B$5,"REVIEW","OK")))</f>
        <v>OK</v>
      </c>
      <c r="S843" s="33">
        <f t="shared" si="69"/>
        <v>19987.000843000002</v>
      </c>
    </row>
    <row r="844" spans="1:19" x14ac:dyDescent="0.2">
      <c r="A844" s="17">
        <v>842</v>
      </c>
      <c r="B844" s="17" t="s">
        <v>171</v>
      </c>
      <c r="C844" s="17" t="s">
        <v>338</v>
      </c>
      <c r="D844" s="17" t="s">
        <v>67</v>
      </c>
      <c r="E844" s="17" t="s">
        <v>94</v>
      </c>
      <c r="F844" s="17" t="s">
        <v>341</v>
      </c>
      <c r="G844" s="17" t="s">
        <v>378</v>
      </c>
      <c r="H844" s="30">
        <v>19987</v>
      </c>
      <c r="I844" s="30">
        <v>10791</v>
      </c>
      <c r="J844" s="30">
        <v>10814</v>
      </c>
      <c r="K844" s="30">
        <v>11440</v>
      </c>
      <c r="L844" s="30">
        <v>11947</v>
      </c>
      <c r="M844" s="31">
        <f t="shared" si="65"/>
        <v>23</v>
      </c>
      <c r="N844" s="32">
        <f t="shared" si="66"/>
        <v>2.1314058011305719E-3</v>
      </c>
      <c r="O844" s="6" t="str">
        <f>IF(ABS(M844)&lt;Overview!$B$6,"OK",IF(I844=0,"REVIEW (zero base)",IF(ABS(M844/ABS(I844))&gt;=Overview!$B$5,"REVIEW","OK")))</f>
        <v>OK</v>
      </c>
      <c r="P844" s="31">
        <f t="shared" si="67"/>
        <v>626</v>
      </c>
      <c r="Q844" s="32">
        <f t="shared" si="68"/>
        <v>5.7887923062696502E-2</v>
      </c>
      <c r="R844" s="6" t="str">
        <f>IF(ABS(P844)&lt;Overview!$B$6,"OK",IF(J844=0,"REVIEW (zero base)",IF(ABS(P844/ABS(J844))&gt;=Overview!$B$5,"REVIEW","OK")))</f>
        <v>OK</v>
      </c>
      <c r="S844" s="33">
        <f t="shared" si="69"/>
        <v>23.000844000000001</v>
      </c>
    </row>
    <row r="845" spans="1:19" x14ac:dyDescent="0.2">
      <c r="A845" s="17">
        <v>843</v>
      </c>
      <c r="B845" s="17" t="s">
        <v>171</v>
      </c>
      <c r="C845" s="17" t="s">
        <v>338</v>
      </c>
      <c r="D845" s="17" t="s">
        <v>67</v>
      </c>
      <c r="E845" s="17" t="s">
        <v>94</v>
      </c>
      <c r="F845" s="17" t="s">
        <v>341</v>
      </c>
      <c r="G845" s="17" t="s">
        <v>344</v>
      </c>
      <c r="H845" s="30">
        <v>214164</v>
      </c>
      <c r="I845" s="30">
        <v>243987</v>
      </c>
      <c r="J845" s="30">
        <v>294253</v>
      </c>
      <c r="K845" s="30">
        <v>358848</v>
      </c>
      <c r="L845" s="30">
        <v>366025</v>
      </c>
      <c r="M845" s="31">
        <f t="shared" si="65"/>
        <v>50266</v>
      </c>
      <c r="N845" s="32">
        <f t="shared" si="66"/>
        <v>0.20601917315266796</v>
      </c>
      <c r="O845" s="6" t="str">
        <f>IF(ABS(M845)&lt;Overview!$B$6,"OK",IF(I845=0,"REVIEW (zero base)",IF(ABS(M845/ABS(I845))&gt;=Overview!$B$5,"REVIEW","OK")))</f>
        <v>OK</v>
      </c>
      <c r="P845" s="31">
        <f t="shared" si="67"/>
        <v>64595</v>
      </c>
      <c r="Q845" s="32">
        <f t="shared" si="68"/>
        <v>0.21952197598665094</v>
      </c>
      <c r="R845" s="6" t="str">
        <f>IF(ABS(P845)&lt;Overview!$B$6,"OK",IF(J845=0,"REVIEW (zero base)",IF(ABS(P845/ABS(J845))&gt;=Overview!$B$5,"REVIEW","OK")))</f>
        <v>OK</v>
      </c>
      <c r="S845" s="33">
        <f t="shared" si="69"/>
        <v>50266.000845000002</v>
      </c>
    </row>
    <row r="846" spans="1:19" x14ac:dyDescent="0.2">
      <c r="A846" s="17">
        <v>844</v>
      </c>
      <c r="B846" s="17" t="s">
        <v>171</v>
      </c>
      <c r="C846" s="17" t="s">
        <v>338</v>
      </c>
      <c r="D846" s="17" t="s">
        <v>67</v>
      </c>
      <c r="E846" s="17" t="s">
        <v>94</v>
      </c>
      <c r="F846" s="17" t="s">
        <v>440</v>
      </c>
      <c r="G846" s="17" t="s">
        <v>433</v>
      </c>
      <c r="H846" s="30">
        <v>0</v>
      </c>
      <c r="I846" s="30">
        <v>8043</v>
      </c>
      <c r="J846" s="30">
        <v>0</v>
      </c>
      <c r="K846" s="30">
        <v>0</v>
      </c>
      <c r="L846" s="30">
        <v>0</v>
      </c>
      <c r="M846" s="31">
        <f t="shared" si="65"/>
        <v>-8043</v>
      </c>
      <c r="N846" s="32">
        <f t="shared" si="66"/>
        <v>-1</v>
      </c>
      <c r="O846" s="6" t="str">
        <f>IF(ABS(M846)&lt;Overview!$B$6,"OK",IF(I846=0,"REVIEW (zero base)",IF(ABS(M846/ABS(I846))&gt;=Overview!$B$5,"REVIEW","OK")))</f>
        <v>OK</v>
      </c>
      <c r="P846" s="31">
        <f t="shared" si="67"/>
        <v>0</v>
      </c>
      <c r="Q846" s="32" t="str">
        <f t="shared" si="68"/>
        <v>n/a</v>
      </c>
      <c r="R846" s="6" t="str">
        <f>IF(ABS(P846)&lt;Overview!$B$6,"OK",IF(J846=0,"REVIEW (zero base)",IF(ABS(P846/ABS(J846))&gt;=Overview!$B$5,"REVIEW","OK")))</f>
        <v>OK</v>
      </c>
      <c r="S846" s="33">
        <f t="shared" si="69"/>
        <v>8043.0008459999999</v>
      </c>
    </row>
    <row r="847" spans="1:19" x14ac:dyDescent="0.2">
      <c r="A847" s="17">
        <v>845</v>
      </c>
      <c r="B847" s="17" t="s">
        <v>171</v>
      </c>
      <c r="C847" s="17" t="s">
        <v>338</v>
      </c>
      <c r="D847" s="17" t="s">
        <v>67</v>
      </c>
      <c r="E847" s="17" t="s">
        <v>94</v>
      </c>
      <c r="F847" s="17" t="s">
        <v>364</v>
      </c>
      <c r="G847" s="17" t="s">
        <v>383</v>
      </c>
      <c r="H847" s="30">
        <v>138</v>
      </c>
      <c r="I847" s="30">
        <v>12</v>
      </c>
      <c r="J847" s="30">
        <v>0</v>
      </c>
      <c r="K847" s="30">
        <v>0</v>
      </c>
      <c r="L847" s="30">
        <v>0</v>
      </c>
      <c r="M847" s="31">
        <f t="shared" si="65"/>
        <v>-12</v>
      </c>
      <c r="N847" s="32">
        <f t="shared" si="66"/>
        <v>-1</v>
      </c>
      <c r="O847" s="6" t="str">
        <f>IF(ABS(M847)&lt;Overview!$B$6,"OK",IF(I847=0,"REVIEW (zero base)",IF(ABS(M847/ABS(I847))&gt;=Overview!$B$5,"REVIEW","OK")))</f>
        <v>OK</v>
      </c>
      <c r="P847" s="31">
        <f t="shared" si="67"/>
        <v>0</v>
      </c>
      <c r="Q847" s="32" t="str">
        <f t="shared" si="68"/>
        <v>n/a</v>
      </c>
      <c r="R847" s="6" t="str">
        <f>IF(ABS(P847)&lt;Overview!$B$6,"OK",IF(J847=0,"REVIEW (zero base)",IF(ABS(P847/ABS(J847))&gt;=Overview!$B$5,"REVIEW","OK")))</f>
        <v>OK</v>
      </c>
      <c r="S847" s="33">
        <f t="shared" si="69"/>
        <v>12.000847</v>
      </c>
    </row>
    <row r="848" spans="1:19" x14ac:dyDescent="0.2">
      <c r="A848" s="17">
        <v>846</v>
      </c>
      <c r="B848" s="17" t="s">
        <v>171</v>
      </c>
      <c r="C848" s="17" t="s">
        <v>338</v>
      </c>
      <c r="D848" s="17" t="s">
        <v>67</v>
      </c>
      <c r="E848" s="17" t="s">
        <v>94</v>
      </c>
      <c r="F848" s="17" t="s">
        <v>364</v>
      </c>
      <c r="G848" s="17" t="s">
        <v>474</v>
      </c>
      <c r="H848" s="30">
        <v>58</v>
      </c>
      <c r="I848" s="30">
        <v>11999</v>
      </c>
      <c r="J848" s="30">
        <v>12000</v>
      </c>
      <c r="K848" s="30">
        <v>12000</v>
      </c>
      <c r="L848" s="30">
        <v>12000</v>
      </c>
      <c r="M848" s="31">
        <f t="shared" si="65"/>
        <v>1</v>
      </c>
      <c r="N848" s="32">
        <f t="shared" si="66"/>
        <v>8.3340278356529705E-5</v>
      </c>
      <c r="O848" s="6" t="str">
        <f>IF(ABS(M848)&lt;Overview!$B$6,"OK",IF(I848=0,"REVIEW (zero base)",IF(ABS(M848/ABS(I848))&gt;=Overview!$B$5,"REVIEW","OK")))</f>
        <v>OK</v>
      </c>
      <c r="P848" s="31">
        <f t="shared" si="67"/>
        <v>0</v>
      </c>
      <c r="Q848" s="32">
        <f t="shared" si="68"/>
        <v>0</v>
      </c>
      <c r="R848" s="6" t="str">
        <f>IF(ABS(P848)&lt;Overview!$B$6,"OK",IF(J848=0,"REVIEW (zero base)",IF(ABS(P848/ABS(J848))&gt;=Overview!$B$5,"REVIEW","OK")))</f>
        <v>OK</v>
      </c>
      <c r="S848" s="33">
        <f t="shared" si="69"/>
        <v>1.000848</v>
      </c>
    </row>
    <row r="849" spans="1:19" x14ac:dyDescent="0.2">
      <c r="A849" s="17">
        <v>847</v>
      </c>
      <c r="B849" s="17" t="s">
        <v>171</v>
      </c>
      <c r="C849" s="17" t="s">
        <v>338</v>
      </c>
      <c r="D849" s="17" t="s">
        <v>67</v>
      </c>
      <c r="E849" s="17" t="s">
        <v>94</v>
      </c>
      <c r="F849" s="17" t="s">
        <v>364</v>
      </c>
      <c r="G849" s="17" t="s">
        <v>429</v>
      </c>
      <c r="H849" s="30">
        <v>122837</v>
      </c>
      <c r="I849" s="30">
        <v>64354</v>
      </c>
      <c r="J849" s="30">
        <v>96000</v>
      </c>
      <c r="K849" s="30">
        <v>96000</v>
      </c>
      <c r="L849" s="30">
        <v>96000</v>
      </c>
      <c r="M849" s="31">
        <f t="shared" si="65"/>
        <v>31646</v>
      </c>
      <c r="N849" s="32">
        <f t="shared" si="66"/>
        <v>0.49174876464555428</v>
      </c>
      <c r="O849" s="6" t="str">
        <f>IF(ABS(M849)&lt;Overview!$B$6,"OK",IF(I849=0,"REVIEW (zero base)",IF(ABS(M849/ABS(I849))&gt;=Overview!$B$5,"REVIEW","OK")))</f>
        <v>OK</v>
      </c>
      <c r="P849" s="31">
        <f t="shared" si="67"/>
        <v>0</v>
      </c>
      <c r="Q849" s="32">
        <f t="shared" si="68"/>
        <v>0</v>
      </c>
      <c r="R849" s="6" t="str">
        <f>IF(ABS(P849)&lt;Overview!$B$6,"OK",IF(J849=0,"REVIEW (zero base)",IF(ABS(P849/ABS(J849))&gt;=Overview!$B$5,"REVIEW","OK")))</f>
        <v>OK</v>
      </c>
      <c r="S849" s="33">
        <f t="shared" si="69"/>
        <v>31646.000849</v>
      </c>
    </row>
    <row r="850" spans="1:19" x14ac:dyDescent="0.2">
      <c r="A850" s="17">
        <v>848</v>
      </c>
      <c r="B850" s="17" t="s">
        <v>171</v>
      </c>
      <c r="C850" s="17" t="s">
        <v>338</v>
      </c>
      <c r="D850" s="17" t="s">
        <v>67</v>
      </c>
      <c r="E850" s="17" t="s">
        <v>94</v>
      </c>
      <c r="F850" s="17" t="s">
        <v>402</v>
      </c>
      <c r="G850" s="17" t="s">
        <v>403</v>
      </c>
      <c r="H850" s="30">
        <v>17619</v>
      </c>
      <c r="I850" s="30">
        <v>25889</v>
      </c>
      <c r="J850" s="30">
        <v>25000</v>
      </c>
      <c r="K850" s="30">
        <v>50000</v>
      </c>
      <c r="L850" s="30">
        <v>50350</v>
      </c>
      <c r="M850" s="31">
        <f t="shared" si="65"/>
        <v>-889</v>
      </c>
      <c r="N850" s="32">
        <f t="shared" si="66"/>
        <v>-3.4338908416702077E-2</v>
      </c>
      <c r="O850" s="6" t="str">
        <f>IF(ABS(M850)&lt;Overview!$B$6,"OK",IF(I850=0,"REVIEW (zero base)",IF(ABS(M850/ABS(I850))&gt;=Overview!$B$5,"REVIEW","OK")))</f>
        <v>OK</v>
      </c>
      <c r="P850" s="31">
        <f t="shared" si="67"/>
        <v>25000</v>
      </c>
      <c r="Q850" s="32">
        <f t="shared" si="68"/>
        <v>1</v>
      </c>
      <c r="R850" s="6" t="str">
        <f>IF(ABS(P850)&lt;Overview!$B$6,"OK",IF(J850=0,"REVIEW (zero base)",IF(ABS(P850/ABS(J850))&gt;=Overview!$B$5,"REVIEW","OK")))</f>
        <v>OK</v>
      </c>
      <c r="S850" s="33">
        <f t="shared" si="69"/>
        <v>889.00085000000001</v>
      </c>
    </row>
    <row r="851" spans="1:19" x14ac:dyDescent="0.2">
      <c r="A851" s="17">
        <v>849</v>
      </c>
      <c r="B851" s="17" t="s">
        <v>171</v>
      </c>
      <c r="C851" s="17" t="s">
        <v>338</v>
      </c>
      <c r="D851" s="17" t="s">
        <v>67</v>
      </c>
      <c r="E851" s="17" t="s">
        <v>94</v>
      </c>
      <c r="F851" s="17" t="s">
        <v>347</v>
      </c>
      <c r="G851" s="17" t="s">
        <v>348</v>
      </c>
      <c r="H851" s="30">
        <v>23984</v>
      </c>
      <c r="I851" s="30">
        <v>17894</v>
      </c>
      <c r="J851" s="30">
        <v>20000</v>
      </c>
      <c r="K851" s="30">
        <v>20000</v>
      </c>
      <c r="L851" s="30">
        <v>20140</v>
      </c>
      <c r="M851" s="31">
        <f t="shared" si="65"/>
        <v>2106</v>
      </c>
      <c r="N851" s="32">
        <f t="shared" si="66"/>
        <v>0.11769308147982564</v>
      </c>
      <c r="O851" s="6" t="str">
        <f>IF(ABS(M851)&lt;Overview!$B$6,"OK",IF(I851=0,"REVIEW (zero base)",IF(ABS(M851/ABS(I851))&gt;=Overview!$B$5,"REVIEW","OK")))</f>
        <v>OK</v>
      </c>
      <c r="P851" s="31">
        <f t="shared" si="67"/>
        <v>0</v>
      </c>
      <c r="Q851" s="32">
        <f t="shared" si="68"/>
        <v>0</v>
      </c>
      <c r="R851" s="6" t="str">
        <f>IF(ABS(P851)&lt;Overview!$B$6,"OK",IF(J851=0,"REVIEW (zero base)",IF(ABS(P851/ABS(J851))&gt;=Overview!$B$5,"REVIEW","OK")))</f>
        <v>OK</v>
      </c>
      <c r="S851" s="33">
        <f t="shared" si="69"/>
        <v>2106.0008509999998</v>
      </c>
    </row>
    <row r="852" spans="1:19" x14ac:dyDescent="0.2">
      <c r="A852" s="17">
        <v>850</v>
      </c>
      <c r="B852" s="17" t="s">
        <v>171</v>
      </c>
      <c r="C852" s="17" t="s">
        <v>338</v>
      </c>
      <c r="D852" s="17" t="s">
        <v>67</v>
      </c>
      <c r="E852" s="17" t="s">
        <v>94</v>
      </c>
      <c r="F852" s="17" t="s">
        <v>386</v>
      </c>
      <c r="G852" s="17" t="s">
        <v>387</v>
      </c>
      <c r="H852" s="30">
        <v>1575</v>
      </c>
      <c r="I852" s="30">
        <v>1461</v>
      </c>
      <c r="J852" s="30">
        <v>1050</v>
      </c>
      <c r="K852" s="30">
        <v>3000</v>
      </c>
      <c r="L852" s="30">
        <v>3021</v>
      </c>
      <c r="M852" s="31">
        <f t="shared" si="65"/>
        <v>-411</v>
      </c>
      <c r="N852" s="32">
        <f t="shared" si="66"/>
        <v>-0.28131416837782341</v>
      </c>
      <c r="O852" s="6" t="str">
        <f>IF(ABS(M852)&lt;Overview!$B$6,"OK",IF(I852=0,"REVIEW (zero base)",IF(ABS(M852/ABS(I852))&gt;=Overview!$B$5,"REVIEW","OK")))</f>
        <v>OK</v>
      </c>
      <c r="P852" s="31">
        <f t="shared" si="67"/>
        <v>1950</v>
      </c>
      <c r="Q852" s="32">
        <f t="shared" si="68"/>
        <v>1.8571428571428572</v>
      </c>
      <c r="R852" s="6" t="str">
        <f>IF(ABS(P852)&lt;Overview!$B$6,"OK",IF(J852=0,"REVIEW (zero base)",IF(ABS(P852/ABS(J852))&gt;=Overview!$B$5,"REVIEW","OK")))</f>
        <v>OK</v>
      </c>
      <c r="S852" s="33">
        <f t="shared" si="69"/>
        <v>411.00085200000001</v>
      </c>
    </row>
    <row r="853" spans="1:19" x14ac:dyDescent="0.2">
      <c r="A853" s="17">
        <v>851</v>
      </c>
      <c r="B853" s="17" t="s">
        <v>171</v>
      </c>
      <c r="C853" s="17" t="s">
        <v>338</v>
      </c>
      <c r="D853" s="17" t="s">
        <v>67</v>
      </c>
      <c r="E853" s="17" t="s">
        <v>94</v>
      </c>
      <c r="F853" s="17" t="s">
        <v>475</v>
      </c>
      <c r="G853" s="17" t="s">
        <v>476</v>
      </c>
      <c r="H853" s="30">
        <v>29919</v>
      </c>
      <c r="I853" s="30">
        <v>14638</v>
      </c>
      <c r="J853" s="30">
        <v>32000</v>
      </c>
      <c r="K853" s="30">
        <v>32000</v>
      </c>
      <c r="L853" s="30">
        <v>32224</v>
      </c>
      <c r="M853" s="31">
        <f t="shared" si="65"/>
        <v>17362</v>
      </c>
      <c r="N853" s="32">
        <f t="shared" si="66"/>
        <v>1.1860909960377102</v>
      </c>
      <c r="O853" s="6" t="str">
        <f>IF(ABS(M853)&lt;Overview!$B$6,"OK",IF(I853=0,"REVIEW (zero base)",IF(ABS(M853/ABS(I853))&gt;=Overview!$B$5,"REVIEW","OK")))</f>
        <v>OK</v>
      </c>
      <c r="P853" s="31">
        <f t="shared" si="67"/>
        <v>0</v>
      </c>
      <c r="Q853" s="32">
        <f t="shared" si="68"/>
        <v>0</v>
      </c>
      <c r="R853" s="6" t="str">
        <f>IF(ABS(P853)&lt;Overview!$B$6,"OK",IF(J853=0,"REVIEW (zero base)",IF(ABS(P853/ABS(J853))&gt;=Overview!$B$5,"REVIEW","OK")))</f>
        <v>OK</v>
      </c>
      <c r="S853" s="33">
        <f t="shared" si="69"/>
        <v>17362.000853000001</v>
      </c>
    </row>
    <row r="854" spans="1:19" x14ac:dyDescent="0.2">
      <c r="A854" s="17">
        <v>852</v>
      </c>
      <c r="B854" s="17" t="s">
        <v>171</v>
      </c>
      <c r="C854" s="17" t="s">
        <v>338</v>
      </c>
      <c r="D854" s="17" t="s">
        <v>67</v>
      </c>
      <c r="E854" s="17" t="s">
        <v>94</v>
      </c>
      <c r="F854" s="17" t="s">
        <v>411</v>
      </c>
      <c r="G854" s="17" t="s">
        <v>433</v>
      </c>
      <c r="H854" s="30">
        <v>16481</v>
      </c>
      <c r="I854" s="30">
        <v>18744</v>
      </c>
      <c r="J854" s="30">
        <v>20000</v>
      </c>
      <c r="K854" s="30">
        <v>19997</v>
      </c>
      <c r="L854" s="30">
        <v>20137</v>
      </c>
      <c r="M854" s="31">
        <f t="shared" si="65"/>
        <v>1256</v>
      </c>
      <c r="N854" s="32">
        <f t="shared" si="66"/>
        <v>6.7008109261630394E-2</v>
      </c>
      <c r="O854" s="6" t="str">
        <f>IF(ABS(M854)&lt;Overview!$B$6,"OK",IF(I854=0,"REVIEW (zero base)",IF(ABS(M854/ABS(I854))&gt;=Overview!$B$5,"REVIEW","OK")))</f>
        <v>OK</v>
      </c>
      <c r="P854" s="31">
        <f t="shared" si="67"/>
        <v>-3</v>
      </c>
      <c r="Q854" s="32">
        <f t="shared" si="68"/>
        <v>-1.4999999999999999E-4</v>
      </c>
      <c r="R854" s="6" t="str">
        <f>IF(ABS(P854)&lt;Overview!$B$6,"OK",IF(J854=0,"REVIEW (zero base)",IF(ABS(P854/ABS(J854))&gt;=Overview!$B$5,"REVIEW","OK")))</f>
        <v>OK</v>
      </c>
      <c r="S854" s="33">
        <f t="shared" si="69"/>
        <v>1256.0008539999999</v>
      </c>
    </row>
    <row r="855" spans="1:19" x14ac:dyDescent="0.2">
      <c r="A855" s="17">
        <v>853</v>
      </c>
      <c r="B855" s="17" t="s">
        <v>171</v>
      </c>
      <c r="C855" s="17" t="s">
        <v>338</v>
      </c>
      <c r="D855" s="17" t="s">
        <v>67</v>
      </c>
      <c r="E855" s="17" t="s">
        <v>94</v>
      </c>
      <c r="F855" s="17" t="s">
        <v>411</v>
      </c>
      <c r="G855" s="17" t="s">
        <v>451</v>
      </c>
      <c r="H855" s="30">
        <v>10470</v>
      </c>
      <c r="I855" s="30">
        <v>13428</v>
      </c>
      <c r="J855" s="30">
        <v>27000</v>
      </c>
      <c r="K855" s="30">
        <v>23000</v>
      </c>
      <c r="L855" s="30">
        <v>23161</v>
      </c>
      <c r="M855" s="31">
        <f t="shared" si="65"/>
        <v>13572</v>
      </c>
      <c r="N855" s="32">
        <f t="shared" si="66"/>
        <v>1.0107238605898123</v>
      </c>
      <c r="O855" s="6" t="str">
        <f>IF(ABS(M855)&lt;Overview!$B$6,"OK",IF(I855=0,"REVIEW (zero base)",IF(ABS(M855/ABS(I855))&gt;=Overview!$B$5,"REVIEW","OK")))</f>
        <v>OK</v>
      </c>
      <c r="P855" s="31">
        <f t="shared" si="67"/>
        <v>-4000</v>
      </c>
      <c r="Q855" s="32">
        <f t="shared" si="68"/>
        <v>-0.14814814814814814</v>
      </c>
      <c r="R855" s="6" t="str">
        <f>IF(ABS(P855)&lt;Overview!$B$6,"OK",IF(J855=0,"REVIEW (zero base)",IF(ABS(P855/ABS(J855))&gt;=Overview!$B$5,"REVIEW","OK")))</f>
        <v>OK</v>
      </c>
      <c r="S855" s="33">
        <f t="shared" si="69"/>
        <v>13572.000855</v>
      </c>
    </row>
    <row r="856" spans="1:19" x14ac:dyDescent="0.2">
      <c r="A856" s="17">
        <v>854</v>
      </c>
      <c r="B856" s="17" t="s">
        <v>171</v>
      </c>
      <c r="C856" s="17" t="s">
        <v>338</v>
      </c>
      <c r="D856" s="17" t="s">
        <v>67</v>
      </c>
      <c r="E856" s="17" t="s">
        <v>127</v>
      </c>
      <c r="F856" s="17" t="s">
        <v>339</v>
      </c>
      <c r="G856" s="17" t="s">
        <v>340</v>
      </c>
      <c r="H856" s="30">
        <v>126</v>
      </c>
      <c r="I856" s="30">
        <v>17315</v>
      </c>
      <c r="J856" s="30">
        <v>0</v>
      </c>
      <c r="K856" s="30">
        <v>0</v>
      </c>
      <c r="L856" s="30">
        <v>0</v>
      </c>
      <c r="M856" s="31">
        <f t="shared" si="65"/>
        <v>-17315</v>
      </c>
      <c r="N856" s="32">
        <f t="shared" si="66"/>
        <v>-1</v>
      </c>
      <c r="O856" s="6" t="str">
        <f>IF(ABS(M856)&lt;Overview!$B$6,"OK",IF(I856=0,"REVIEW (zero base)",IF(ABS(M856/ABS(I856))&gt;=Overview!$B$5,"REVIEW","OK")))</f>
        <v>OK</v>
      </c>
      <c r="P856" s="31">
        <f t="shared" si="67"/>
        <v>0</v>
      </c>
      <c r="Q856" s="32" t="str">
        <f t="shared" si="68"/>
        <v>n/a</v>
      </c>
      <c r="R856" s="6" t="str">
        <f>IF(ABS(P856)&lt;Overview!$B$6,"OK",IF(J856=0,"REVIEW (zero base)",IF(ABS(P856/ABS(J856))&gt;=Overview!$B$5,"REVIEW","OK")))</f>
        <v>OK</v>
      </c>
      <c r="S856" s="33">
        <f t="shared" si="69"/>
        <v>17315.000855999999</v>
      </c>
    </row>
    <row r="857" spans="1:19" x14ac:dyDescent="0.2">
      <c r="A857" s="17">
        <v>855</v>
      </c>
      <c r="B857" s="17" t="s">
        <v>171</v>
      </c>
      <c r="C857" s="17" t="s">
        <v>338</v>
      </c>
      <c r="D857" s="17" t="s">
        <v>67</v>
      </c>
      <c r="E857" s="17" t="s">
        <v>127</v>
      </c>
      <c r="F857" s="17" t="s">
        <v>339</v>
      </c>
      <c r="G857" s="17" t="s">
        <v>389</v>
      </c>
      <c r="H857" s="30">
        <v>1177452</v>
      </c>
      <c r="I857" s="30">
        <v>1105765</v>
      </c>
      <c r="J857" s="30">
        <v>484000</v>
      </c>
      <c r="K857" s="30">
        <v>1944000</v>
      </c>
      <c r="L857" s="30">
        <v>1944000</v>
      </c>
      <c r="M857" s="31">
        <f t="shared" si="65"/>
        <v>-621765</v>
      </c>
      <c r="N857" s="32">
        <f t="shared" si="66"/>
        <v>-0.56229397747260945</v>
      </c>
      <c r="O857" s="6" t="str">
        <f>IF(ABS(M857)&lt;Overview!$B$6,"OK",IF(I857=0,"REVIEW (zero base)",IF(ABS(M857/ABS(I857))&gt;=Overview!$B$5,"REVIEW","OK")))</f>
        <v>REVIEW</v>
      </c>
      <c r="P857" s="31">
        <f t="shared" si="67"/>
        <v>1460000</v>
      </c>
      <c r="Q857" s="32">
        <f t="shared" si="68"/>
        <v>3.0165289256198347</v>
      </c>
      <c r="R857" s="6" t="str">
        <f>IF(ABS(P857)&lt;Overview!$B$6,"OK",IF(J857=0,"REVIEW (zero base)",IF(ABS(P857/ABS(J857))&gt;=Overview!$B$5,"REVIEW","OK")))</f>
        <v>REVIEW</v>
      </c>
      <c r="S857" s="33">
        <f t="shared" si="69"/>
        <v>621765.00085700001</v>
      </c>
    </row>
    <row r="858" spans="1:19" x14ac:dyDescent="0.2">
      <c r="A858" s="17">
        <v>856</v>
      </c>
      <c r="B858" s="17" t="s">
        <v>171</v>
      </c>
      <c r="C858" s="17" t="s">
        <v>338</v>
      </c>
      <c r="D858" s="17" t="s">
        <v>67</v>
      </c>
      <c r="E858" s="17" t="s">
        <v>127</v>
      </c>
      <c r="F858" s="17" t="s">
        <v>339</v>
      </c>
      <c r="G858" s="17" t="s">
        <v>390</v>
      </c>
      <c r="H858" s="30">
        <v>0</v>
      </c>
      <c r="I858" s="30">
        <v>0</v>
      </c>
      <c r="J858" s="30">
        <v>0</v>
      </c>
      <c r="K858" s="30">
        <v>0</v>
      </c>
      <c r="L858" s="30">
        <v>0</v>
      </c>
      <c r="M858" s="31">
        <f t="shared" si="65"/>
        <v>0</v>
      </c>
      <c r="N858" s="32" t="str">
        <f t="shared" si="66"/>
        <v>n/a</v>
      </c>
      <c r="O858" s="6" t="str">
        <f>IF(ABS(M858)&lt;Overview!$B$6,"OK",IF(I858=0,"REVIEW (zero base)",IF(ABS(M858/ABS(I858))&gt;=Overview!$B$5,"REVIEW","OK")))</f>
        <v>OK</v>
      </c>
      <c r="P858" s="31">
        <f t="shared" si="67"/>
        <v>0</v>
      </c>
      <c r="Q858" s="32" t="str">
        <f t="shared" si="68"/>
        <v>n/a</v>
      </c>
      <c r="R858" s="6" t="str">
        <f>IF(ABS(P858)&lt;Overview!$B$6,"OK",IF(J858=0,"REVIEW (zero base)",IF(ABS(P858/ABS(J858))&gt;=Overview!$B$5,"REVIEW","OK")))</f>
        <v>OK</v>
      </c>
      <c r="S858" s="33">
        <f t="shared" si="69"/>
        <v>8.5800000000000004E-4</v>
      </c>
    </row>
    <row r="859" spans="1:19" x14ac:dyDescent="0.2">
      <c r="A859" s="17">
        <v>857</v>
      </c>
      <c r="B859" s="17" t="s">
        <v>171</v>
      </c>
      <c r="C859" s="17" t="s">
        <v>338</v>
      </c>
      <c r="D859" s="17" t="s">
        <v>67</v>
      </c>
      <c r="E859" s="17" t="s">
        <v>127</v>
      </c>
      <c r="F859" s="17" t="s">
        <v>341</v>
      </c>
      <c r="G859" s="17" t="s">
        <v>343</v>
      </c>
      <c r="H859" s="30">
        <v>90414</v>
      </c>
      <c r="I859" s="30">
        <v>85916</v>
      </c>
      <c r="J859" s="30">
        <v>79872</v>
      </c>
      <c r="K859" s="30">
        <v>79866</v>
      </c>
      <c r="L859" s="30">
        <v>80665</v>
      </c>
      <c r="M859" s="31">
        <f t="shared" si="65"/>
        <v>-6044</v>
      </c>
      <c r="N859" s="32">
        <f t="shared" si="66"/>
        <v>-7.0347781554076075E-2</v>
      </c>
      <c r="O859" s="6" t="str">
        <f>IF(ABS(M859)&lt;Overview!$B$6,"OK",IF(I859=0,"REVIEW (zero base)",IF(ABS(M859/ABS(I859))&gt;=Overview!$B$5,"REVIEW","OK")))</f>
        <v>OK</v>
      </c>
      <c r="P859" s="31">
        <f t="shared" si="67"/>
        <v>-6</v>
      </c>
      <c r="Q859" s="32">
        <f t="shared" si="68"/>
        <v>-7.5120192307692312E-5</v>
      </c>
      <c r="R859" s="6" t="str">
        <f>IF(ABS(P859)&lt;Overview!$B$6,"OK",IF(J859=0,"REVIEW (zero base)",IF(ABS(P859/ABS(J859))&gt;=Overview!$B$5,"REVIEW","OK")))</f>
        <v>OK</v>
      </c>
      <c r="S859" s="33">
        <f t="shared" si="69"/>
        <v>6044.0008589999998</v>
      </c>
    </row>
    <row r="860" spans="1:19" x14ac:dyDescent="0.2">
      <c r="A860" s="17">
        <v>858</v>
      </c>
      <c r="B860" s="17" t="s">
        <v>171</v>
      </c>
      <c r="C860" s="17" t="s">
        <v>338</v>
      </c>
      <c r="D860" s="17" t="s">
        <v>67</v>
      </c>
      <c r="E860" s="17" t="s">
        <v>127</v>
      </c>
      <c r="F860" s="17" t="s">
        <v>347</v>
      </c>
      <c r="G860" s="17" t="s">
        <v>348</v>
      </c>
      <c r="H860" s="30">
        <v>20430</v>
      </c>
      <c r="I860" s="30">
        <v>0</v>
      </c>
      <c r="J860" s="30">
        <v>50000</v>
      </c>
      <c r="K860" s="30">
        <v>50000</v>
      </c>
      <c r="L860" s="30">
        <v>50350</v>
      </c>
      <c r="M860" s="31">
        <f t="shared" si="65"/>
        <v>50000</v>
      </c>
      <c r="N860" s="32" t="str">
        <f t="shared" si="66"/>
        <v>n/a</v>
      </c>
      <c r="O860" s="6" t="str">
        <f>IF(ABS(M860)&lt;Overview!$B$6,"OK",IF(I860=0,"REVIEW (zero base)",IF(ABS(M860/ABS(I860))&gt;=Overview!$B$5,"REVIEW","OK")))</f>
        <v>OK</v>
      </c>
      <c r="P860" s="31">
        <f t="shared" si="67"/>
        <v>0</v>
      </c>
      <c r="Q860" s="32">
        <f t="shared" si="68"/>
        <v>0</v>
      </c>
      <c r="R860" s="6" t="str">
        <f>IF(ABS(P860)&lt;Overview!$B$6,"OK",IF(J860=0,"REVIEW (zero base)",IF(ABS(P860/ABS(J860))&gt;=Overview!$B$5,"REVIEW","OK")))</f>
        <v>OK</v>
      </c>
      <c r="S860" s="33">
        <f t="shared" si="69"/>
        <v>50000.00086</v>
      </c>
    </row>
    <row r="861" spans="1:19" x14ac:dyDescent="0.2">
      <c r="A861" s="17">
        <v>859</v>
      </c>
      <c r="B861" s="17" t="s">
        <v>171</v>
      </c>
      <c r="C861" s="17" t="s">
        <v>338</v>
      </c>
      <c r="D861" s="17" t="s">
        <v>56</v>
      </c>
      <c r="E861" s="17" t="s">
        <v>112</v>
      </c>
      <c r="F861" s="17" t="s">
        <v>339</v>
      </c>
      <c r="G861" s="17" t="s">
        <v>340</v>
      </c>
      <c r="H861" s="30">
        <v>395562</v>
      </c>
      <c r="I861" s="30">
        <v>429505</v>
      </c>
      <c r="J861" s="30">
        <v>477721</v>
      </c>
      <c r="K861" s="30">
        <v>589049</v>
      </c>
      <c r="L861" s="30">
        <v>594939</v>
      </c>
      <c r="M861" s="31">
        <f t="shared" si="65"/>
        <v>48216</v>
      </c>
      <c r="N861" s="32">
        <f t="shared" si="66"/>
        <v>0.11225946147309111</v>
      </c>
      <c r="O861" s="6" t="str">
        <f>IF(ABS(M861)&lt;Overview!$B$6,"OK",IF(I861=0,"REVIEW (zero base)",IF(ABS(M861/ABS(I861))&gt;=Overview!$B$5,"REVIEW","OK")))</f>
        <v>OK</v>
      </c>
      <c r="P861" s="31">
        <f t="shared" si="67"/>
        <v>111328</v>
      </c>
      <c r="Q861" s="32">
        <f t="shared" si="68"/>
        <v>0.23303978682117804</v>
      </c>
      <c r="R861" s="6" t="str">
        <f>IF(ABS(P861)&lt;Overview!$B$6,"OK",IF(J861=0,"REVIEW (zero base)",IF(ABS(P861/ABS(J861))&gt;=Overview!$B$5,"REVIEW","OK")))</f>
        <v>OK</v>
      </c>
      <c r="S861" s="33">
        <f t="shared" si="69"/>
        <v>48216.000861</v>
      </c>
    </row>
    <row r="862" spans="1:19" x14ac:dyDescent="0.2">
      <c r="A862" s="17">
        <v>860</v>
      </c>
      <c r="B862" s="17" t="s">
        <v>171</v>
      </c>
      <c r="C862" s="17" t="s">
        <v>338</v>
      </c>
      <c r="D862" s="17" t="s">
        <v>56</v>
      </c>
      <c r="E862" s="17" t="s">
        <v>112</v>
      </c>
      <c r="F862" s="17" t="s">
        <v>339</v>
      </c>
      <c r="G862" s="17" t="s">
        <v>390</v>
      </c>
      <c r="H862" s="30">
        <v>94709</v>
      </c>
      <c r="I862" s="30">
        <v>94443</v>
      </c>
      <c r="J862" s="30">
        <v>100000</v>
      </c>
      <c r="K862" s="30">
        <v>90000</v>
      </c>
      <c r="L862" s="30">
        <v>90000</v>
      </c>
      <c r="M862" s="31">
        <f t="shared" si="65"/>
        <v>5557</v>
      </c>
      <c r="N862" s="32">
        <f t="shared" si="66"/>
        <v>5.8839723431064236E-2</v>
      </c>
      <c r="O862" s="6" t="str">
        <f>IF(ABS(M862)&lt;Overview!$B$6,"OK",IF(I862=0,"REVIEW (zero base)",IF(ABS(M862/ABS(I862))&gt;=Overview!$B$5,"REVIEW","OK")))</f>
        <v>OK</v>
      </c>
      <c r="P862" s="31">
        <f t="shared" si="67"/>
        <v>-10000</v>
      </c>
      <c r="Q862" s="32">
        <f t="shared" si="68"/>
        <v>-0.1</v>
      </c>
      <c r="R862" s="6" t="str">
        <f>IF(ABS(P862)&lt;Overview!$B$6,"OK",IF(J862=0,"REVIEW (zero base)",IF(ABS(P862/ABS(J862))&gt;=Overview!$B$5,"REVIEW","OK")))</f>
        <v>OK</v>
      </c>
      <c r="S862" s="33">
        <f t="shared" si="69"/>
        <v>5557.0008619999999</v>
      </c>
    </row>
    <row r="863" spans="1:19" x14ac:dyDescent="0.2">
      <c r="A863" s="17">
        <v>861</v>
      </c>
      <c r="B863" s="17" t="s">
        <v>171</v>
      </c>
      <c r="C863" s="17" t="s">
        <v>338</v>
      </c>
      <c r="D863" s="17" t="s">
        <v>56</v>
      </c>
      <c r="E863" s="17" t="s">
        <v>112</v>
      </c>
      <c r="F863" s="17" t="s">
        <v>339</v>
      </c>
      <c r="G863" s="17" t="s">
        <v>391</v>
      </c>
      <c r="H863" s="30">
        <v>18671</v>
      </c>
      <c r="I863" s="30">
        <v>36975</v>
      </c>
      <c r="J863" s="30">
        <v>0</v>
      </c>
      <c r="K863" s="30">
        <v>0</v>
      </c>
      <c r="L863" s="30">
        <v>0</v>
      </c>
      <c r="M863" s="31">
        <f t="shared" si="65"/>
        <v>-36975</v>
      </c>
      <c r="N863" s="32">
        <f t="shared" si="66"/>
        <v>-1</v>
      </c>
      <c r="O863" s="6" t="str">
        <f>IF(ABS(M863)&lt;Overview!$B$6,"OK",IF(I863=0,"REVIEW (zero base)",IF(ABS(M863/ABS(I863))&gt;=Overview!$B$5,"REVIEW","OK")))</f>
        <v>OK</v>
      </c>
      <c r="P863" s="31">
        <f t="shared" si="67"/>
        <v>0</v>
      </c>
      <c r="Q863" s="32" t="str">
        <f t="shared" si="68"/>
        <v>n/a</v>
      </c>
      <c r="R863" s="6" t="str">
        <f>IF(ABS(P863)&lt;Overview!$B$6,"OK",IF(J863=0,"REVIEW (zero base)",IF(ABS(P863/ABS(J863))&gt;=Overview!$B$5,"REVIEW","OK")))</f>
        <v>OK</v>
      </c>
      <c r="S863" s="33">
        <f t="shared" si="69"/>
        <v>36975.000863000001</v>
      </c>
    </row>
    <row r="864" spans="1:19" x14ac:dyDescent="0.2">
      <c r="A864" s="17">
        <v>862</v>
      </c>
      <c r="B864" s="17" t="s">
        <v>171</v>
      </c>
      <c r="C864" s="17" t="s">
        <v>338</v>
      </c>
      <c r="D864" s="17" t="s">
        <v>56</v>
      </c>
      <c r="E864" s="17" t="s">
        <v>112</v>
      </c>
      <c r="F864" s="17" t="s">
        <v>339</v>
      </c>
      <c r="G864" s="17" t="s">
        <v>392</v>
      </c>
      <c r="H864" s="30">
        <v>39515</v>
      </c>
      <c r="I864" s="30">
        <v>34755</v>
      </c>
      <c r="J864" s="30">
        <v>0</v>
      </c>
      <c r="K864" s="30">
        <v>0</v>
      </c>
      <c r="L864" s="30">
        <v>0</v>
      </c>
      <c r="M864" s="31">
        <f t="shared" si="65"/>
        <v>-34755</v>
      </c>
      <c r="N864" s="32">
        <f t="shared" si="66"/>
        <v>-1</v>
      </c>
      <c r="O864" s="6" t="str">
        <f>IF(ABS(M864)&lt;Overview!$B$6,"OK",IF(I864=0,"REVIEW (zero base)",IF(ABS(M864/ABS(I864))&gt;=Overview!$B$5,"REVIEW","OK")))</f>
        <v>OK</v>
      </c>
      <c r="P864" s="31">
        <f t="shared" si="67"/>
        <v>0</v>
      </c>
      <c r="Q864" s="32" t="str">
        <f t="shared" si="68"/>
        <v>n/a</v>
      </c>
      <c r="R864" s="6" t="str">
        <f>IF(ABS(P864)&lt;Overview!$B$6,"OK",IF(J864=0,"REVIEW (zero base)",IF(ABS(P864/ABS(J864))&gt;=Overview!$B$5,"REVIEW","OK")))</f>
        <v>OK</v>
      </c>
      <c r="S864" s="33">
        <f t="shared" si="69"/>
        <v>34755.000864000001</v>
      </c>
    </row>
    <row r="865" spans="1:19" x14ac:dyDescent="0.2">
      <c r="A865" s="17">
        <v>863</v>
      </c>
      <c r="B865" s="17" t="s">
        <v>171</v>
      </c>
      <c r="C865" s="17" t="s">
        <v>338</v>
      </c>
      <c r="D865" s="17" t="s">
        <v>56</v>
      </c>
      <c r="E865" s="17" t="s">
        <v>112</v>
      </c>
      <c r="F865" s="17" t="s">
        <v>339</v>
      </c>
      <c r="G865" s="17" t="s">
        <v>393</v>
      </c>
      <c r="H865" s="30">
        <v>4450</v>
      </c>
      <c r="I865" s="30">
        <v>4773</v>
      </c>
      <c r="J865" s="30">
        <v>5000</v>
      </c>
      <c r="K865" s="30">
        <v>5000</v>
      </c>
      <c r="L865" s="30">
        <v>5000</v>
      </c>
      <c r="M865" s="31">
        <f t="shared" si="65"/>
        <v>227</v>
      </c>
      <c r="N865" s="32">
        <f t="shared" si="66"/>
        <v>4.7559187094070816E-2</v>
      </c>
      <c r="O865" s="6" t="str">
        <f>IF(ABS(M865)&lt;Overview!$B$6,"OK",IF(I865=0,"REVIEW (zero base)",IF(ABS(M865/ABS(I865))&gt;=Overview!$B$5,"REVIEW","OK")))</f>
        <v>OK</v>
      </c>
      <c r="P865" s="31">
        <f t="shared" si="67"/>
        <v>0</v>
      </c>
      <c r="Q865" s="32">
        <f t="shared" si="68"/>
        <v>0</v>
      </c>
      <c r="R865" s="6" t="str">
        <f>IF(ABS(P865)&lt;Overview!$B$6,"OK",IF(J865=0,"REVIEW (zero base)",IF(ABS(P865/ABS(J865))&gt;=Overview!$B$5,"REVIEW","OK")))</f>
        <v>OK</v>
      </c>
      <c r="S865" s="33">
        <f t="shared" si="69"/>
        <v>227.000865</v>
      </c>
    </row>
    <row r="866" spans="1:19" x14ac:dyDescent="0.2">
      <c r="A866" s="17">
        <v>864</v>
      </c>
      <c r="B866" s="17" t="s">
        <v>171</v>
      </c>
      <c r="C866" s="17" t="s">
        <v>338</v>
      </c>
      <c r="D866" s="17" t="s">
        <v>56</v>
      </c>
      <c r="E866" s="17" t="s">
        <v>112</v>
      </c>
      <c r="F866" s="17" t="s">
        <v>339</v>
      </c>
      <c r="G866" s="17" t="s">
        <v>394</v>
      </c>
      <c r="H866" s="30">
        <v>32993</v>
      </c>
      <c r="I866" s="30">
        <v>28877</v>
      </c>
      <c r="J866" s="30">
        <v>0</v>
      </c>
      <c r="K866" s="30">
        <v>0</v>
      </c>
      <c r="L866" s="30">
        <v>0</v>
      </c>
      <c r="M866" s="31">
        <f t="shared" si="65"/>
        <v>-28877</v>
      </c>
      <c r="N866" s="32">
        <f t="shared" si="66"/>
        <v>-1</v>
      </c>
      <c r="O866" s="6" t="str">
        <f>IF(ABS(M866)&lt;Overview!$B$6,"OK",IF(I866=0,"REVIEW (zero base)",IF(ABS(M866/ABS(I866))&gt;=Overview!$B$5,"REVIEW","OK")))</f>
        <v>OK</v>
      </c>
      <c r="P866" s="31">
        <f t="shared" si="67"/>
        <v>0</v>
      </c>
      <c r="Q866" s="32" t="str">
        <f t="shared" si="68"/>
        <v>n/a</v>
      </c>
      <c r="R866" s="6" t="str">
        <f>IF(ABS(P866)&lt;Overview!$B$6,"OK",IF(J866=0,"REVIEW (zero base)",IF(ABS(P866/ABS(J866))&gt;=Overview!$B$5,"REVIEW","OK")))</f>
        <v>OK</v>
      </c>
      <c r="S866" s="33">
        <f t="shared" si="69"/>
        <v>28877.000865999998</v>
      </c>
    </row>
    <row r="867" spans="1:19" x14ac:dyDescent="0.2">
      <c r="A867" s="17">
        <v>865</v>
      </c>
      <c r="B867" s="17" t="s">
        <v>171</v>
      </c>
      <c r="C867" s="17" t="s">
        <v>338</v>
      </c>
      <c r="D867" s="17" t="s">
        <v>56</v>
      </c>
      <c r="E867" s="17" t="s">
        <v>112</v>
      </c>
      <c r="F867" s="17" t="s">
        <v>339</v>
      </c>
      <c r="G867" s="17" t="s">
        <v>395</v>
      </c>
      <c r="H867" s="30">
        <v>15858</v>
      </c>
      <c r="I867" s="30">
        <v>15762</v>
      </c>
      <c r="J867" s="30">
        <v>15419</v>
      </c>
      <c r="K867" s="30">
        <v>15952</v>
      </c>
      <c r="L867" s="30">
        <v>16112</v>
      </c>
      <c r="M867" s="31">
        <f t="shared" si="65"/>
        <v>-343</v>
      </c>
      <c r="N867" s="32">
        <f t="shared" si="66"/>
        <v>-2.1761197817535844E-2</v>
      </c>
      <c r="O867" s="6" t="str">
        <f>IF(ABS(M867)&lt;Overview!$B$6,"OK",IF(I867=0,"REVIEW (zero base)",IF(ABS(M867/ABS(I867))&gt;=Overview!$B$5,"REVIEW","OK")))</f>
        <v>OK</v>
      </c>
      <c r="P867" s="31">
        <f t="shared" si="67"/>
        <v>533</v>
      </c>
      <c r="Q867" s="32">
        <f t="shared" si="68"/>
        <v>3.4567741098644529E-2</v>
      </c>
      <c r="R867" s="6" t="str">
        <f>IF(ABS(P867)&lt;Overview!$B$6,"OK",IF(J867=0,"REVIEW (zero base)",IF(ABS(P867/ABS(J867))&gt;=Overview!$B$5,"REVIEW","OK")))</f>
        <v>OK</v>
      </c>
      <c r="S867" s="33">
        <f t="shared" si="69"/>
        <v>343.00086700000003</v>
      </c>
    </row>
    <row r="868" spans="1:19" x14ac:dyDescent="0.2">
      <c r="A868" s="17">
        <v>866</v>
      </c>
      <c r="B868" s="17" t="s">
        <v>171</v>
      </c>
      <c r="C868" s="17" t="s">
        <v>338</v>
      </c>
      <c r="D868" s="17" t="s">
        <v>56</v>
      </c>
      <c r="E868" s="17" t="s">
        <v>112</v>
      </c>
      <c r="F868" s="17" t="s">
        <v>339</v>
      </c>
      <c r="G868" s="17" t="s">
        <v>424</v>
      </c>
      <c r="H868" s="30">
        <v>34</v>
      </c>
      <c r="I868" s="30">
        <v>0</v>
      </c>
      <c r="J868" s="30">
        <v>0</v>
      </c>
      <c r="K868" s="30">
        <v>0</v>
      </c>
      <c r="L868" s="30">
        <v>0</v>
      </c>
      <c r="M868" s="31">
        <f t="shared" si="65"/>
        <v>0</v>
      </c>
      <c r="N868" s="32" t="str">
        <f t="shared" si="66"/>
        <v>n/a</v>
      </c>
      <c r="O868" s="6" t="str">
        <f>IF(ABS(M868)&lt;Overview!$B$6,"OK",IF(I868=0,"REVIEW (zero base)",IF(ABS(M868/ABS(I868))&gt;=Overview!$B$5,"REVIEW","OK")))</f>
        <v>OK</v>
      </c>
      <c r="P868" s="31">
        <f t="shared" si="67"/>
        <v>0</v>
      </c>
      <c r="Q868" s="32" t="str">
        <f t="shared" si="68"/>
        <v>n/a</v>
      </c>
      <c r="R868" s="6" t="str">
        <f>IF(ABS(P868)&lt;Overview!$B$6,"OK",IF(J868=0,"REVIEW (zero base)",IF(ABS(P868/ABS(J868))&gt;=Overview!$B$5,"REVIEW","OK")))</f>
        <v>OK</v>
      </c>
      <c r="S868" s="33">
        <f t="shared" si="69"/>
        <v>8.6799999999999996E-4</v>
      </c>
    </row>
    <row r="869" spans="1:19" x14ac:dyDescent="0.2">
      <c r="A869" s="17">
        <v>867</v>
      </c>
      <c r="B869" s="17" t="s">
        <v>171</v>
      </c>
      <c r="C869" s="17" t="s">
        <v>338</v>
      </c>
      <c r="D869" s="17" t="s">
        <v>56</v>
      </c>
      <c r="E869" s="17" t="s">
        <v>112</v>
      </c>
      <c r="F869" s="17" t="s">
        <v>341</v>
      </c>
      <c r="G869" s="17" t="s">
        <v>342</v>
      </c>
      <c r="H869" s="30">
        <v>10111</v>
      </c>
      <c r="I869" s="30">
        <v>9313</v>
      </c>
      <c r="J869" s="30">
        <v>11220</v>
      </c>
      <c r="K869" s="30">
        <v>11220</v>
      </c>
      <c r="L869" s="30">
        <v>11220</v>
      </c>
      <c r="M869" s="31">
        <f t="shared" si="65"/>
        <v>1907</v>
      </c>
      <c r="N869" s="32">
        <f t="shared" si="66"/>
        <v>0.20476752926017394</v>
      </c>
      <c r="O869" s="6" t="str">
        <f>IF(ABS(M869)&lt;Overview!$B$6,"OK",IF(I869=0,"REVIEW (zero base)",IF(ABS(M869/ABS(I869))&gt;=Overview!$B$5,"REVIEW","OK")))</f>
        <v>OK</v>
      </c>
      <c r="P869" s="31">
        <f t="shared" si="67"/>
        <v>0</v>
      </c>
      <c r="Q869" s="32">
        <f t="shared" si="68"/>
        <v>0</v>
      </c>
      <c r="R869" s="6" t="str">
        <f>IF(ABS(P869)&lt;Overview!$B$6,"OK",IF(J869=0,"REVIEW (zero base)",IF(ABS(P869/ABS(J869))&gt;=Overview!$B$5,"REVIEW","OK")))</f>
        <v>OK</v>
      </c>
      <c r="S869" s="33">
        <f t="shared" si="69"/>
        <v>1907.000869</v>
      </c>
    </row>
    <row r="870" spans="1:19" x14ac:dyDescent="0.2">
      <c r="A870" s="17">
        <v>868</v>
      </c>
      <c r="B870" s="17" t="s">
        <v>171</v>
      </c>
      <c r="C870" s="17" t="s">
        <v>338</v>
      </c>
      <c r="D870" s="17" t="s">
        <v>56</v>
      </c>
      <c r="E870" s="17" t="s">
        <v>112</v>
      </c>
      <c r="F870" s="17" t="s">
        <v>341</v>
      </c>
      <c r="G870" s="17" t="s">
        <v>375</v>
      </c>
      <c r="H870" s="30">
        <v>39952</v>
      </c>
      <c r="I870" s="30">
        <v>47425</v>
      </c>
      <c r="J870" s="30">
        <v>50700</v>
      </c>
      <c r="K870" s="30">
        <v>50700</v>
      </c>
      <c r="L870" s="30">
        <v>50700</v>
      </c>
      <c r="M870" s="31">
        <f t="shared" si="65"/>
        <v>3275</v>
      </c>
      <c r="N870" s="32">
        <f t="shared" si="66"/>
        <v>6.905640484976279E-2</v>
      </c>
      <c r="O870" s="6" t="str">
        <f>IF(ABS(M870)&lt;Overview!$B$6,"OK",IF(I870=0,"REVIEW (zero base)",IF(ABS(M870/ABS(I870))&gt;=Overview!$B$5,"REVIEW","OK")))</f>
        <v>OK</v>
      </c>
      <c r="P870" s="31">
        <f t="shared" si="67"/>
        <v>0</v>
      </c>
      <c r="Q870" s="32">
        <f t="shared" si="68"/>
        <v>0</v>
      </c>
      <c r="R870" s="6" t="str">
        <f>IF(ABS(P870)&lt;Overview!$B$6,"OK",IF(J870=0,"REVIEW (zero base)",IF(ABS(P870/ABS(J870))&gt;=Overview!$B$5,"REVIEW","OK")))</f>
        <v>OK</v>
      </c>
      <c r="S870" s="33">
        <f t="shared" si="69"/>
        <v>3275.0008699999998</v>
      </c>
    </row>
    <row r="871" spans="1:19" x14ac:dyDescent="0.2">
      <c r="A871" s="17">
        <v>869</v>
      </c>
      <c r="B871" s="17" t="s">
        <v>171</v>
      </c>
      <c r="C871" s="17" t="s">
        <v>338</v>
      </c>
      <c r="D871" s="17" t="s">
        <v>56</v>
      </c>
      <c r="E871" s="17" t="s">
        <v>112</v>
      </c>
      <c r="F871" s="17" t="s">
        <v>341</v>
      </c>
      <c r="G871" s="17" t="s">
        <v>376</v>
      </c>
      <c r="H871" s="30">
        <v>144949</v>
      </c>
      <c r="I871" s="30">
        <v>160026</v>
      </c>
      <c r="J871" s="30">
        <v>139956</v>
      </c>
      <c r="K871" s="30">
        <v>166740</v>
      </c>
      <c r="L871" s="30">
        <v>175461</v>
      </c>
      <c r="M871" s="31">
        <f t="shared" si="65"/>
        <v>-20070</v>
      </c>
      <c r="N871" s="32">
        <f t="shared" si="66"/>
        <v>-0.12541711971804581</v>
      </c>
      <c r="O871" s="6" t="str">
        <f>IF(ABS(M871)&lt;Overview!$B$6,"OK",IF(I871=0,"REVIEW (zero base)",IF(ABS(M871/ABS(I871))&gt;=Overview!$B$5,"REVIEW","OK")))</f>
        <v>OK</v>
      </c>
      <c r="P871" s="31">
        <f t="shared" si="67"/>
        <v>26784</v>
      </c>
      <c r="Q871" s="32">
        <f t="shared" si="68"/>
        <v>0.19137443196433165</v>
      </c>
      <c r="R871" s="6" t="str">
        <f>IF(ABS(P871)&lt;Overview!$B$6,"OK",IF(J871=0,"REVIEW (zero base)",IF(ABS(P871/ABS(J871))&gt;=Overview!$B$5,"REVIEW","OK")))</f>
        <v>OK</v>
      </c>
      <c r="S871" s="33">
        <f t="shared" si="69"/>
        <v>20070.000871</v>
      </c>
    </row>
    <row r="872" spans="1:19" x14ac:dyDescent="0.2">
      <c r="A872" s="17">
        <v>870</v>
      </c>
      <c r="B872" s="17" t="s">
        <v>171</v>
      </c>
      <c r="C872" s="17" t="s">
        <v>338</v>
      </c>
      <c r="D872" s="17" t="s">
        <v>56</v>
      </c>
      <c r="E872" s="17" t="s">
        <v>112</v>
      </c>
      <c r="F872" s="17" t="s">
        <v>341</v>
      </c>
      <c r="G872" s="17" t="s">
        <v>343</v>
      </c>
      <c r="H872" s="30">
        <v>45941</v>
      </c>
      <c r="I872" s="30">
        <v>48235</v>
      </c>
      <c r="J872" s="30">
        <v>51783</v>
      </c>
      <c r="K872" s="30">
        <v>50845</v>
      </c>
      <c r="L872" s="30">
        <v>51353</v>
      </c>
      <c r="M872" s="31">
        <f t="shared" si="65"/>
        <v>3548</v>
      </c>
      <c r="N872" s="32">
        <f t="shared" si="66"/>
        <v>7.3556546076500473E-2</v>
      </c>
      <c r="O872" s="6" t="str">
        <f>IF(ABS(M872)&lt;Overview!$B$6,"OK",IF(I872=0,"REVIEW (zero base)",IF(ABS(M872/ABS(I872))&gt;=Overview!$B$5,"REVIEW","OK")))</f>
        <v>OK</v>
      </c>
      <c r="P872" s="31">
        <f t="shared" si="67"/>
        <v>-938</v>
      </c>
      <c r="Q872" s="32">
        <f t="shared" si="68"/>
        <v>-1.8114052874495492E-2</v>
      </c>
      <c r="R872" s="6" t="str">
        <f>IF(ABS(P872)&lt;Overview!$B$6,"OK",IF(J872=0,"REVIEW (zero base)",IF(ABS(P872/ABS(J872))&gt;=Overview!$B$5,"REVIEW","OK")))</f>
        <v>OK</v>
      </c>
      <c r="S872" s="33">
        <f t="shared" si="69"/>
        <v>3548.0008720000001</v>
      </c>
    </row>
    <row r="873" spans="1:19" x14ac:dyDescent="0.2">
      <c r="A873" s="17">
        <v>871</v>
      </c>
      <c r="B873" s="17" t="s">
        <v>171</v>
      </c>
      <c r="C873" s="17" t="s">
        <v>338</v>
      </c>
      <c r="D873" s="17" t="s">
        <v>56</v>
      </c>
      <c r="E873" s="17" t="s">
        <v>112</v>
      </c>
      <c r="F873" s="17" t="s">
        <v>341</v>
      </c>
      <c r="G873" s="17" t="s">
        <v>378</v>
      </c>
      <c r="H873" s="30">
        <v>34626</v>
      </c>
      <c r="I873" s="30">
        <v>36284</v>
      </c>
      <c r="J873" s="30">
        <v>38326</v>
      </c>
      <c r="K873" s="30">
        <v>40560</v>
      </c>
      <c r="L873" s="30">
        <v>42357</v>
      </c>
      <c r="M873" s="31">
        <f t="shared" si="65"/>
        <v>2042</v>
      </c>
      <c r="N873" s="32">
        <f t="shared" si="66"/>
        <v>5.6278249366111782E-2</v>
      </c>
      <c r="O873" s="6" t="str">
        <f>IF(ABS(M873)&lt;Overview!$B$6,"OK",IF(I873=0,"REVIEW (zero base)",IF(ABS(M873/ABS(I873))&gt;=Overview!$B$5,"REVIEW","OK")))</f>
        <v>OK</v>
      </c>
      <c r="P873" s="31">
        <f t="shared" si="67"/>
        <v>2234</v>
      </c>
      <c r="Q873" s="32">
        <f t="shared" si="68"/>
        <v>5.8289411887491517E-2</v>
      </c>
      <c r="R873" s="6" t="str">
        <f>IF(ABS(P873)&lt;Overview!$B$6,"OK",IF(J873=0,"REVIEW (zero base)",IF(ABS(P873/ABS(J873))&gt;=Overview!$B$5,"REVIEW","OK")))</f>
        <v>OK</v>
      </c>
      <c r="S873" s="33">
        <f t="shared" si="69"/>
        <v>2042.000873</v>
      </c>
    </row>
    <row r="874" spans="1:19" x14ac:dyDescent="0.2">
      <c r="A874" s="17">
        <v>872</v>
      </c>
      <c r="B874" s="17" t="s">
        <v>171</v>
      </c>
      <c r="C874" s="17" t="s">
        <v>338</v>
      </c>
      <c r="D874" s="17" t="s">
        <v>56</v>
      </c>
      <c r="E874" s="17" t="s">
        <v>112</v>
      </c>
      <c r="F874" s="17" t="s">
        <v>341</v>
      </c>
      <c r="G874" s="17" t="s">
        <v>344</v>
      </c>
      <c r="H874" s="30">
        <v>108914</v>
      </c>
      <c r="I874" s="30">
        <v>121797</v>
      </c>
      <c r="J874" s="30">
        <v>149424</v>
      </c>
      <c r="K874" s="30">
        <v>179136</v>
      </c>
      <c r="L874" s="30">
        <v>182719</v>
      </c>
      <c r="M874" s="31">
        <f t="shared" si="65"/>
        <v>27627</v>
      </c>
      <c r="N874" s="32">
        <f t="shared" si="66"/>
        <v>0.22682824700115767</v>
      </c>
      <c r="O874" s="6" t="str">
        <f>IF(ABS(M874)&lt;Overview!$B$6,"OK",IF(I874=0,"REVIEW (zero base)",IF(ABS(M874/ABS(I874))&gt;=Overview!$B$5,"REVIEW","OK")))</f>
        <v>OK</v>
      </c>
      <c r="P874" s="31">
        <f t="shared" si="67"/>
        <v>29712</v>
      </c>
      <c r="Q874" s="32">
        <f t="shared" si="68"/>
        <v>0.19884355926758754</v>
      </c>
      <c r="R874" s="6" t="str">
        <f>IF(ABS(P874)&lt;Overview!$B$6,"OK",IF(J874=0,"REVIEW (zero base)",IF(ABS(P874/ABS(J874))&gt;=Overview!$B$5,"REVIEW","OK")))</f>
        <v>OK</v>
      </c>
      <c r="S874" s="33">
        <f t="shared" si="69"/>
        <v>27627.000874000001</v>
      </c>
    </row>
    <row r="875" spans="1:19" x14ac:dyDescent="0.2">
      <c r="A875" s="17">
        <v>873</v>
      </c>
      <c r="B875" s="17" t="s">
        <v>171</v>
      </c>
      <c r="C875" s="17" t="s">
        <v>338</v>
      </c>
      <c r="D875" s="17" t="s">
        <v>56</v>
      </c>
      <c r="E875" s="17" t="s">
        <v>112</v>
      </c>
      <c r="F875" s="17" t="s">
        <v>400</v>
      </c>
      <c r="G875" s="17" t="s">
        <v>401</v>
      </c>
      <c r="H875" s="30">
        <v>0</v>
      </c>
      <c r="I875" s="30">
        <v>0</v>
      </c>
      <c r="J875" s="30">
        <v>0</v>
      </c>
      <c r="K875" s="30">
        <v>1000</v>
      </c>
      <c r="L875" s="30">
        <v>1000</v>
      </c>
      <c r="M875" s="31">
        <f t="shared" si="65"/>
        <v>0</v>
      </c>
      <c r="N875" s="32" t="str">
        <f t="shared" si="66"/>
        <v>n/a</v>
      </c>
      <c r="O875" s="6" t="str">
        <f>IF(ABS(M875)&lt;Overview!$B$6,"OK",IF(I875=0,"REVIEW (zero base)",IF(ABS(M875/ABS(I875))&gt;=Overview!$B$5,"REVIEW","OK")))</f>
        <v>OK</v>
      </c>
      <c r="P875" s="31">
        <f t="shared" si="67"/>
        <v>1000</v>
      </c>
      <c r="Q875" s="32" t="str">
        <f t="shared" si="68"/>
        <v>n/a</v>
      </c>
      <c r="R875" s="6" t="str">
        <f>IF(ABS(P875)&lt;Overview!$B$6,"OK",IF(J875=0,"REVIEW (zero base)",IF(ABS(P875/ABS(J875))&gt;=Overview!$B$5,"REVIEW","OK")))</f>
        <v>OK</v>
      </c>
      <c r="S875" s="33">
        <f t="shared" si="69"/>
        <v>8.7500000000000002E-4</v>
      </c>
    </row>
    <row r="876" spans="1:19" x14ac:dyDescent="0.2">
      <c r="A876" s="17">
        <v>874</v>
      </c>
      <c r="B876" s="17" t="s">
        <v>171</v>
      </c>
      <c r="C876" s="17" t="s">
        <v>338</v>
      </c>
      <c r="D876" s="17" t="s">
        <v>56</v>
      </c>
      <c r="E876" s="17" t="s">
        <v>112</v>
      </c>
      <c r="F876" s="17" t="s">
        <v>404</v>
      </c>
      <c r="G876" s="17" t="s">
        <v>477</v>
      </c>
      <c r="H876" s="30">
        <v>60476</v>
      </c>
      <c r="I876" s="30">
        <v>76408</v>
      </c>
      <c r="J876" s="30">
        <v>75000</v>
      </c>
      <c r="K876" s="30">
        <v>0</v>
      </c>
      <c r="L876" s="30">
        <v>0</v>
      </c>
      <c r="M876" s="31">
        <f t="shared" si="65"/>
        <v>-1408</v>
      </c>
      <c r="N876" s="32">
        <f t="shared" si="66"/>
        <v>-1.842738980211496E-2</v>
      </c>
      <c r="O876" s="6" t="str">
        <f>IF(ABS(M876)&lt;Overview!$B$6,"OK",IF(I876=0,"REVIEW (zero base)",IF(ABS(M876/ABS(I876))&gt;=Overview!$B$5,"REVIEW","OK")))</f>
        <v>OK</v>
      </c>
      <c r="P876" s="31">
        <f t="shared" si="67"/>
        <v>-75000</v>
      </c>
      <c r="Q876" s="32">
        <f t="shared" si="68"/>
        <v>-1</v>
      </c>
      <c r="R876" s="6" t="str">
        <f>IF(ABS(P876)&lt;Overview!$B$6,"OK",IF(J876=0,"REVIEW (zero base)",IF(ABS(P876/ABS(J876))&gt;=Overview!$B$5,"REVIEW","OK")))</f>
        <v>OK</v>
      </c>
      <c r="S876" s="33">
        <f t="shared" si="69"/>
        <v>1408.0008760000001</v>
      </c>
    </row>
    <row r="877" spans="1:19" x14ac:dyDescent="0.2">
      <c r="A877" s="17">
        <v>875</v>
      </c>
      <c r="B877" s="17" t="s">
        <v>171</v>
      </c>
      <c r="C877" s="17" t="s">
        <v>338</v>
      </c>
      <c r="D877" s="17" t="s">
        <v>56</v>
      </c>
      <c r="E877" s="17" t="s">
        <v>112</v>
      </c>
      <c r="F877" s="17" t="s">
        <v>402</v>
      </c>
      <c r="G877" s="17" t="s">
        <v>403</v>
      </c>
      <c r="H877" s="30">
        <v>319560</v>
      </c>
      <c r="I877" s="30">
        <v>382363</v>
      </c>
      <c r="J877" s="30">
        <v>190000</v>
      </c>
      <c r="K877" s="30">
        <v>235800</v>
      </c>
      <c r="L877" s="30">
        <v>237451</v>
      </c>
      <c r="M877" s="31">
        <f t="shared" si="65"/>
        <v>-192363</v>
      </c>
      <c r="N877" s="32">
        <f t="shared" si="66"/>
        <v>-0.50308999563242263</v>
      </c>
      <c r="O877" s="6" t="str">
        <f>IF(ABS(M877)&lt;Overview!$B$6,"OK",IF(I877=0,"REVIEW (zero base)",IF(ABS(M877/ABS(I877))&gt;=Overview!$B$5,"REVIEW","OK")))</f>
        <v>OK</v>
      </c>
      <c r="P877" s="31">
        <f t="shared" si="67"/>
        <v>45800</v>
      </c>
      <c r="Q877" s="32">
        <f t="shared" si="68"/>
        <v>0.24105263157894738</v>
      </c>
      <c r="R877" s="6" t="str">
        <f>IF(ABS(P877)&lt;Overview!$B$6,"OK",IF(J877=0,"REVIEW (zero base)",IF(ABS(P877/ABS(J877))&gt;=Overview!$B$5,"REVIEW","OK")))</f>
        <v>OK</v>
      </c>
      <c r="S877" s="33">
        <f t="shared" si="69"/>
        <v>192363.00087700001</v>
      </c>
    </row>
    <row r="878" spans="1:19" x14ac:dyDescent="0.2">
      <c r="A878" s="17">
        <v>876</v>
      </c>
      <c r="B878" s="17" t="s">
        <v>171</v>
      </c>
      <c r="C878" s="17" t="s">
        <v>338</v>
      </c>
      <c r="D878" s="17" t="s">
        <v>56</v>
      </c>
      <c r="E878" s="17" t="s">
        <v>112</v>
      </c>
      <c r="F878" s="17" t="s">
        <v>384</v>
      </c>
      <c r="G878" s="17" t="s">
        <v>478</v>
      </c>
      <c r="H878" s="30">
        <v>0</v>
      </c>
      <c r="I878" s="30">
        <v>0</v>
      </c>
      <c r="J878" s="30">
        <v>0</v>
      </c>
      <c r="K878" s="30">
        <v>10000</v>
      </c>
      <c r="L878" s="30">
        <v>10070</v>
      </c>
      <c r="M878" s="31">
        <f t="shared" si="65"/>
        <v>0</v>
      </c>
      <c r="N878" s="32" t="str">
        <f t="shared" si="66"/>
        <v>n/a</v>
      </c>
      <c r="O878" s="6" t="str">
        <f>IF(ABS(M878)&lt;Overview!$B$6,"OK",IF(I878=0,"REVIEW (zero base)",IF(ABS(M878/ABS(I878))&gt;=Overview!$B$5,"REVIEW","OK")))</f>
        <v>OK</v>
      </c>
      <c r="P878" s="31">
        <f t="shared" si="67"/>
        <v>10000</v>
      </c>
      <c r="Q878" s="32" t="str">
        <f t="shared" si="68"/>
        <v>n/a</v>
      </c>
      <c r="R878" s="6" t="str">
        <f>IF(ABS(P878)&lt;Overview!$B$6,"OK",IF(J878=0,"REVIEW (zero base)",IF(ABS(P878/ABS(J878))&gt;=Overview!$B$5,"REVIEW","OK")))</f>
        <v>OK</v>
      </c>
      <c r="S878" s="33">
        <f t="shared" si="69"/>
        <v>8.7799999999999998E-4</v>
      </c>
    </row>
    <row r="879" spans="1:19" x14ac:dyDescent="0.2">
      <c r="A879" s="17">
        <v>877</v>
      </c>
      <c r="B879" s="17" t="s">
        <v>171</v>
      </c>
      <c r="C879" s="17" t="s">
        <v>338</v>
      </c>
      <c r="D879" s="17" t="s">
        <v>56</v>
      </c>
      <c r="E879" s="17" t="s">
        <v>112</v>
      </c>
      <c r="F879" s="17" t="s">
        <v>347</v>
      </c>
      <c r="G879" s="17" t="s">
        <v>348</v>
      </c>
      <c r="H879" s="30">
        <v>0</v>
      </c>
      <c r="I879" s="30">
        <v>38621</v>
      </c>
      <c r="J879" s="30">
        <v>0</v>
      </c>
      <c r="K879" s="30">
        <v>0</v>
      </c>
      <c r="L879" s="30">
        <v>0</v>
      </c>
      <c r="M879" s="31">
        <f t="shared" si="65"/>
        <v>-38621</v>
      </c>
      <c r="N879" s="32">
        <f t="shared" si="66"/>
        <v>-1</v>
      </c>
      <c r="O879" s="6" t="str">
        <f>IF(ABS(M879)&lt;Overview!$B$6,"OK",IF(I879=0,"REVIEW (zero base)",IF(ABS(M879/ABS(I879))&gt;=Overview!$B$5,"REVIEW","OK")))</f>
        <v>OK</v>
      </c>
      <c r="P879" s="31">
        <f t="shared" si="67"/>
        <v>0</v>
      </c>
      <c r="Q879" s="32" t="str">
        <f t="shared" si="68"/>
        <v>n/a</v>
      </c>
      <c r="R879" s="6" t="str">
        <f>IF(ABS(P879)&lt;Overview!$B$6,"OK",IF(J879=0,"REVIEW (zero base)",IF(ABS(P879/ABS(J879))&gt;=Overview!$B$5,"REVIEW","OK")))</f>
        <v>OK</v>
      </c>
      <c r="S879" s="33">
        <f t="shared" si="69"/>
        <v>38621.000878999999</v>
      </c>
    </row>
    <row r="880" spans="1:19" x14ac:dyDescent="0.2">
      <c r="A880" s="17">
        <v>878</v>
      </c>
      <c r="B880" s="17" t="s">
        <v>171</v>
      </c>
      <c r="C880" s="17" t="s">
        <v>338</v>
      </c>
      <c r="D880" s="17" t="s">
        <v>56</v>
      </c>
      <c r="E880" s="17" t="s">
        <v>112</v>
      </c>
      <c r="F880" s="17" t="s">
        <v>386</v>
      </c>
      <c r="G880" s="17" t="s">
        <v>447</v>
      </c>
      <c r="H880" s="30">
        <v>3056</v>
      </c>
      <c r="I880" s="30">
        <v>5314</v>
      </c>
      <c r="J880" s="30">
        <v>5000</v>
      </c>
      <c r="K880" s="30">
        <v>5000</v>
      </c>
      <c r="L880" s="30">
        <v>5035</v>
      </c>
      <c r="M880" s="31">
        <f t="shared" si="65"/>
        <v>-314</v>
      </c>
      <c r="N880" s="32">
        <f t="shared" si="66"/>
        <v>-5.9089198343996986E-2</v>
      </c>
      <c r="O880" s="6" t="str">
        <f>IF(ABS(M880)&lt;Overview!$B$6,"OK",IF(I880=0,"REVIEW (zero base)",IF(ABS(M880/ABS(I880))&gt;=Overview!$B$5,"REVIEW","OK")))</f>
        <v>OK</v>
      </c>
      <c r="P880" s="31">
        <f t="shared" si="67"/>
        <v>0</v>
      </c>
      <c r="Q880" s="32">
        <f t="shared" si="68"/>
        <v>0</v>
      </c>
      <c r="R880" s="6" t="str">
        <f>IF(ABS(P880)&lt;Overview!$B$6,"OK",IF(J880=0,"REVIEW (zero base)",IF(ABS(P880/ABS(J880))&gt;=Overview!$B$5,"REVIEW","OK")))</f>
        <v>OK</v>
      </c>
      <c r="S880" s="33">
        <f t="shared" si="69"/>
        <v>314.00088</v>
      </c>
    </row>
    <row r="881" spans="1:19" x14ac:dyDescent="0.2">
      <c r="A881" s="17">
        <v>879</v>
      </c>
      <c r="B881" s="17" t="s">
        <v>171</v>
      </c>
      <c r="C881" s="17" t="s">
        <v>338</v>
      </c>
      <c r="D881" s="17" t="s">
        <v>56</v>
      </c>
      <c r="E881" s="17" t="s">
        <v>112</v>
      </c>
      <c r="F881" s="17" t="s">
        <v>479</v>
      </c>
      <c r="G881" s="17" t="s">
        <v>480</v>
      </c>
      <c r="H881" s="30">
        <v>62013</v>
      </c>
      <c r="I881" s="30">
        <v>54162</v>
      </c>
      <c r="J881" s="30">
        <v>0</v>
      </c>
      <c r="K881" s="30">
        <v>30750</v>
      </c>
      <c r="L881" s="30">
        <v>30965</v>
      </c>
      <c r="M881" s="31">
        <f t="shared" si="65"/>
        <v>-54162</v>
      </c>
      <c r="N881" s="32">
        <f t="shared" si="66"/>
        <v>-1</v>
      </c>
      <c r="O881" s="6" t="str">
        <f>IF(ABS(M881)&lt;Overview!$B$6,"OK",IF(I881=0,"REVIEW (zero base)",IF(ABS(M881/ABS(I881))&gt;=Overview!$B$5,"REVIEW","OK")))</f>
        <v>OK</v>
      </c>
      <c r="P881" s="31">
        <f t="shared" si="67"/>
        <v>30750</v>
      </c>
      <c r="Q881" s="32" t="str">
        <f t="shared" si="68"/>
        <v>n/a</v>
      </c>
      <c r="R881" s="6" t="str">
        <f>IF(ABS(P881)&lt;Overview!$B$6,"OK",IF(J881=0,"REVIEW (zero base)",IF(ABS(P881/ABS(J881))&gt;=Overview!$B$5,"REVIEW","OK")))</f>
        <v>OK</v>
      </c>
      <c r="S881" s="33">
        <f t="shared" si="69"/>
        <v>54162.000881</v>
      </c>
    </row>
    <row r="882" spans="1:19" x14ac:dyDescent="0.2">
      <c r="A882" s="17">
        <v>880</v>
      </c>
      <c r="B882" s="17" t="s">
        <v>171</v>
      </c>
      <c r="C882" s="17" t="s">
        <v>338</v>
      </c>
      <c r="D882" s="17" t="s">
        <v>56</v>
      </c>
      <c r="E882" s="17" t="s">
        <v>115</v>
      </c>
      <c r="F882" s="17" t="s">
        <v>339</v>
      </c>
      <c r="G882" s="17" t="s">
        <v>340</v>
      </c>
      <c r="H882" s="30">
        <v>482945</v>
      </c>
      <c r="I882" s="30">
        <v>466069</v>
      </c>
      <c r="J882" s="30">
        <v>561203</v>
      </c>
      <c r="K882" s="30">
        <v>622922</v>
      </c>
      <c r="L882" s="30">
        <v>629151</v>
      </c>
      <c r="M882" s="31">
        <f t="shared" si="65"/>
        <v>95134</v>
      </c>
      <c r="N882" s="32">
        <f t="shared" si="66"/>
        <v>0.2041199908168104</v>
      </c>
      <c r="O882" s="6" t="str">
        <f>IF(ABS(M882)&lt;Overview!$B$6,"OK",IF(I882=0,"REVIEW (zero base)",IF(ABS(M882/ABS(I882))&gt;=Overview!$B$5,"REVIEW","OK")))</f>
        <v>OK</v>
      </c>
      <c r="P882" s="31">
        <f t="shared" si="67"/>
        <v>61719</v>
      </c>
      <c r="Q882" s="32">
        <f t="shared" si="68"/>
        <v>0.10997624745412979</v>
      </c>
      <c r="R882" s="6" t="str">
        <f>IF(ABS(P882)&lt;Overview!$B$6,"OK",IF(J882=0,"REVIEW (zero base)",IF(ABS(P882/ABS(J882))&gt;=Overview!$B$5,"REVIEW","OK")))</f>
        <v>OK</v>
      </c>
      <c r="S882" s="33">
        <f t="shared" si="69"/>
        <v>95134.000881999993</v>
      </c>
    </row>
    <row r="883" spans="1:19" x14ac:dyDescent="0.2">
      <c r="A883" s="17">
        <v>881</v>
      </c>
      <c r="B883" s="17" t="s">
        <v>171</v>
      </c>
      <c r="C883" s="17" t="s">
        <v>338</v>
      </c>
      <c r="D883" s="17" t="s">
        <v>56</v>
      </c>
      <c r="E883" s="17" t="s">
        <v>115</v>
      </c>
      <c r="F883" s="17" t="s">
        <v>339</v>
      </c>
      <c r="G883" s="17" t="s">
        <v>389</v>
      </c>
      <c r="H883" s="30">
        <v>0</v>
      </c>
      <c r="I883" s="30">
        <v>1995</v>
      </c>
      <c r="J883" s="30">
        <v>0</v>
      </c>
      <c r="K883" s="30">
        <v>0</v>
      </c>
      <c r="L883" s="30">
        <v>0</v>
      </c>
      <c r="M883" s="31">
        <f t="shared" si="65"/>
        <v>-1995</v>
      </c>
      <c r="N883" s="32">
        <f t="shared" si="66"/>
        <v>-1</v>
      </c>
      <c r="O883" s="6" t="str">
        <f>IF(ABS(M883)&lt;Overview!$B$6,"OK",IF(I883=0,"REVIEW (zero base)",IF(ABS(M883/ABS(I883))&gt;=Overview!$B$5,"REVIEW","OK")))</f>
        <v>OK</v>
      </c>
      <c r="P883" s="31">
        <f t="shared" si="67"/>
        <v>0</v>
      </c>
      <c r="Q883" s="32" t="str">
        <f t="shared" si="68"/>
        <v>n/a</v>
      </c>
      <c r="R883" s="6" t="str">
        <f>IF(ABS(P883)&lt;Overview!$B$6,"OK",IF(J883=0,"REVIEW (zero base)",IF(ABS(P883/ABS(J883))&gt;=Overview!$B$5,"REVIEW","OK")))</f>
        <v>OK</v>
      </c>
      <c r="S883" s="33">
        <f t="shared" si="69"/>
        <v>1995.0008829999999</v>
      </c>
    </row>
    <row r="884" spans="1:19" x14ac:dyDescent="0.2">
      <c r="A884" s="17">
        <v>882</v>
      </c>
      <c r="B884" s="17" t="s">
        <v>171</v>
      </c>
      <c r="C884" s="17" t="s">
        <v>338</v>
      </c>
      <c r="D884" s="17" t="s">
        <v>56</v>
      </c>
      <c r="E884" s="17" t="s">
        <v>115</v>
      </c>
      <c r="F884" s="17" t="s">
        <v>339</v>
      </c>
      <c r="G884" s="17" t="s">
        <v>390</v>
      </c>
      <c r="H884" s="30">
        <v>6262</v>
      </c>
      <c r="I884" s="30">
        <v>0</v>
      </c>
      <c r="J884" s="30">
        <v>0</v>
      </c>
      <c r="K884" s="30">
        <v>0</v>
      </c>
      <c r="L884" s="30">
        <v>0</v>
      </c>
      <c r="M884" s="31">
        <f t="shared" si="65"/>
        <v>0</v>
      </c>
      <c r="N884" s="32" t="str">
        <f t="shared" si="66"/>
        <v>n/a</v>
      </c>
      <c r="O884" s="6" t="str">
        <f>IF(ABS(M884)&lt;Overview!$B$6,"OK",IF(I884=0,"REVIEW (zero base)",IF(ABS(M884/ABS(I884))&gt;=Overview!$B$5,"REVIEW","OK")))</f>
        <v>OK</v>
      </c>
      <c r="P884" s="31">
        <f t="shared" si="67"/>
        <v>0</v>
      </c>
      <c r="Q884" s="32" t="str">
        <f t="shared" si="68"/>
        <v>n/a</v>
      </c>
      <c r="R884" s="6" t="str">
        <f>IF(ABS(P884)&lt;Overview!$B$6,"OK",IF(J884=0,"REVIEW (zero base)",IF(ABS(P884/ABS(J884))&gt;=Overview!$B$5,"REVIEW","OK")))</f>
        <v>OK</v>
      </c>
      <c r="S884" s="33">
        <f t="shared" si="69"/>
        <v>8.8400000000000002E-4</v>
      </c>
    </row>
    <row r="885" spans="1:19" x14ac:dyDescent="0.2">
      <c r="A885" s="17">
        <v>883</v>
      </c>
      <c r="B885" s="17" t="s">
        <v>171</v>
      </c>
      <c r="C885" s="17" t="s">
        <v>338</v>
      </c>
      <c r="D885" s="17" t="s">
        <v>56</v>
      </c>
      <c r="E885" s="17" t="s">
        <v>115</v>
      </c>
      <c r="F885" s="17" t="s">
        <v>339</v>
      </c>
      <c r="G885" s="17" t="s">
        <v>391</v>
      </c>
      <c r="H885" s="30">
        <v>23942</v>
      </c>
      <c r="I885" s="30">
        <v>19035</v>
      </c>
      <c r="J885" s="30">
        <v>0</v>
      </c>
      <c r="K885" s="30">
        <v>0</v>
      </c>
      <c r="L885" s="30">
        <v>0</v>
      </c>
      <c r="M885" s="31">
        <f t="shared" si="65"/>
        <v>-19035</v>
      </c>
      <c r="N885" s="32">
        <f t="shared" si="66"/>
        <v>-1</v>
      </c>
      <c r="O885" s="6" t="str">
        <f>IF(ABS(M885)&lt;Overview!$B$6,"OK",IF(I885=0,"REVIEW (zero base)",IF(ABS(M885/ABS(I885))&gt;=Overview!$B$5,"REVIEW","OK")))</f>
        <v>OK</v>
      </c>
      <c r="P885" s="31">
        <f t="shared" si="67"/>
        <v>0</v>
      </c>
      <c r="Q885" s="32" t="str">
        <f t="shared" si="68"/>
        <v>n/a</v>
      </c>
      <c r="R885" s="6" t="str">
        <f>IF(ABS(P885)&lt;Overview!$B$6,"OK",IF(J885=0,"REVIEW (zero base)",IF(ABS(P885/ABS(J885))&gt;=Overview!$B$5,"REVIEW","OK")))</f>
        <v>OK</v>
      </c>
      <c r="S885" s="33">
        <f t="shared" si="69"/>
        <v>19035.000885000001</v>
      </c>
    </row>
    <row r="886" spans="1:19" x14ac:dyDescent="0.2">
      <c r="A886" s="17">
        <v>884</v>
      </c>
      <c r="B886" s="17" t="s">
        <v>171</v>
      </c>
      <c r="C886" s="17" t="s">
        <v>338</v>
      </c>
      <c r="D886" s="17" t="s">
        <v>56</v>
      </c>
      <c r="E886" s="17" t="s">
        <v>115</v>
      </c>
      <c r="F886" s="17" t="s">
        <v>339</v>
      </c>
      <c r="G886" s="17" t="s">
        <v>392</v>
      </c>
      <c r="H886" s="30">
        <v>37160</v>
      </c>
      <c r="I886" s="30">
        <v>44525</v>
      </c>
      <c r="J886" s="30">
        <v>0</v>
      </c>
      <c r="K886" s="30">
        <v>0</v>
      </c>
      <c r="L886" s="30">
        <v>0</v>
      </c>
      <c r="M886" s="31">
        <f t="shared" si="65"/>
        <v>-44525</v>
      </c>
      <c r="N886" s="32">
        <f t="shared" si="66"/>
        <v>-1</v>
      </c>
      <c r="O886" s="6" t="str">
        <f>IF(ABS(M886)&lt;Overview!$B$6,"OK",IF(I886=0,"REVIEW (zero base)",IF(ABS(M886/ABS(I886))&gt;=Overview!$B$5,"REVIEW","OK")))</f>
        <v>OK</v>
      </c>
      <c r="P886" s="31">
        <f t="shared" si="67"/>
        <v>0</v>
      </c>
      <c r="Q886" s="32" t="str">
        <f t="shared" si="68"/>
        <v>n/a</v>
      </c>
      <c r="R886" s="6" t="str">
        <f>IF(ABS(P886)&lt;Overview!$B$6,"OK",IF(J886=0,"REVIEW (zero base)",IF(ABS(P886/ABS(J886))&gt;=Overview!$B$5,"REVIEW","OK")))</f>
        <v>OK</v>
      </c>
      <c r="S886" s="33">
        <f t="shared" si="69"/>
        <v>44525.000886000002</v>
      </c>
    </row>
    <row r="887" spans="1:19" x14ac:dyDescent="0.2">
      <c r="A887" s="17">
        <v>885</v>
      </c>
      <c r="B887" s="17" t="s">
        <v>171</v>
      </c>
      <c r="C887" s="17" t="s">
        <v>338</v>
      </c>
      <c r="D887" s="17" t="s">
        <v>56</v>
      </c>
      <c r="E887" s="17" t="s">
        <v>115</v>
      </c>
      <c r="F887" s="17" t="s">
        <v>339</v>
      </c>
      <c r="G887" s="17" t="s">
        <v>394</v>
      </c>
      <c r="H887" s="30">
        <v>37558</v>
      </c>
      <c r="I887" s="30">
        <v>33385</v>
      </c>
      <c r="J887" s="30">
        <v>0</v>
      </c>
      <c r="K887" s="30">
        <v>0</v>
      </c>
      <c r="L887" s="30">
        <v>0</v>
      </c>
      <c r="M887" s="31">
        <f t="shared" si="65"/>
        <v>-33385</v>
      </c>
      <c r="N887" s="32">
        <f t="shared" si="66"/>
        <v>-1</v>
      </c>
      <c r="O887" s="6" t="str">
        <f>IF(ABS(M887)&lt;Overview!$B$6,"OK",IF(I887=0,"REVIEW (zero base)",IF(ABS(M887/ABS(I887))&gt;=Overview!$B$5,"REVIEW","OK")))</f>
        <v>OK</v>
      </c>
      <c r="P887" s="31">
        <f t="shared" si="67"/>
        <v>0</v>
      </c>
      <c r="Q887" s="32" t="str">
        <f t="shared" si="68"/>
        <v>n/a</v>
      </c>
      <c r="R887" s="6" t="str">
        <f>IF(ABS(P887)&lt;Overview!$B$6,"OK",IF(J887=0,"REVIEW (zero base)",IF(ABS(P887/ABS(J887))&gt;=Overview!$B$5,"REVIEW","OK")))</f>
        <v>OK</v>
      </c>
      <c r="S887" s="33">
        <f t="shared" si="69"/>
        <v>33385.000887000002</v>
      </c>
    </row>
    <row r="888" spans="1:19" x14ac:dyDescent="0.2">
      <c r="A888" s="17">
        <v>886</v>
      </c>
      <c r="B888" s="17" t="s">
        <v>171</v>
      </c>
      <c r="C888" s="17" t="s">
        <v>338</v>
      </c>
      <c r="D888" s="17" t="s">
        <v>56</v>
      </c>
      <c r="E888" s="17" t="s">
        <v>115</v>
      </c>
      <c r="F888" s="17" t="s">
        <v>339</v>
      </c>
      <c r="G888" s="17" t="s">
        <v>395</v>
      </c>
      <c r="H888" s="30">
        <v>14272</v>
      </c>
      <c r="I888" s="30">
        <v>12175</v>
      </c>
      <c r="J888" s="30">
        <v>16133</v>
      </c>
      <c r="K888" s="30">
        <v>21388</v>
      </c>
      <c r="L888" s="30">
        <v>21602</v>
      </c>
      <c r="M888" s="31">
        <f t="shared" si="65"/>
        <v>3958</v>
      </c>
      <c r="N888" s="32">
        <f t="shared" si="66"/>
        <v>0.32509240246406573</v>
      </c>
      <c r="O888" s="6" t="str">
        <f>IF(ABS(M888)&lt;Overview!$B$6,"OK",IF(I888=0,"REVIEW (zero base)",IF(ABS(M888/ABS(I888))&gt;=Overview!$B$5,"REVIEW","OK")))</f>
        <v>OK</v>
      </c>
      <c r="P888" s="31">
        <f t="shared" si="67"/>
        <v>5255</v>
      </c>
      <c r="Q888" s="32">
        <f t="shared" si="68"/>
        <v>0.32572987045186885</v>
      </c>
      <c r="R888" s="6" t="str">
        <f>IF(ABS(P888)&lt;Overview!$B$6,"OK",IF(J888=0,"REVIEW (zero base)",IF(ABS(P888/ABS(J888))&gt;=Overview!$B$5,"REVIEW","OK")))</f>
        <v>OK</v>
      </c>
      <c r="S888" s="33">
        <f t="shared" si="69"/>
        <v>3958.000888</v>
      </c>
    </row>
    <row r="889" spans="1:19" x14ac:dyDescent="0.2">
      <c r="A889" s="17">
        <v>887</v>
      </c>
      <c r="B889" s="17" t="s">
        <v>171</v>
      </c>
      <c r="C889" s="17" t="s">
        <v>338</v>
      </c>
      <c r="D889" s="17" t="s">
        <v>56</v>
      </c>
      <c r="E889" s="17" t="s">
        <v>115</v>
      </c>
      <c r="F889" s="17" t="s">
        <v>341</v>
      </c>
      <c r="G889" s="17" t="s">
        <v>342</v>
      </c>
      <c r="H889" s="30">
        <v>9162</v>
      </c>
      <c r="I889" s="30">
        <v>9202</v>
      </c>
      <c r="J889" s="30">
        <v>10692</v>
      </c>
      <c r="K889" s="30">
        <v>10692</v>
      </c>
      <c r="L889" s="30">
        <v>10692</v>
      </c>
      <c r="M889" s="31">
        <f t="shared" si="65"/>
        <v>1490</v>
      </c>
      <c r="N889" s="32">
        <f t="shared" si="66"/>
        <v>0.16192132145185828</v>
      </c>
      <c r="O889" s="6" t="str">
        <f>IF(ABS(M889)&lt;Overview!$B$6,"OK",IF(I889=0,"REVIEW (zero base)",IF(ABS(M889/ABS(I889))&gt;=Overview!$B$5,"REVIEW","OK")))</f>
        <v>OK</v>
      </c>
      <c r="P889" s="31">
        <f t="shared" si="67"/>
        <v>0</v>
      </c>
      <c r="Q889" s="32">
        <f t="shared" si="68"/>
        <v>0</v>
      </c>
      <c r="R889" s="6" t="str">
        <f>IF(ABS(P889)&lt;Overview!$B$6,"OK",IF(J889=0,"REVIEW (zero base)",IF(ABS(P889/ABS(J889))&gt;=Overview!$B$5,"REVIEW","OK")))</f>
        <v>OK</v>
      </c>
      <c r="S889" s="33">
        <f t="shared" si="69"/>
        <v>1490.0008889999999</v>
      </c>
    </row>
    <row r="890" spans="1:19" x14ac:dyDescent="0.2">
      <c r="A890" s="17">
        <v>888</v>
      </c>
      <c r="B890" s="17" t="s">
        <v>171</v>
      </c>
      <c r="C890" s="17" t="s">
        <v>338</v>
      </c>
      <c r="D890" s="17" t="s">
        <v>56</v>
      </c>
      <c r="E890" s="17" t="s">
        <v>115</v>
      </c>
      <c r="F890" s="17" t="s">
        <v>341</v>
      </c>
      <c r="G890" s="17" t="s">
        <v>375</v>
      </c>
      <c r="H890" s="30">
        <v>24675</v>
      </c>
      <c r="I890" s="30">
        <v>27063</v>
      </c>
      <c r="J890" s="30">
        <v>27300</v>
      </c>
      <c r="K890" s="30">
        <v>27300</v>
      </c>
      <c r="L890" s="30">
        <v>27300</v>
      </c>
      <c r="M890" s="31">
        <f t="shared" si="65"/>
        <v>237</v>
      </c>
      <c r="N890" s="32">
        <f t="shared" si="66"/>
        <v>8.7573439751690504E-3</v>
      </c>
      <c r="O890" s="6" t="str">
        <f>IF(ABS(M890)&lt;Overview!$B$6,"OK",IF(I890=0,"REVIEW (zero base)",IF(ABS(M890/ABS(I890))&gt;=Overview!$B$5,"REVIEW","OK")))</f>
        <v>OK</v>
      </c>
      <c r="P890" s="31">
        <f t="shared" si="67"/>
        <v>0</v>
      </c>
      <c r="Q890" s="32">
        <f t="shared" si="68"/>
        <v>0</v>
      </c>
      <c r="R890" s="6" t="str">
        <f>IF(ABS(P890)&lt;Overview!$B$6,"OK",IF(J890=0,"REVIEW (zero base)",IF(ABS(P890/ABS(J890))&gt;=Overview!$B$5,"REVIEW","OK")))</f>
        <v>OK</v>
      </c>
      <c r="S890" s="33">
        <f t="shared" si="69"/>
        <v>237.00089</v>
      </c>
    </row>
    <row r="891" spans="1:19" x14ac:dyDescent="0.2">
      <c r="A891" s="17">
        <v>889</v>
      </c>
      <c r="B891" s="17" t="s">
        <v>171</v>
      </c>
      <c r="C891" s="17" t="s">
        <v>338</v>
      </c>
      <c r="D891" s="17" t="s">
        <v>56</v>
      </c>
      <c r="E891" s="17" t="s">
        <v>115</v>
      </c>
      <c r="F891" s="17" t="s">
        <v>341</v>
      </c>
      <c r="G891" s="17" t="s">
        <v>376</v>
      </c>
      <c r="H891" s="30">
        <v>168739</v>
      </c>
      <c r="I891" s="30">
        <v>165110</v>
      </c>
      <c r="J891" s="30">
        <v>157841</v>
      </c>
      <c r="K891" s="30">
        <v>172044</v>
      </c>
      <c r="L891" s="30">
        <v>181042</v>
      </c>
      <c r="M891" s="31">
        <f t="shared" si="65"/>
        <v>-7269</v>
      </c>
      <c r="N891" s="32">
        <f t="shared" si="66"/>
        <v>-4.4025195324329233E-2</v>
      </c>
      <c r="O891" s="6" t="str">
        <f>IF(ABS(M891)&lt;Overview!$B$6,"OK",IF(I891=0,"REVIEW (zero base)",IF(ABS(M891/ABS(I891))&gt;=Overview!$B$5,"REVIEW","OK")))</f>
        <v>OK</v>
      </c>
      <c r="P891" s="31">
        <f t="shared" si="67"/>
        <v>14203</v>
      </c>
      <c r="Q891" s="32">
        <f t="shared" si="68"/>
        <v>8.9982957533213809E-2</v>
      </c>
      <c r="R891" s="6" t="str">
        <f>IF(ABS(P891)&lt;Overview!$B$6,"OK",IF(J891=0,"REVIEW (zero base)",IF(ABS(P891/ABS(J891))&gt;=Overview!$B$5,"REVIEW","OK")))</f>
        <v>OK</v>
      </c>
      <c r="S891" s="33">
        <f t="shared" si="69"/>
        <v>7269.0008909999997</v>
      </c>
    </row>
    <row r="892" spans="1:19" x14ac:dyDescent="0.2">
      <c r="A892" s="17">
        <v>890</v>
      </c>
      <c r="B892" s="17" t="s">
        <v>171</v>
      </c>
      <c r="C892" s="17" t="s">
        <v>338</v>
      </c>
      <c r="D892" s="17" t="s">
        <v>56</v>
      </c>
      <c r="E892" s="17" t="s">
        <v>115</v>
      </c>
      <c r="F892" s="17" t="s">
        <v>341</v>
      </c>
      <c r="G892" s="17" t="s">
        <v>343</v>
      </c>
      <c r="H892" s="30">
        <v>45139</v>
      </c>
      <c r="I892" s="30">
        <v>43174</v>
      </c>
      <c r="J892" s="30">
        <v>48345</v>
      </c>
      <c r="K892" s="30">
        <v>50284</v>
      </c>
      <c r="L892" s="30">
        <v>50787</v>
      </c>
      <c r="M892" s="31">
        <f t="shared" si="65"/>
        <v>5171</v>
      </c>
      <c r="N892" s="32">
        <f t="shared" si="66"/>
        <v>0.11977115856765647</v>
      </c>
      <c r="O892" s="6" t="str">
        <f>IF(ABS(M892)&lt;Overview!$B$6,"OK",IF(I892=0,"REVIEW (zero base)",IF(ABS(M892/ABS(I892))&gt;=Overview!$B$5,"REVIEW","OK")))</f>
        <v>OK</v>
      </c>
      <c r="P892" s="31">
        <f t="shared" si="67"/>
        <v>1939</v>
      </c>
      <c r="Q892" s="32">
        <f t="shared" si="68"/>
        <v>4.0107560244079014E-2</v>
      </c>
      <c r="R892" s="6" t="str">
        <f>IF(ABS(P892)&lt;Overview!$B$6,"OK",IF(J892=0,"REVIEW (zero base)",IF(ABS(P892/ABS(J892))&gt;=Overview!$B$5,"REVIEW","OK")))</f>
        <v>OK</v>
      </c>
      <c r="S892" s="33">
        <f t="shared" si="69"/>
        <v>5171.000892</v>
      </c>
    </row>
    <row r="893" spans="1:19" x14ac:dyDescent="0.2">
      <c r="A893" s="17">
        <v>891</v>
      </c>
      <c r="B893" s="17" t="s">
        <v>171</v>
      </c>
      <c r="C893" s="17" t="s">
        <v>338</v>
      </c>
      <c r="D893" s="17" t="s">
        <v>56</v>
      </c>
      <c r="E893" s="17" t="s">
        <v>115</v>
      </c>
      <c r="F893" s="17" t="s">
        <v>341</v>
      </c>
      <c r="G893" s="17" t="s">
        <v>378</v>
      </c>
      <c r="H893" s="30">
        <v>20310</v>
      </c>
      <c r="I893" s="30">
        <v>20421</v>
      </c>
      <c r="J893" s="30">
        <v>20642</v>
      </c>
      <c r="K893" s="30">
        <v>21840</v>
      </c>
      <c r="L893" s="30">
        <v>22808</v>
      </c>
      <c r="M893" s="31">
        <f t="shared" si="65"/>
        <v>221</v>
      </c>
      <c r="N893" s="32">
        <f t="shared" si="66"/>
        <v>1.0822192840703198E-2</v>
      </c>
      <c r="O893" s="6" t="str">
        <f>IF(ABS(M893)&lt;Overview!$B$6,"OK",IF(I893=0,"REVIEW (zero base)",IF(ABS(M893/ABS(I893))&gt;=Overview!$B$5,"REVIEW","OK")))</f>
        <v>OK</v>
      </c>
      <c r="P893" s="31">
        <f t="shared" si="67"/>
        <v>1198</v>
      </c>
      <c r="Q893" s="32">
        <f t="shared" si="68"/>
        <v>5.8037011917449859E-2</v>
      </c>
      <c r="R893" s="6" t="str">
        <f>IF(ABS(P893)&lt;Overview!$B$6,"OK",IF(J893=0,"REVIEW (zero base)",IF(ABS(P893/ABS(J893))&gt;=Overview!$B$5,"REVIEW","OK")))</f>
        <v>OK</v>
      </c>
      <c r="S893" s="33">
        <f t="shared" si="69"/>
        <v>221.00089299999999</v>
      </c>
    </row>
    <row r="894" spans="1:19" x14ac:dyDescent="0.2">
      <c r="A894" s="17">
        <v>892</v>
      </c>
      <c r="B894" s="17" t="s">
        <v>171</v>
      </c>
      <c r="C894" s="17" t="s">
        <v>338</v>
      </c>
      <c r="D894" s="17" t="s">
        <v>56</v>
      </c>
      <c r="E894" s="17" t="s">
        <v>115</v>
      </c>
      <c r="F894" s="17" t="s">
        <v>341</v>
      </c>
      <c r="G894" s="17" t="s">
        <v>344</v>
      </c>
      <c r="H894" s="30">
        <v>127423</v>
      </c>
      <c r="I894" s="30">
        <v>135115</v>
      </c>
      <c r="J894" s="30">
        <v>168397</v>
      </c>
      <c r="K894" s="30">
        <v>198720</v>
      </c>
      <c r="L894" s="30">
        <v>202694</v>
      </c>
      <c r="M894" s="31">
        <f t="shared" si="65"/>
        <v>33282</v>
      </c>
      <c r="N894" s="32">
        <f t="shared" si="66"/>
        <v>0.24632350220182808</v>
      </c>
      <c r="O894" s="6" t="str">
        <f>IF(ABS(M894)&lt;Overview!$B$6,"OK",IF(I894=0,"REVIEW (zero base)",IF(ABS(M894/ABS(I894))&gt;=Overview!$B$5,"REVIEW","OK")))</f>
        <v>OK</v>
      </c>
      <c r="P894" s="31">
        <f t="shared" si="67"/>
        <v>30323</v>
      </c>
      <c r="Q894" s="32">
        <f t="shared" si="68"/>
        <v>0.18006852853673166</v>
      </c>
      <c r="R894" s="6" t="str">
        <f>IF(ABS(P894)&lt;Overview!$B$6,"OK",IF(J894=0,"REVIEW (zero base)",IF(ABS(P894/ABS(J894))&gt;=Overview!$B$5,"REVIEW","OK")))</f>
        <v>OK</v>
      </c>
      <c r="S894" s="33">
        <f t="shared" si="69"/>
        <v>33282.000893999997</v>
      </c>
    </row>
    <row r="895" spans="1:19" x14ac:dyDescent="0.2">
      <c r="A895" s="17">
        <v>893</v>
      </c>
      <c r="B895" s="17" t="s">
        <v>171</v>
      </c>
      <c r="C895" s="17" t="s">
        <v>338</v>
      </c>
      <c r="D895" s="17" t="s">
        <v>56</v>
      </c>
      <c r="E895" s="17" t="s">
        <v>115</v>
      </c>
      <c r="F895" s="17" t="s">
        <v>364</v>
      </c>
      <c r="G895" s="17" t="s">
        <v>383</v>
      </c>
      <c r="H895" s="30">
        <v>25011</v>
      </c>
      <c r="I895" s="30">
        <v>860</v>
      </c>
      <c r="J895" s="30">
        <v>10000</v>
      </c>
      <c r="K895" s="30">
        <v>5000</v>
      </c>
      <c r="L895" s="30">
        <v>5000</v>
      </c>
      <c r="M895" s="31">
        <f t="shared" si="65"/>
        <v>9140</v>
      </c>
      <c r="N895" s="32">
        <f t="shared" si="66"/>
        <v>10.627906976744185</v>
      </c>
      <c r="O895" s="6" t="str">
        <f>IF(ABS(M895)&lt;Overview!$B$6,"OK",IF(I895=0,"REVIEW (zero base)",IF(ABS(M895/ABS(I895))&gt;=Overview!$B$5,"REVIEW","OK")))</f>
        <v>OK</v>
      </c>
      <c r="P895" s="31">
        <f t="shared" si="67"/>
        <v>-5000</v>
      </c>
      <c r="Q895" s="32">
        <f t="shared" si="68"/>
        <v>-0.5</v>
      </c>
      <c r="R895" s="6" t="str">
        <f>IF(ABS(P895)&lt;Overview!$B$6,"OK",IF(J895=0,"REVIEW (zero base)",IF(ABS(P895/ABS(J895))&gt;=Overview!$B$5,"REVIEW","OK")))</f>
        <v>OK</v>
      </c>
      <c r="S895" s="33">
        <f t="shared" si="69"/>
        <v>9140.0008949999992</v>
      </c>
    </row>
    <row r="896" spans="1:19" x14ac:dyDescent="0.2">
      <c r="A896" s="17">
        <v>894</v>
      </c>
      <c r="B896" s="17" t="s">
        <v>171</v>
      </c>
      <c r="C896" s="17" t="s">
        <v>338</v>
      </c>
      <c r="D896" s="17" t="s">
        <v>56</v>
      </c>
      <c r="E896" s="17" t="s">
        <v>115</v>
      </c>
      <c r="F896" s="17" t="s">
        <v>364</v>
      </c>
      <c r="G896" s="17" t="s">
        <v>398</v>
      </c>
      <c r="H896" s="30">
        <v>8702</v>
      </c>
      <c r="I896" s="30">
        <v>6142</v>
      </c>
      <c r="J896" s="30">
        <v>12500</v>
      </c>
      <c r="K896" s="30">
        <v>6600</v>
      </c>
      <c r="L896" s="30">
        <v>6646</v>
      </c>
      <c r="M896" s="31">
        <f t="shared" si="65"/>
        <v>6358</v>
      </c>
      <c r="N896" s="32">
        <f t="shared" si="66"/>
        <v>1.0351676978183002</v>
      </c>
      <c r="O896" s="6" t="str">
        <f>IF(ABS(M896)&lt;Overview!$B$6,"OK",IF(I896=0,"REVIEW (zero base)",IF(ABS(M896/ABS(I896))&gt;=Overview!$B$5,"REVIEW","OK")))</f>
        <v>OK</v>
      </c>
      <c r="P896" s="31">
        <f t="shared" si="67"/>
        <v>-5900</v>
      </c>
      <c r="Q896" s="32">
        <f t="shared" si="68"/>
        <v>-0.47199999999999998</v>
      </c>
      <c r="R896" s="6" t="str">
        <f>IF(ABS(P896)&lt;Overview!$B$6,"OK",IF(J896=0,"REVIEW (zero base)",IF(ABS(P896/ABS(J896))&gt;=Overview!$B$5,"REVIEW","OK")))</f>
        <v>OK</v>
      </c>
      <c r="S896" s="33">
        <f t="shared" si="69"/>
        <v>6358.0008959999996</v>
      </c>
    </row>
    <row r="897" spans="1:19" x14ac:dyDescent="0.2">
      <c r="A897" s="17">
        <v>895</v>
      </c>
      <c r="B897" s="17" t="s">
        <v>171</v>
      </c>
      <c r="C897" s="17" t="s">
        <v>338</v>
      </c>
      <c r="D897" s="17" t="s">
        <v>56</v>
      </c>
      <c r="E897" s="17" t="s">
        <v>115</v>
      </c>
      <c r="F897" s="17" t="s">
        <v>364</v>
      </c>
      <c r="G897" s="17" t="s">
        <v>399</v>
      </c>
      <c r="H897" s="30">
        <v>6293</v>
      </c>
      <c r="I897" s="30">
        <v>1510</v>
      </c>
      <c r="J897" s="30">
        <v>4000</v>
      </c>
      <c r="K897" s="30">
        <v>0</v>
      </c>
      <c r="L897" s="30">
        <v>0</v>
      </c>
      <c r="M897" s="31">
        <f t="shared" si="65"/>
        <v>2490</v>
      </c>
      <c r="N897" s="32">
        <f t="shared" si="66"/>
        <v>1.6490066225165563</v>
      </c>
      <c r="O897" s="6" t="str">
        <f>IF(ABS(M897)&lt;Overview!$B$6,"OK",IF(I897=0,"REVIEW (zero base)",IF(ABS(M897/ABS(I897))&gt;=Overview!$B$5,"REVIEW","OK")))</f>
        <v>OK</v>
      </c>
      <c r="P897" s="31">
        <f t="shared" si="67"/>
        <v>-4000</v>
      </c>
      <c r="Q897" s="32">
        <f t="shared" si="68"/>
        <v>-1</v>
      </c>
      <c r="R897" s="6" t="str">
        <f>IF(ABS(P897)&lt;Overview!$B$6,"OK",IF(J897=0,"REVIEW (zero base)",IF(ABS(P897/ABS(J897))&gt;=Overview!$B$5,"REVIEW","OK")))</f>
        <v>OK</v>
      </c>
      <c r="S897" s="33">
        <f t="shared" si="69"/>
        <v>2490.0008969999999</v>
      </c>
    </row>
    <row r="898" spans="1:19" x14ac:dyDescent="0.2">
      <c r="A898" s="17">
        <v>896</v>
      </c>
      <c r="B898" s="17" t="s">
        <v>171</v>
      </c>
      <c r="C898" s="17" t="s">
        <v>338</v>
      </c>
      <c r="D898" s="17" t="s">
        <v>56</v>
      </c>
      <c r="E898" s="17" t="s">
        <v>115</v>
      </c>
      <c r="F898" s="17" t="s">
        <v>402</v>
      </c>
      <c r="G898" s="17" t="s">
        <v>403</v>
      </c>
      <c r="H898" s="30">
        <v>15350</v>
      </c>
      <c r="I898" s="30">
        <v>14600</v>
      </c>
      <c r="J898" s="30">
        <v>17000</v>
      </c>
      <c r="K898" s="30">
        <v>7300</v>
      </c>
      <c r="L898" s="30">
        <v>7351</v>
      </c>
      <c r="M898" s="31">
        <f t="shared" ref="M898:M961" si="70">J898-I898</f>
        <v>2400</v>
      </c>
      <c r="N898" s="32">
        <f t="shared" ref="N898:N961" si="71">IF(I898=0,"n/a",M898/ABS(I898))</f>
        <v>0.16438356164383561</v>
      </c>
      <c r="O898" s="6" t="str">
        <f>IF(ABS(M898)&lt;Overview!$B$6,"OK",IF(I898=0,"REVIEW (zero base)",IF(ABS(M898/ABS(I898))&gt;=Overview!$B$5,"REVIEW","OK")))</f>
        <v>OK</v>
      </c>
      <c r="P898" s="31">
        <f t="shared" ref="P898:P961" si="72">K898-J898</f>
        <v>-9700</v>
      </c>
      <c r="Q898" s="32">
        <f t="shared" ref="Q898:Q961" si="73">IF(J898=0,"n/a",P898/ABS(J898))</f>
        <v>-0.57058823529411762</v>
      </c>
      <c r="R898" s="6" t="str">
        <f>IF(ABS(P898)&lt;Overview!$B$6,"OK",IF(J898=0,"REVIEW (zero base)",IF(ABS(P898/ABS(J898))&gt;=Overview!$B$5,"REVIEW","OK")))</f>
        <v>OK</v>
      </c>
      <c r="S898" s="33">
        <f t="shared" ref="S898:S961" si="74">IF(C898="EXPENSES",ABS(M898)+ROW()/1000000,0)</f>
        <v>2400.0008979999998</v>
      </c>
    </row>
    <row r="899" spans="1:19" x14ac:dyDescent="0.2">
      <c r="A899" s="17">
        <v>897</v>
      </c>
      <c r="B899" s="17" t="s">
        <v>171</v>
      </c>
      <c r="C899" s="17" t="s">
        <v>338</v>
      </c>
      <c r="D899" s="17" t="s">
        <v>56</v>
      </c>
      <c r="E899" s="17" t="s">
        <v>115</v>
      </c>
      <c r="F899" s="17" t="s">
        <v>402</v>
      </c>
      <c r="G899" s="17" t="s">
        <v>416</v>
      </c>
      <c r="H899" s="30">
        <v>0</v>
      </c>
      <c r="I899" s="30">
        <v>0</v>
      </c>
      <c r="J899" s="30">
        <v>0</v>
      </c>
      <c r="K899" s="30">
        <v>6000</v>
      </c>
      <c r="L899" s="30">
        <v>6042</v>
      </c>
      <c r="M899" s="31">
        <f t="shared" si="70"/>
        <v>0</v>
      </c>
      <c r="N899" s="32" t="str">
        <f t="shared" si="71"/>
        <v>n/a</v>
      </c>
      <c r="O899" s="6" t="str">
        <f>IF(ABS(M899)&lt;Overview!$B$6,"OK",IF(I899=0,"REVIEW (zero base)",IF(ABS(M899/ABS(I899))&gt;=Overview!$B$5,"REVIEW","OK")))</f>
        <v>OK</v>
      </c>
      <c r="P899" s="31">
        <f t="shared" si="72"/>
        <v>6000</v>
      </c>
      <c r="Q899" s="32" t="str">
        <f t="shared" si="73"/>
        <v>n/a</v>
      </c>
      <c r="R899" s="6" t="str">
        <f>IF(ABS(P899)&lt;Overview!$B$6,"OK",IF(J899=0,"REVIEW (zero base)",IF(ABS(P899/ABS(J899))&gt;=Overview!$B$5,"REVIEW","OK")))</f>
        <v>OK</v>
      </c>
      <c r="S899" s="33">
        <f t="shared" si="74"/>
        <v>8.9899999999999995E-4</v>
      </c>
    </row>
    <row r="900" spans="1:19" x14ac:dyDescent="0.2">
      <c r="A900" s="17">
        <v>898</v>
      </c>
      <c r="B900" s="17" t="s">
        <v>171</v>
      </c>
      <c r="C900" s="17" t="s">
        <v>338</v>
      </c>
      <c r="D900" s="17" t="s">
        <v>56</v>
      </c>
      <c r="E900" s="17" t="s">
        <v>115</v>
      </c>
      <c r="F900" s="17" t="s">
        <v>347</v>
      </c>
      <c r="G900" s="17" t="s">
        <v>348</v>
      </c>
      <c r="H900" s="30">
        <v>5043</v>
      </c>
      <c r="I900" s="30">
        <v>3500</v>
      </c>
      <c r="J900" s="30">
        <v>10000</v>
      </c>
      <c r="K900" s="30">
        <v>7000</v>
      </c>
      <c r="L900" s="30">
        <v>7049</v>
      </c>
      <c r="M900" s="31">
        <f t="shared" si="70"/>
        <v>6500</v>
      </c>
      <c r="N900" s="32">
        <f t="shared" si="71"/>
        <v>1.8571428571428572</v>
      </c>
      <c r="O900" s="6" t="str">
        <f>IF(ABS(M900)&lt;Overview!$B$6,"OK",IF(I900=0,"REVIEW (zero base)",IF(ABS(M900/ABS(I900))&gt;=Overview!$B$5,"REVIEW","OK")))</f>
        <v>OK</v>
      </c>
      <c r="P900" s="31">
        <f t="shared" si="72"/>
        <v>-3000</v>
      </c>
      <c r="Q900" s="32">
        <f t="shared" si="73"/>
        <v>-0.3</v>
      </c>
      <c r="R900" s="6" t="str">
        <f>IF(ABS(P900)&lt;Overview!$B$6,"OK",IF(J900=0,"REVIEW (zero base)",IF(ABS(P900/ABS(J900))&gt;=Overview!$B$5,"REVIEW","OK")))</f>
        <v>OK</v>
      </c>
      <c r="S900" s="33">
        <f t="shared" si="74"/>
        <v>6500.0009</v>
      </c>
    </row>
    <row r="901" spans="1:19" x14ac:dyDescent="0.2">
      <c r="A901" s="17">
        <v>899</v>
      </c>
      <c r="B901" s="17" t="s">
        <v>171</v>
      </c>
      <c r="C901" s="17" t="s">
        <v>338</v>
      </c>
      <c r="D901" s="17" t="s">
        <v>56</v>
      </c>
      <c r="E901" s="17" t="s">
        <v>115</v>
      </c>
      <c r="F901" s="17" t="s">
        <v>386</v>
      </c>
      <c r="G901" s="17" t="s">
        <v>413</v>
      </c>
      <c r="H901" s="30">
        <v>0</v>
      </c>
      <c r="I901" s="30">
        <v>0</v>
      </c>
      <c r="J901" s="30">
        <v>0</v>
      </c>
      <c r="K901" s="30">
        <v>5800</v>
      </c>
      <c r="L901" s="30">
        <v>5841</v>
      </c>
      <c r="M901" s="31">
        <f t="shared" si="70"/>
        <v>0</v>
      </c>
      <c r="N901" s="32" t="str">
        <f t="shared" si="71"/>
        <v>n/a</v>
      </c>
      <c r="O901" s="6" t="str">
        <f>IF(ABS(M901)&lt;Overview!$B$6,"OK",IF(I901=0,"REVIEW (zero base)",IF(ABS(M901/ABS(I901))&gt;=Overview!$B$5,"REVIEW","OK")))</f>
        <v>OK</v>
      </c>
      <c r="P901" s="31">
        <f t="shared" si="72"/>
        <v>5800</v>
      </c>
      <c r="Q901" s="32" t="str">
        <f t="shared" si="73"/>
        <v>n/a</v>
      </c>
      <c r="R901" s="6" t="str">
        <f>IF(ABS(P901)&lt;Overview!$B$6,"OK",IF(J901=0,"REVIEW (zero base)",IF(ABS(P901/ABS(J901))&gt;=Overview!$B$5,"REVIEW","OK")))</f>
        <v>OK</v>
      </c>
      <c r="S901" s="33">
        <f t="shared" si="74"/>
        <v>9.01E-4</v>
      </c>
    </row>
    <row r="902" spans="1:19" x14ac:dyDescent="0.2">
      <c r="A902" s="17">
        <v>900</v>
      </c>
      <c r="B902" s="17" t="s">
        <v>171</v>
      </c>
      <c r="C902" s="17" t="s">
        <v>338</v>
      </c>
      <c r="D902" s="17" t="s">
        <v>56</v>
      </c>
      <c r="E902" s="17" t="s">
        <v>115</v>
      </c>
      <c r="F902" s="17" t="s">
        <v>386</v>
      </c>
      <c r="G902" s="17" t="s">
        <v>387</v>
      </c>
      <c r="H902" s="30">
        <v>3117</v>
      </c>
      <c r="I902" s="30">
        <v>4041</v>
      </c>
      <c r="J902" s="30">
        <v>2800</v>
      </c>
      <c r="K902" s="30">
        <v>4000</v>
      </c>
      <c r="L902" s="30">
        <v>4028</v>
      </c>
      <c r="M902" s="31">
        <f t="shared" si="70"/>
        <v>-1241</v>
      </c>
      <c r="N902" s="32">
        <f t="shared" si="71"/>
        <v>-0.3071022024251423</v>
      </c>
      <c r="O902" s="6" t="str">
        <f>IF(ABS(M902)&lt;Overview!$B$6,"OK",IF(I902=0,"REVIEW (zero base)",IF(ABS(M902/ABS(I902))&gt;=Overview!$B$5,"REVIEW","OK")))</f>
        <v>OK</v>
      </c>
      <c r="P902" s="31">
        <f t="shared" si="72"/>
        <v>1200</v>
      </c>
      <c r="Q902" s="32">
        <f t="shared" si="73"/>
        <v>0.42857142857142855</v>
      </c>
      <c r="R902" s="6" t="str">
        <f>IF(ABS(P902)&lt;Overview!$B$6,"OK",IF(J902=0,"REVIEW (zero base)",IF(ABS(P902/ABS(J902))&gt;=Overview!$B$5,"REVIEW","OK")))</f>
        <v>OK</v>
      </c>
      <c r="S902" s="33">
        <f t="shared" si="74"/>
        <v>1241.000902</v>
      </c>
    </row>
    <row r="903" spans="1:19" x14ac:dyDescent="0.2">
      <c r="A903" s="17">
        <v>901</v>
      </c>
      <c r="B903" s="17" t="s">
        <v>171</v>
      </c>
      <c r="C903" s="17" t="s">
        <v>338</v>
      </c>
      <c r="D903" s="17" t="s">
        <v>56</v>
      </c>
      <c r="E903" s="17" t="s">
        <v>117</v>
      </c>
      <c r="F903" s="17" t="s">
        <v>339</v>
      </c>
      <c r="G903" s="17" t="s">
        <v>340</v>
      </c>
      <c r="H903" s="30">
        <v>389468</v>
      </c>
      <c r="I903" s="30">
        <v>433371</v>
      </c>
      <c r="J903" s="30">
        <v>568510</v>
      </c>
      <c r="K903" s="30">
        <v>660441</v>
      </c>
      <c r="L903" s="30">
        <v>667045</v>
      </c>
      <c r="M903" s="31">
        <f t="shared" si="70"/>
        <v>135139</v>
      </c>
      <c r="N903" s="32">
        <f t="shared" si="71"/>
        <v>0.31183212536141092</v>
      </c>
      <c r="O903" s="6" t="str">
        <f>IF(ABS(M903)&lt;Overview!$B$6,"OK",IF(I903=0,"REVIEW (zero base)",IF(ABS(M903/ABS(I903))&gt;=Overview!$B$5,"REVIEW","OK")))</f>
        <v>OK</v>
      </c>
      <c r="P903" s="31">
        <f t="shared" si="72"/>
        <v>91931</v>
      </c>
      <c r="Q903" s="32">
        <f t="shared" si="73"/>
        <v>0.16170515910010377</v>
      </c>
      <c r="R903" s="6" t="str">
        <f>IF(ABS(P903)&lt;Overview!$B$6,"OK",IF(J903=0,"REVIEW (zero base)",IF(ABS(P903/ABS(J903))&gt;=Overview!$B$5,"REVIEW","OK")))</f>
        <v>OK</v>
      </c>
      <c r="S903" s="33">
        <f t="shared" si="74"/>
        <v>135139.00090300001</v>
      </c>
    </row>
    <row r="904" spans="1:19" x14ac:dyDescent="0.2">
      <c r="A904" s="17">
        <v>902</v>
      </c>
      <c r="B904" s="17" t="s">
        <v>171</v>
      </c>
      <c r="C904" s="17" t="s">
        <v>338</v>
      </c>
      <c r="D904" s="17" t="s">
        <v>56</v>
      </c>
      <c r="E904" s="17" t="s">
        <v>117</v>
      </c>
      <c r="F904" s="17" t="s">
        <v>339</v>
      </c>
      <c r="G904" s="17" t="s">
        <v>390</v>
      </c>
      <c r="H904" s="30">
        <v>27258</v>
      </c>
      <c r="I904" s="30">
        <v>9622</v>
      </c>
      <c r="J904" s="30">
        <v>10000</v>
      </c>
      <c r="K904" s="30">
        <v>10000</v>
      </c>
      <c r="L904" s="30">
        <v>10000</v>
      </c>
      <c r="M904" s="31">
        <f t="shared" si="70"/>
        <v>378</v>
      </c>
      <c r="N904" s="32">
        <f t="shared" si="71"/>
        <v>3.928497193930576E-2</v>
      </c>
      <c r="O904" s="6" t="str">
        <f>IF(ABS(M904)&lt;Overview!$B$6,"OK",IF(I904=0,"REVIEW (zero base)",IF(ABS(M904/ABS(I904))&gt;=Overview!$B$5,"REVIEW","OK")))</f>
        <v>OK</v>
      </c>
      <c r="P904" s="31">
        <f t="shared" si="72"/>
        <v>0</v>
      </c>
      <c r="Q904" s="32">
        <f t="shared" si="73"/>
        <v>0</v>
      </c>
      <c r="R904" s="6" t="str">
        <f>IF(ABS(P904)&lt;Overview!$B$6,"OK",IF(J904=0,"REVIEW (zero base)",IF(ABS(P904/ABS(J904))&gt;=Overview!$B$5,"REVIEW","OK")))</f>
        <v>OK</v>
      </c>
      <c r="S904" s="33">
        <f t="shared" si="74"/>
        <v>378.00090399999999</v>
      </c>
    </row>
    <row r="905" spans="1:19" x14ac:dyDescent="0.2">
      <c r="A905" s="17">
        <v>903</v>
      </c>
      <c r="B905" s="17" t="s">
        <v>171</v>
      </c>
      <c r="C905" s="17" t="s">
        <v>338</v>
      </c>
      <c r="D905" s="17" t="s">
        <v>56</v>
      </c>
      <c r="E905" s="17" t="s">
        <v>117</v>
      </c>
      <c r="F905" s="17" t="s">
        <v>339</v>
      </c>
      <c r="G905" s="17" t="s">
        <v>391</v>
      </c>
      <c r="H905" s="30">
        <v>31223</v>
      </c>
      <c r="I905" s="30">
        <v>25367</v>
      </c>
      <c r="J905" s="30">
        <v>0</v>
      </c>
      <c r="K905" s="30">
        <v>0</v>
      </c>
      <c r="L905" s="30">
        <v>0</v>
      </c>
      <c r="M905" s="31">
        <f t="shared" si="70"/>
        <v>-25367</v>
      </c>
      <c r="N905" s="32">
        <f t="shared" si="71"/>
        <v>-1</v>
      </c>
      <c r="O905" s="6" t="str">
        <f>IF(ABS(M905)&lt;Overview!$B$6,"OK",IF(I905=0,"REVIEW (zero base)",IF(ABS(M905/ABS(I905))&gt;=Overview!$B$5,"REVIEW","OK")))</f>
        <v>OK</v>
      </c>
      <c r="P905" s="31">
        <f t="shared" si="72"/>
        <v>0</v>
      </c>
      <c r="Q905" s="32" t="str">
        <f t="shared" si="73"/>
        <v>n/a</v>
      </c>
      <c r="R905" s="6" t="str">
        <f>IF(ABS(P905)&lt;Overview!$B$6,"OK",IF(J905=0,"REVIEW (zero base)",IF(ABS(P905/ABS(J905))&gt;=Overview!$B$5,"REVIEW","OK")))</f>
        <v>OK</v>
      </c>
      <c r="S905" s="33">
        <f t="shared" si="74"/>
        <v>25367.000905000001</v>
      </c>
    </row>
    <row r="906" spans="1:19" x14ac:dyDescent="0.2">
      <c r="A906" s="17">
        <v>904</v>
      </c>
      <c r="B906" s="17" t="s">
        <v>171</v>
      </c>
      <c r="C906" s="17" t="s">
        <v>338</v>
      </c>
      <c r="D906" s="17" t="s">
        <v>56</v>
      </c>
      <c r="E906" s="17" t="s">
        <v>117</v>
      </c>
      <c r="F906" s="17" t="s">
        <v>339</v>
      </c>
      <c r="G906" s="17" t="s">
        <v>392</v>
      </c>
      <c r="H906" s="30">
        <v>41033</v>
      </c>
      <c r="I906" s="30">
        <v>27655</v>
      </c>
      <c r="J906" s="30">
        <v>0</v>
      </c>
      <c r="K906" s="30">
        <v>0</v>
      </c>
      <c r="L906" s="30">
        <v>0</v>
      </c>
      <c r="M906" s="31">
        <f t="shared" si="70"/>
        <v>-27655</v>
      </c>
      <c r="N906" s="32">
        <f t="shared" si="71"/>
        <v>-1</v>
      </c>
      <c r="O906" s="6" t="str">
        <f>IF(ABS(M906)&lt;Overview!$B$6,"OK",IF(I906=0,"REVIEW (zero base)",IF(ABS(M906/ABS(I906))&gt;=Overview!$B$5,"REVIEW","OK")))</f>
        <v>OK</v>
      </c>
      <c r="P906" s="31">
        <f t="shared" si="72"/>
        <v>0</v>
      </c>
      <c r="Q906" s="32" t="str">
        <f t="shared" si="73"/>
        <v>n/a</v>
      </c>
      <c r="R906" s="6" t="str">
        <f>IF(ABS(P906)&lt;Overview!$B$6,"OK",IF(J906=0,"REVIEW (zero base)",IF(ABS(P906/ABS(J906))&gt;=Overview!$B$5,"REVIEW","OK")))</f>
        <v>OK</v>
      </c>
      <c r="S906" s="33">
        <f t="shared" si="74"/>
        <v>27655.000906000001</v>
      </c>
    </row>
    <row r="907" spans="1:19" x14ac:dyDescent="0.2">
      <c r="A907" s="17">
        <v>905</v>
      </c>
      <c r="B907" s="17" t="s">
        <v>171</v>
      </c>
      <c r="C907" s="17" t="s">
        <v>338</v>
      </c>
      <c r="D907" s="17" t="s">
        <v>56</v>
      </c>
      <c r="E907" s="17" t="s">
        <v>117</v>
      </c>
      <c r="F907" s="17" t="s">
        <v>339</v>
      </c>
      <c r="G907" s="17" t="s">
        <v>393</v>
      </c>
      <c r="H907" s="30">
        <v>0</v>
      </c>
      <c r="I907" s="30">
        <v>128</v>
      </c>
      <c r="J907" s="30">
        <v>0</v>
      </c>
      <c r="K907" s="30">
        <v>0</v>
      </c>
      <c r="L907" s="30">
        <v>0</v>
      </c>
      <c r="M907" s="31">
        <f t="shared" si="70"/>
        <v>-128</v>
      </c>
      <c r="N907" s="32">
        <f t="shared" si="71"/>
        <v>-1</v>
      </c>
      <c r="O907" s="6" t="str">
        <f>IF(ABS(M907)&lt;Overview!$B$6,"OK",IF(I907=0,"REVIEW (zero base)",IF(ABS(M907/ABS(I907))&gt;=Overview!$B$5,"REVIEW","OK")))</f>
        <v>OK</v>
      </c>
      <c r="P907" s="31">
        <f t="shared" si="72"/>
        <v>0</v>
      </c>
      <c r="Q907" s="32" t="str">
        <f t="shared" si="73"/>
        <v>n/a</v>
      </c>
      <c r="R907" s="6" t="str">
        <f>IF(ABS(P907)&lt;Overview!$B$6,"OK",IF(J907=0,"REVIEW (zero base)",IF(ABS(P907/ABS(J907))&gt;=Overview!$B$5,"REVIEW","OK")))</f>
        <v>OK</v>
      </c>
      <c r="S907" s="33">
        <f t="shared" si="74"/>
        <v>128.00090700000001</v>
      </c>
    </row>
    <row r="908" spans="1:19" x14ac:dyDescent="0.2">
      <c r="A908" s="17">
        <v>906</v>
      </c>
      <c r="B908" s="17" t="s">
        <v>171</v>
      </c>
      <c r="C908" s="17" t="s">
        <v>338</v>
      </c>
      <c r="D908" s="17" t="s">
        <v>56</v>
      </c>
      <c r="E908" s="17" t="s">
        <v>117</v>
      </c>
      <c r="F908" s="17" t="s">
        <v>339</v>
      </c>
      <c r="G908" s="17" t="s">
        <v>394</v>
      </c>
      <c r="H908" s="30">
        <v>32415</v>
      </c>
      <c r="I908" s="30">
        <v>30011</v>
      </c>
      <c r="J908" s="30">
        <v>0</v>
      </c>
      <c r="K908" s="30">
        <v>0</v>
      </c>
      <c r="L908" s="30">
        <v>0</v>
      </c>
      <c r="M908" s="31">
        <f t="shared" si="70"/>
        <v>-30011</v>
      </c>
      <c r="N908" s="32">
        <f t="shared" si="71"/>
        <v>-1</v>
      </c>
      <c r="O908" s="6" t="str">
        <f>IF(ABS(M908)&lt;Overview!$B$6,"OK",IF(I908=0,"REVIEW (zero base)",IF(ABS(M908/ABS(I908))&gt;=Overview!$B$5,"REVIEW","OK")))</f>
        <v>OK</v>
      </c>
      <c r="P908" s="31">
        <f t="shared" si="72"/>
        <v>0</v>
      </c>
      <c r="Q908" s="32" t="str">
        <f t="shared" si="73"/>
        <v>n/a</v>
      </c>
      <c r="R908" s="6" t="str">
        <f>IF(ABS(P908)&lt;Overview!$B$6,"OK",IF(J908=0,"REVIEW (zero base)",IF(ABS(P908/ABS(J908))&gt;=Overview!$B$5,"REVIEW","OK")))</f>
        <v>OK</v>
      </c>
      <c r="S908" s="33">
        <f t="shared" si="74"/>
        <v>30011.000908000002</v>
      </c>
    </row>
    <row r="909" spans="1:19" x14ac:dyDescent="0.2">
      <c r="A909" s="17">
        <v>907</v>
      </c>
      <c r="B909" s="17" t="s">
        <v>171</v>
      </c>
      <c r="C909" s="17" t="s">
        <v>338</v>
      </c>
      <c r="D909" s="17" t="s">
        <v>56</v>
      </c>
      <c r="E909" s="17" t="s">
        <v>117</v>
      </c>
      <c r="F909" s="17" t="s">
        <v>339</v>
      </c>
      <c r="G909" s="17" t="s">
        <v>395</v>
      </c>
      <c r="H909" s="30">
        <v>17131</v>
      </c>
      <c r="I909" s="30">
        <v>17195</v>
      </c>
      <c r="J909" s="30">
        <v>18746</v>
      </c>
      <c r="K909" s="30">
        <v>20435</v>
      </c>
      <c r="L909" s="30">
        <v>20639</v>
      </c>
      <c r="M909" s="31">
        <f t="shared" si="70"/>
        <v>1551</v>
      </c>
      <c r="N909" s="32">
        <f t="shared" si="71"/>
        <v>9.0200639720849088E-2</v>
      </c>
      <c r="O909" s="6" t="str">
        <f>IF(ABS(M909)&lt;Overview!$B$6,"OK",IF(I909=0,"REVIEW (zero base)",IF(ABS(M909/ABS(I909))&gt;=Overview!$B$5,"REVIEW","OK")))</f>
        <v>OK</v>
      </c>
      <c r="P909" s="31">
        <f t="shared" si="72"/>
        <v>1689</v>
      </c>
      <c r="Q909" s="32">
        <f t="shared" si="73"/>
        <v>9.0099221167182331E-2</v>
      </c>
      <c r="R909" s="6" t="str">
        <f>IF(ABS(P909)&lt;Overview!$B$6,"OK",IF(J909=0,"REVIEW (zero base)",IF(ABS(P909/ABS(J909))&gt;=Overview!$B$5,"REVIEW","OK")))</f>
        <v>OK</v>
      </c>
      <c r="S909" s="33">
        <f t="shared" si="74"/>
        <v>1551.0009090000001</v>
      </c>
    </row>
    <row r="910" spans="1:19" x14ac:dyDescent="0.2">
      <c r="A910" s="17">
        <v>908</v>
      </c>
      <c r="B910" s="17" t="s">
        <v>171</v>
      </c>
      <c r="C910" s="17" t="s">
        <v>338</v>
      </c>
      <c r="D910" s="17" t="s">
        <v>56</v>
      </c>
      <c r="E910" s="17" t="s">
        <v>117</v>
      </c>
      <c r="F910" s="17" t="s">
        <v>341</v>
      </c>
      <c r="G910" s="17" t="s">
        <v>342</v>
      </c>
      <c r="H910" s="30">
        <v>6710</v>
      </c>
      <c r="I910" s="30">
        <v>6545</v>
      </c>
      <c r="J910" s="30">
        <v>8172</v>
      </c>
      <c r="K910" s="30">
        <v>8172</v>
      </c>
      <c r="L910" s="30">
        <v>8172</v>
      </c>
      <c r="M910" s="31">
        <f t="shared" si="70"/>
        <v>1627</v>
      </c>
      <c r="N910" s="32">
        <f t="shared" si="71"/>
        <v>0.24858670741023683</v>
      </c>
      <c r="O910" s="6" t="str">
        <f>IF(ABS(M910)&lt;Overview!$B$6,"OK",IF(I910=0,"REVIEW (zero base)",IF(ABS(M910/ABS(I910))&gt;=Overview!$B$5,"REVIEW","OK")))</f>
        <v>OK</v>
      </c>
      <c r="P910" s="31">
        <f t="shared" si="72"/>
        <v>0</v>
      </c>
      <c r="Q910" s="32">
        <f t="shared" si="73"/>
        <v>0</v>
      </c>
      <c r="R910" s="6" t="str">
        <f>IF(ABS(P910)&lt;Overview!$B$6,"OK",IF(J910=0,"REVIEW (zero base)",IF(ABS(P910/ABS(J910))&gt;=Overview!$B$5,"REVIEW","OK")))</f>
        <v>OK</v>
      </c>
      <c r="S910" s="33">
        <f t="shared" si="74"/>
        <v>1627.00091</v>
      </c>
    </row>
    <row r="911" spans="1:19" x14ac:dyDescent="0.2">
      <c r="A911" s="17">
        <v>909</v>
      </c>
      <c r="B911" s="17" t="s">
        <v>171</v>
      </c>
      <c r="C911" s="17" t="s">
        <v>338</v>
      </c>
      <c r="D911" s="17" t="s">
        <v>56</v>
      </c>
      <c r="E911" s="17" t="s">
        <v>117</v>
      </c>
      <c r="F911" s="17" t="s">
        <v>341</v>
      </c>
      <c r="G911" s="17" t="s">
        <v>406</v>
      </c>
      <c r="H911" s="30">
        <v>0</v>
      </c>
      <c r="I911" s="30">
        <v>1500</v>
      </c>
      <c r="J911" s="30">
        <v>0</v>
      </c>
      <c r="K911" s="30">
        <v>0</v>
      </c>
      <c r="L911" s="30">
        <v>0</v>
      </c>
      <c r="M911" s="31">
        <f t="shared" si="70"/>
        <v>-1500</v>
      </c>
      <c r="N911" s="32">
        <f t="shared" si="71"/>
        <v>-1</v>
      </c>
      <c r="O911" s="6" t="str">
        <f>IF(ABS(M911)&lt;Overview!$B$6,"OK",IF(I911=0,"REVIEW (zero base)",IF(ABS(M911/ABS(I911))&gt;=Overview!$B$5,"REVIEW","OK")))</f>
        <v>OK</v>
      </c>
      <c r="P911" s="31">
        <f t="shared" si="72"/>
        <v>0</v>
      </c>
      <c r="Q911" s="32" t="str">
        <f t="shared" si="73"/>
        <v>n/a</v>
      </c>
      <c r="R911" s="6" t="str">
        <f>IF(ABS(P911)&lt;Overview!$B$6,"OK",IF(J911=0,"REVIEW (zero base)",IF(ABS(P911/ABS(J911))&gt;=Overview!$B$5,"REVIEW","OK")))</f>
        <v>OK</v>
      </c>
      <c r="S911" s="33">
        <f t="shared" si="74"/>
        <v>1500.0009110000001</v>
      </c>
    </row>
    <row r="912" spans="1:19" x14ac:dyDescent="0.2">
      <c r="A912" s="17">
        <v>910</v>
      </c>
      <c r="B912" s="17" t="s">
        <v>171</v>
      </c>
      <c r="C912" s="17" t="s">
        <v>338</v>
      </c>
      <c r="D912" s="17" t="s">
        <v>56</v>
      </c>
      <c r="E912" s="17" t="s">
        <v>117</v>
      </c>
      <c r="F912" s="17" t="s">
        <v>341</v>
      </c>
      <c r="G912" s="17" t="s">
        <v>375</v>
      </c>
      <c r="H912" s="30">
        <v>28579</v>
      </c>
      <c r="I912" s="30">
        <v>29591</v>
      </c>
      <c r="J912" s="30">
        <v>31850</v>
      </c>
      <c r="K912" s="30">
        <v>31850</v>
      </c>
      <c r="L912" s="30">
        <v>31850</v>
      </c>
      <c r="M912" s="31">
        <f t="shared" si="70"/>
        <v>2259</v>
      </c>
      <c r="N912" s="32">
        <f t="shared" si="71"/>
        <v>7.6340779291000638E-2</v>
      </c>
      <c r="O912" s="6" t="str">
        <f>IF(ABS(M912)&lt;Overview!$B$6,"OK",IF(I912=0,"REVIEW (zero base)",IF(ABS(M912/ABS(I912))&gt;=Overview!$B$5,"REVIEW","OK")))</f>
        <v>OK</v>
      </c>
      <c r="P912" s="31">
        <f t="shared" si="72"/>
        <v>0</v>
      </c>
      <c r="Q912" s="32">
        <f t="shared" si="73"/>
        <v>0</v>
      </c>
      <c r="R912" s="6" t="str">
        <f>IF(ABS(P912)&lt;Overview!$B$6,"OK",IF(J912=0,"REVIEW (zero base)",IF(ABS(P912/ABS(J912))&gt;=Overview!$B$5,"REVIEW","OK")))</f>
        <v>OK</v>
      </c>
      <c r="S912" s="33">
        <f t="shared" si="74"/>
        <v>2259.000912</v>
      </c>
    </row>
    <row r="913" spans="1:19" x14ac:dyDescent="0.2">
      <c r="A913" s="17">
        <v>911</v>
      </c>
      <c r="B913" s="17" t="s">
        <v>171</v>
      </c>
      <c r="C913" s="17" t="s">
        <v>338</v>
      </c>
      <c r="D913" s="17" t="s">
        <v>56</v>
      </c>
      <c r="E913" s="17" t="s">
        <v>117</v>
      </c>
      <c r="F913" s="17" t="s">
        <v>341</v>
      </c>
      <c r="G913" s="17" t="s">
        <v>376</v>
      </c>
      <c r="H913" s="30">
        <v>147389</v>
      </c>
      <c r="I913" s="30">
        <v>157210</v>
      </c>
      <c r="J913" s="30">
        <v>166018</v>
      </c>
      <c r="K913" s="30">
        <v>163812</v>
      </c>
      <c r="L913" s="30">
        <v>172379</v>
      </c>
      <c r="M913" s="31">
        <f t="shared" si="70"/>
        <v>8808</v>
      </c>
      <c r="N913" s="32">
        <f t="shared" si="71"/>
        <v>5.6026970294510529E-2</v>
      </c>
      <c r="O913" s="6" t="str">
        <f>IF(ABS(M913)&lt;Overview!$B$6,"OK",IF(I913=0,"REVIEW (zero base)",IF(ABS(M913/ABS(I913))&gt;=Overview!$B$5,"REVIEW","OK")))</f>
        <v>OK</v>
      </c>
      <c r="P913" s="31">
        <f t="shared" si="72"/>
        <v>-2206</v>
      </c>
      <c r="Q913" s="32">
        <f t="shared" si="73"/>
        <v>-1.3287715789854113E-2</v>
      </c>
      <c r="R913" s="6" t="str">
        <f>IF(ABS(P913)&lt;Overview!$B$6,"OK",IF(J913=0,"REVIEW (zero base)",IF(ABS(P913/ABS(J913))&gt;=Overview!$B$5,"REVIEW","OK")))</f>
        <v>OK</v>
      </c>
      <c r="S913" s="33">
        <f t="shared" si="74"/>
        <v>8808.0009129999999</v>
      </c>
    </row>
    <row r="914" spans="1:19" x14ac:dyDescent="0.2">
      <c r="A914" s="17">
        <v>912</v>
      </c>
      <c r="B914" s="17" t="s">
        <v>171</v>
      </c>
      <c r="C914" s="17" t="s">
        <v>338</v>
      </c>
      <c r="D914" s="17" t="s">
        <v>56</v>
      </c>
      <c r="E914" s="17" t="s">
        <v>117</v>
      </c>
      <c r="F914" s="17" t="s">
        <v>341</v>
      </c>
      <c r="G914" s="17" t="s">
        <v>343</v>
      </c>
      <c r="H914" s="30">
        <v>41352</v>
      </c>
      <c r="I914" s="30">
        <v>41282</v>
      </c>
      <c r="J914" s="30">
        <v>53751</v>
      </c>
      <c r="K914" s="30">
        <v>56553</v>
      </c>
      <c r="L914" s="30">
        <v>57119</v>
      </c>
      <c r="M914" s="31">
        <f t="shared" si="70"/>
        <v>12469</v>
      </c>
      <c r="N914" s="32">
        <f t="shared" si="71"/>
        <v>0.30204447458940942</v>
      </c>
      <c r="O914" s="6" t="str">
        <f>IF(ABS(M914)&lt;Overview!$B$6,"OK",IF(I914=0,"REVIEW (zero base)",IF(ABS(M914/ABS(I914))&gt;=Overview!$B$5,"REVIEW","OK")))</f>
        <v>OK</v>
      </c>
      <c r="P914" s="31">
        <f t="shared" si="72"/>
        <v>2802</v>
      </c>
      <c r="Q914" s="32">
        <f t="shared" si="73"/>
        <v>5.2129262711391414E-2</v>
      </c>
      <c r="R914" s="6" t="str">
        <f>IF(ABS(P914)&lt;Overview!$B$6,"OK",IF(J914=0,"REVIEW (zero base)",IF(ABS(P914/ABS(J914))&gt;=Overview!$B$5,"REVIEW","OK")))</f>
        <v>OK</v>
      </c>
      <c r="S914" s="33">
        <f t="shared" si="74"/>
        <v>12469.000914</v>
      </c>
    </row>
    <row r="915" spans="1:19" x14ac:dyDescent="0.2">
      <c r="A915" s="17">
        <v>913</v>
      </c>
      <c r="B915" s="17" t="s">
        <v>171</v>
      </c>
      <c r="C915" s="17" t="s">
        <v>338</v>
      </c>
      <c r="D915" s="17" t="s">
        <v>56</v>
      </c>
      <c r="E915" s="17" t="s">
        <v>117</v>
      </c>
      <c r="F915" s="17" t="s">
        <v>341</v>
      </c>
      <c r="G915" s="17" t="s">
        <v>378</v>
      </c>
      <c r="H915" s="30">
        <v>23141</v>
      </c>
      <c r="I915" s="30">
        <v>21909</v>
      </c>
      <c r="J915" s="30">
        <v>24076</v>
      </c>
      <c r="K915" s="30">
        <v>25480</v>
      </c>
      <c r="L915" s="30">
        <v>26609</v>
      </c>
      <c r="M915" s="31">
        <f t="shared" si="70"/>
        <v>2167</v>
      </c>
      <c r="N915" s="32">
        <f t="shared" si="71"/>
        <v>9.8909124104249402E-2</v>
      </c>
      <c r="O915" s="6" t="str">
        <f>IF(ABS(M915)&lt;Overview!$B$6,"OK",IF(I915=0,"REVIEW (zero base)",IF(ABS(M915/ABS(I915))&gt;=Overview!$B$5,"REVIEW","OK")))</f>
        <v>OK</v>
      </c>
      <c r="P915" s="31">
        <f t="shared" si="72"/>
        <v>1404</v>
      </c>
      <c r="Q915" s="32">
        <f t="shared" si="73"/>
        <v>5.8315334773218146E-2</v>
      </c>
      <c r="R915" s="6" t="str">
        <f>IF(ABS(P915)&lt;Overview!$B$6,"OK",IF(J915=0,"REVIEW (zero base)",IF(ABS(P915/ABS(J915))&gt;=Overview!$B$5,"REVIEW","OK")))</f>
        <v>OK</v>
      </c>
      <c r="S915" s="33">
        <f t="shared" si="74"/>
        <v>2167.0009150000001</v>
      </c>
    </row>
    <row r="916" spans="1:19" x14ac:dyDescent="0.2">
      <c r="A916" s="17">
        <v>914</v>
      </c>
      <c r="B916" s="17" t="s">
        <v>171</v>
      </c>
      <c r="C916" s="17" t="s">
        <v>338</v>
      </c>
      <c r="D916" s="17" t="s">
        <v>56</v>
      </c>
      <c r="E916" s="17" t="s">
        <v>117</v>
      </c>
      <c r="F916" s="17" t="s">
        <v>341</v>
      </c>
      <c r="G916" s="17" t="s">
        <v>344</v>
      </c>
      <c r="H916" s="30">
        <v>79983</v>
      </c>
      <c r="I916" s="30">
        <v>76555</v>
      </c>
      <c r="J916" s="30">
        <v>94592</v>
      </c>
      <c r="K916" s="30">
        <v>112596</v>
      </c>
      <c r="L916" s="30">
        <v>114848</v>
      </c>
      <c r="M916" s="31">
        <f t="shared" si="70"/>
        <v>18037</v>
      </c>
      <c r="N916" s="32">
        <f t="shared" si="71"/>
        <v>0.23560838612762067</v>
      </c>
      <c r="O916" s="6" t="str">
        <f>IF(ABS(M916)&lt;Overview!$B$6,"OK",IF(I916=0,"REVIEW (zero base)",IF(ABS(M916/ABS(I916))&gt;=Overview!$B$5,"REVIEW","OK")))</f>
        <v>OK</v>
      </c>
      <c r="P916" s="31">
        <f t="shared" si="72"/>
        <v>18004</v>
      </c>
      <c r="Q916" s="32">
        <f t="shared" si="73"/>
        <v>0.1903332205683356</v>
      </c>
      <c r="R916" s="6" t="str">
        <f>IF(ABS(P916)&lt;Overview!$B$6,"OK",IF(J916=0,"REVIEW (zero base)",IF(ABS(P916/ABS(J916))&gt;=Overview!$B$5,"REVIEW","OK")))</f>
        <v>OK</v>
      </c>
      <c r="S916" s="33">
        <f t="shared" si="74"/>
        <v>18037.000916000001</v>
      </c>
    </row>
    <row r="917" spans="1:19" x14ac:dyDescent="0.2">
      <c r="A917" s="17">
        <v>915</v>
      </c>
      <c r="B917" s="17" t="s">
        <v>171</v>
      </c>
      <c r="C917" s="17" t="s">
        <v>338</v>
      </c>
      <c r="D917" s="17" t="s">
        <v>56</v>
      </c>
      <c r="E917" s="17" t="s">
        <v>117</v>
      </c>
      <c r="F917" s="17" t="s">
        <v>402</v>
      </c>
      <c r="G917" s="17" t="s">
        <v>403</v>
      </c>
      <c r="H917" s="30">
        <v>0</v>
      </c>
      <c r="I917" s="30">
        <v>0</v>
      </c>
      <c r="J917" s="30">
        <v>0</v>
      </c>
      <c r="K917" s="30">
        <v>3000</v>
      </c>
      <c r="L917" s="30">
        <v>3021</v>
      </c>
      <c r="M917" s="31">
        <f t="shared" si="70"/>
        <v>0</v>
      </c>
      <c r="N917" s="32" t="str">
        <f t="shared" si="71"/>
        <v>n/a</v>
      </c>
      <c r="O917" s="6" t="str">
        <f>IF(ABS(M917)&lt;Overview!$B$6,"OK",IF(I917=0,"REVIEW (zero base)",IF(ABS(M917/ABS(I917))&gt;=Overview!$B$5,"REVIEW","OK")))</f>
        <v>OK</v>
      </c>
      <c r="P917" s="31">
        <f t="shared" si="72"/>
        <v>3000</v>
      </c>
      <c r="Q917" s="32" t="str">
        <f t="shared" si="73"/>
        <v>n/a</v>
      </c>
      <c r="R917" s="6" t="str">
        <f>IF(ABS(P917)&lt;Overview!$B$6,"OK",IF(J917=0,"REVIEW (zero base)",IF(ABS(P917/ABS(J917))&gt;=Overview!$B$5,"REVIEW","OK")))</f>
        <v>OK</v>
      </c>
      <c r="S917" s="33">
        <f t="shared" si="74"/>
        <v>9.1699999999999995E-4</v>
      </c>
    </row>
    <row r="918" spans="1:19" x14ac:dyDescent="0.2">
      <c r="A918" s="17">
        <v>916</v>
      </c>
      <c r="B918" s="17" t="s">
        <v>171</v>
      </c>
      <c r="C918" s="17" t="s">
        <v>338</v>
      </c>
      <c r="D918" s="17" t="s">
        <v>56</v>
      </c>
      <c r="E918" s="17" t="s">
        <v>117</v>
      </c>
      <c r="F918" s="17" t="s">
        <v>402</v>
      </c>
      <c r="G918" s="17" t="s">
        <v>416</v>
      </c>
      <c r="H918" s="30">
        <v>0</v>
      </c>
      <c r="I918" s="30">
        <v>0</v>
      </c>
      <c r="J918" s="30">
        <v>0</v>
      </c>
      <c r="K918" s="30">
        <v>3000</v>
      </c>
      <c r="L918" s="30">
        <v>3021</v>
      </c>
      <c r="M918" s="31">
        <f t="shared" si="70"/>
        <v>0</v>
      </c>
      <c r="N918" s="32" t="str">
        <f t="shared" si="71"/>
        <v>n/a</v>
      </c>
      <c r="O918" s="6" t="str">
        <f>IF(ABS(M918)&lt;Overview!$B$6,"OK",IF(I918=0,"REVIEW (zero base)",IF(ABS(M918/ABS(I918))&gt;=Overview!$B$5,"REVIEW","OK")))</f>
        <v>OK</v>
      </c>
      <c r="P918" s="31">
        <f t="shared" si="72"/>
        <v>3000</v>
      </c>
      <c r="Q918" s="32" t="str">
        <f t="shared" si="73"/>
        <v>n/a</v>
      </c>
      <c r="R918" s="6" t="str">
        <f>IF(ABS(P918)&lt;Overview!$B$6,"OK",IF(J918=0,"REVIEW (zero base)",IF(ABS(P918/ABS(J918))&gt;=Overview!$B$5,"REVIEW","OK")))</f>
        <v>OK</v>
      </c>
      <c r="S918" s="33">
        <f t="shared" si="74"/>
        <v>9.1799999999999998E-4</v>
      </c>
    </row>
    <row r="919" spans="1:19" x14ac:dyDescent="0.2">
      <c r="A919" s="17">
        <v>917</v>
      </c>
      <c r="B919" s="17" t="s">
        <v>171</v>
      </c>
      <c r="C919" s="17" t="s">
        <v>338</v>
      </c>
      <c r="D919" s="17" t="s">
        <v>56</v>
      </c>
      <c r="E919" s="17" t="s">
        <v>117</v>
      </c>
      <c r="F919" s="17" t="s">
        <v>402</v>
      </c>
      <c r="G919" s="17" t="s">
        <v>481</v>
      </c>
      <c r="H919" s="30">
        <v>0</v>
      </c>
      <c r="I919" s="30">
        <v>19300</v>
      </c>
      <c r="J919" s="30">
        <v>25000</v>
      </c>
      <c r="K919" s="30">
        <v>25000</v>
      </c>
      <c r="L919" s="30">
        <v>25175</v>
      </c>
      <c r="M919" s="31">
        <f t="shared" si="70"/>
        <v>5700</v>
      </c>
      <c r="N919" s="32">
        <f t="shared" si="71"/>
        <v>0.29533678756476683</v>
      </c>
      <c r="O919" s="6" t="str">
        <f>IF(ABS(M919)&lt;Overview!$B$6,"OK",IF(I919=0,"REVIEW (zero base)",IF(ABS(M919/ABS(I919))&gt;=Overview!$B$5,"REVIEW","OK")))</f>
        <v>OK</v>
      </c>
      <c r="P919" s="31">
        <f t="shared" si="72"/>
        <v>0</v>
      </c>
      <c r="Q919" s="32">
        <f t="shared" si="73"/>
        <v>0</v>
      </c>
      <c r="R919" s="6" t="str">
        <f>IF(ABS(P919)&lt;Overview!$B$6,"OK",IF(J919=0,"REVIEW (zero base)",IF(ABS(P919/ABS(J919))&gt;=Overview!$B$5,"REVIEW","OK")))</f>
        <v>OK</v>
      </c>
      <c r="S919" s="33">
        <f t="shared" si="74"/>
        <v>5700.0009190000001</v>
      </c>
    </row>
    <row r="920" spans="1:19" x14ac:dyDescent="0.2">
      <c r="A920" s="17">
        <v>918</v>
      </c>
      <c r="B920" s="17" t="s">
        <v>171</v>
      </c>
      <c r="C920" s="17" t="s">
        <v>338</v>
      </c>
      <c r="D920" s="17" t="s">
        <v>56</v>
      </c>
      <c r="E920" s="17" t="s">
        <v>117</v>
      </c>
      <c r="F920" s="17" t="s">
        <v>347</v>
      </c>
      <c r="G920" s="17" t="s">
        <v>348</v>
      </c>
      <c r="H920" s="30">
        <v>46217</v>
      </c>
      <c r="I920" s="30">
        <v>1639</v>
      </c>
      <c r="J920" s="30">
        <v>50000</v>
      </c>
      <c r="K920" s="30">
        <v>50500</v>
      </c>
      <c r="L920" s="30">
        <v>50854</v>
      </c>
      <c r="M920" s="31">
        <f t="shared" si="70"/>
        <v>48361</v>
      </c>
      <c r="N920" s="32">
        <f t="shared" si="71"/>
        <v>29.506406345332518</v>
      </c>
      <c r="O920" s="6" t="str">
        <f>IF(ABS(M920)&lt;Overview!$B$6,"OK",IF(I920=0,"REVIEW (zero base)",IF(ABS(M920/ABS(I920))&gt;=Overview!$B$5,"REVIEW","OK")))</f>
        <v>OK</v>
      </c>
      <c r="P920" s="31">
        <f t="shared" si="72"/>
        <v>500</v>
      </c>
      <c r="Q920" s="32">
        <f t="shared" si="73"/>
        <v>0.01</v>
      </c>
      <c r="R920" s="6" t="str">
        <f>IF(ABS(P920)&lt;Overview!$B$6,"OK",IF(J920=0,"REVIEW (zero base)",IF(ABS(P920/ABS(J920))&gt;=Overview!$B$5,"REVIEW","OK")))</f>
        <v>OK</v>
      </c>
      <c r="S920" s="33">
        <f t="shared" si="74"/>
        <v>48361.000919999999</v>
      </c>
    </row>
    <row r="921" spans="1:19" x14ac:dyDescent="0.2">
      <c r="A921" s="17">
        <v>919</v>
      </c>
      <c r="B921" s="17" t="s">
        <v>171</v>
      </c>
      <c r="C921" s="17" t="s">
        <v>338</v>
      </c>
      <c r="D921" s="17" t="s">
        <v>56</v>
      </c>
      <c r="E921" s="17" t="s">
        <v>117</v>
      </c>
      <c r="F921" s="17" t="s">
        <v>386</v>
      </c>
      <c r="G921" s="17" t="s">
        <v>447</v>
      </c>
      <c r="H921" s="30">
        <v>455</v>
      </c>
      <c r="I921" s="30">
        <v>0</v>
      </c>
      <c r="J921" s="30">
        <v>500</v>
      </c>
      <c r="K921" s="30">
        <v>1000</v>
      </c>
      <c r="L921" s="30">
        <v>1007</v>
      </c>
      <c r="M921" s="31">
        <f t="shared" si="70"/>
        <v>500</v>
      </c>
      <c r="N921" s="32" t="str">
        <f t="shared" si="71"/>
        <v>n/a</v>
      </c>
      <c r="O921" s="6" t="str">
        <f>IF(ABS(M921)&lt;Overview!$B$6,"OK",IF(I921=0,"REVIEW (zero base)",IF(ABS(M921/ABS(I921))&gt;=Overview!$B$5,"REVIEW","OK")))</f>
        <v>OK</v>
      </c>
      <c r="P921" s="31">
        <f t="shared" si="72"/>
        <v>500</v>
      </c>
      <c r="Q921" s="32">
        <f t="shared" si="73"/>
        <v>1</v>
      </c>
      <c r="R921" s="6" t="str">
        <f>IF(ABS(P921)&lt;Overview!$B$6,"OK",IF(J921=0,"REVIEW (zero base)",IF(ABS(P921/ABS(J921))&gt;=Overview!$B$5,"REVIEW","OK")))</f>
        <v>OK</v>
      </c>
      <c r="S921" s="33">
        <f t="shared" si="74"/>
        <v>500.00092100000001</v>
      </c>
    </row>
    <row r="922" spans="1:19" x14ac:dyDescent="0.2">
      <c r="A922" s="17">
        <v>920</v>
      </c>
      <c r="B922" s="17" t="s">
        <v>171</v>
      </c>
      <c r="C922" s="17" t="s">
        <v>338</v>
      </c>
      <c r="D922" s="17" t="s">
        <v>56</v>
      </c>
      <c r="E922" s="17" t="s">
        <v>82</v>
      </c>
      <c r="F922" s="17" t="s">
        <v>339</v>
      </c>
      <c r="G922" s="17" t="s">
        <v>340</v>
      </c>
      <c r="H922" s="30">
        <v>355532</v>
      </c>
      <c r="I922" s="30">
        <v>395681</v>
      </c>
      <c r="J922" s="30">
        <v>450285</v>
      </c>
      <c r="K922" s="30">
        <v>513341</v>
      </c>
      <c r="L922" s="30">
        <v>518474</v>
      </c>
      <c r="M922" s="31">
        <f t="shared" si="70"/>
        <v>54604</v>
      </c>
      <c r="N922" s="32">
        <f t="shared" si="71"/>
        <v>0.13800005560034473</v>
      </c>
      <c r="O922" s="6" t="str">
        <f>IF(ABS(M922)&lt;Overview!$B$6,"OK",IF(I922=0,"REVIEW (zero base)",IF(ABS(M922/ABS(I922))&gt;=Overview!$B$5,"REVIEW","OK")))</f>
        <v>OK</v>
      </c>
      <c r="P922" s="31">
        <f t="shared" si="72"/>
        <v>63056</v>
      </c>
      <c r="Q922" s="32">
        <f t="shared" si="73"/>
        <v>0.14003575513286029</v>
      </c>
      <c r="R922" s="6" t="str">
        <f>IF(ABS(P922)&lt;Overview!$B$6,"OK",IF(J922=0,"REVIEW (zero base)",IF(ABS(P922/ABS(J922))&gt;=Overview!$B$5,"REVIEW","OK")))</f>
        <v>OK</v>
      </c>
      <c r="S922" s="33">
        <f t="shared" si="74"/>
        <v>54604.000921999999</v>
      </c>
    </row>
    <row r="923" spans="1:19" x14ac:dyDescent="0.2">
      <c r="A923" s="17">
        <v>921</v>
      </c>
      <c r="B923" s="17" t="s">
        <v>171</v>
      </c>
      <c r="C923" s="17" t="s">
        <v>338</v>
      </c>
      <c r="D923" s="17" t="s">
        <v>56</v>
      </c>
      <c r="E923" s="17" t="s">
        <v>82</v>
      </c>
      <c r="F923" s="17" t="s">
        <v>339</v>
      </c>
      <c r="G923" s="17" t="s">
        <v>390</v>
      </c>
      <c r="H923" s="30">
        <v>50628</v>
      </c>
      <c r="I923" s="30">
        <v>62150</v>
      </c>
      <c r="J923" s="30">
        <v>100000</v>
      </c>
      <c r="K923" s="30">
        <v>65000</v>
      </c>
      <c r="L923" s="30">
        <v>65000</v>
      </c>
      <c r="M923" s="31">
        <f t="shared" si="70"/>
        <v>37850</v>
      </c>
      <c r="N923" s="32">
        <f t="shared" si="71"/>
        <v>0.60901045856798064</v>
      </c>
      <c r="O923" s="6" t="str">
        <f>IF(ABS(M923)&lt;Overview!$B$6,"OK",IF(I923=0,"REVIEW (zero base)",IF(ABS(M923/ABS(I923))&gt;=Overview!$B$5,"REVIEW","OK")))</f>
        <v>OK</v>
      </c>
      <c r="P923" s="31">
        <f t="shared" si="72"/>
        <v>-35000</v>
      </c>
      <c r="Q923" s="32">
        <f t="shared" si="73"/>
        <v>-0.35</v>
      </c>
      <c r="R923" s="6" t="str">
        <f>IF(ABS(P923)&lt;Overview!$B$6,"OK",IF(J923=0,"REVIEW (zero base)",IF(ABS(P923/ABS(J923))&gt;=Overview!$B$5,"REVIEW","OK")))</f>
        <v>OK</v>
      </c>
      <c r="S923" s="33">
        <f t="shared" si="74"/>
        <v>37850.000923</v>
      </c>
    </row>
    <row r="924" spans="1:19" x14ac:dyDescent="0.2">
      <c r="A924" s="17">
        <v>922</v>
      </c>
      <c r="B924" s="17" t="s">
        <v>171</v>
      </c>
      <c r="C924" s="17" t="s">
        <v>338</v>
      </c>
      <c r="D924" s="17" t="s">
        <v>56</v>
      </c>
      <c r="E924" s="17" t="s">
        <v>82</v>
      </c>
      <c r="F924" s="17" t="s">
        <v>339</v>
      </c>
      <c r="G924" s="17" t="s">
        <v>391</v>
      </c>
      <c r="H924" s="30">
        <v>28808</v>
      </c>
      <c r="I924" s="30">
        <v>12912</v>
      </c>
      <c r="J924" s="30">
        <v>0</v>
      </c>
      <c r="K924" s="30">
        <v>0</v>
      </c>
      <c r="L924" s="30">
        <v>0</v>
      </c>
      <c r="M924" s="31">
        <f t="shared" si="70"/>
        <v>-12912</v>
      </c>
      <c r="N924" s="32">
        <f t="shared" si="71"/>
        <v>-1</v>
      </c>
      <c r="O924" s="6" t="str">
        <f>IF(ABS(M924)&lt;Overview!$B$6,"OK",IF(I924=0,"REVIEW (zero base)",IF(ABS(M924/ABS(I924))&gt;=Overview!$B$5,"REVIEW","OK")))</f>
        <v>OK</v>
      </c>
      <c r="P924" s="31">
        <f t="shared" si="72"/>
        <v>0</v>
      </c>
      <c r="Q924" s="32" t="str">
        <f t="shared" si="73"/>
        <v>n/a</v>
      </c>
      <c r="R924" s="6" t="str">
        <f>IF(ABS(P924)&lt;Overview!$B$6,"OK",IF(J924=0,"REVIEW (zero base)",IF(ABS(P924/ABS(J924))&gt;=Overview!$B$5,"REVIEW","OK")))</f>
        <v>OK</v>
      </c>
      <c r="S924" s="33">
        <f t="shared" si="74"/>
        <v>12912.000924</v>
      </c>
    </row>
    <row r="925" spans="1:19" x14ac:dyDescent="0.2">
      <c r="A925" s="17">
        <v>923</v>
      </c>
      <c r="B925" s="17" t="s">
        <v>171</v>
      </c>
      <c r="C925" s="17" t="s">
        <v>338</v>
      </c>
      <c r="D925" s="17" t="s">
        <v>56</v>
      </c>
      <c r="E925" s="17" t="s">
        <v>82</v>
      </c>
      <c r="F925" s="17" t="s">
        <v>339</v>
      </c>
      <c r="G925" s="17" t="s">
        <v>392</v>
      </c>
      <c r="H925" s="30">
        <v>63921</v>
      </c>
      <c r="I925" s="30">
        <v>40442</v>
      </c>
      <c r="J925" s="30">
        <v>0</v>
      </c>
      <c r="K925" s="30">
        <v>0</v>
      </c>
      <c r="L925" s="30">
        <v>0</v>
      </c>
      <c r="M925" s="31">
        <f t="shared" si="70"/>
        <v>-40442</v>
      </c>
      <c r="N925" s="32">
        <f t="shared" si="71"/>
        <v>-1</v>
      </c>
      <c r="O925" s="6" t="str">
        <f>IF(ABS(M925)&lt;Overview!$B$6,"OK",IF(I925=0,"REVIEW (zero base)",IF(ABS(M925/ABS(I925))&gt;=Overview!$B$5,"REVIEW","OK")))</f>
        <v>OK</v>
      </c>
      <c r="P925" s="31">
        <f t="shared" si="72"/>
        <v>0</v>
      </c>
      <c r="Q925" s="32" t="str">
        <f t="shared" si="73"/>
        <v>n/a</v>
      </c>
      <c r="R925" s="6" t="str">
        <f>IF(ABS(P925)&lt;Overview!$B$6,"OK",IF(J925=0,"REVIEW (zero base)",IF(ABS(P925/ABS(J925))&gt;=Overview!$B$5,"REVIEW","OK")))</f>
        <v>OK</v>
      </c>
      <c r="S925" s="33">
        <f t="shared" si="74"/>
        <v>40442.000925</v>
      </c>
    </row>
    <row r="926" spans="1:19" x14ac:dyDescent="0.2">
      <c r="A926" s="17">
        <v>924</v>
      </c>
      <c r="B926" s="17" t="s">
        <v>171</v>
      </c>
      <c r="C926" s="17" t="s">
        <v>338</v>
      </c>
      <c r="D926" s="17" t="s">
        <v>56</v>
      </c>
      <c r="E926" s="17" t="s">
        <v>82</v>
      </c>
      <c r="F926" s="17" t="s">
        <v>339</v>
      </c>
      <c r="G926" s="17" t="s">
        <v>393</v>
      </c>
      <c r="H926" s="30">
        <v>84</v>
      </c>
      <c r="I926" s="30">
        <v>0</v>
      </c>
      <c r="J926" s="30">
        <v>0</v>
      </c>
      <c r="K926" s="30">
        <v>0</v>
      </c>
      <c r="L926" s="30">
        <v>0</v>
      </c>
      <c r="M926" s="31">
        <f t="shared" si="70"/>
        <v>0</v>
      </c>
      <c r="N926" s="32" t="str">
        <f t="shared" si="71"/>
        <v>n/a</v>
      </c>
      <c r="O926" s="6" t="str">
        <f>IF(ABS(M926)&lt;Overview!$B$6,"OK",IF(I926=0,"REVIEW (zero base)",IF(ABS(M926/ABS(I926))&gt;=Overview!$B$5,"REVIEW","OK")))</f>
        <v>OK</v>
      </c>
      <c r="P926" s="31">
        <f t="shared" si="72"/>
        <v>0</v>
      </c>
      <c r="Q926" s="32" t="str">
        <f t="shared" si="73"/>
        <v>n/a</v>
      </c>
      <c r="R926" s="6" t="str">
        <f>IF(ABS(P926)&lt;Overview!$B$6,"OK",IF(J926=0,"REVIEW (zero base)",IF(ABS(P926/ABS(J926))&gt;=Overview!$B$5,"REVIEW","OK")))</f>
        <v>OK</v>
      </c>
      <c r="S926" s="33">
        <f t="shared" si="74"/>
        <v>9.2599999999999996E-4</v>
      </c>
    </row>
    <row r="927" spans="1:19" x14ac:dyDescent="0.2">
      <c r="A927" s="17">
        <v>925</v>
      </c>
      <c r="B927" s="17" t="s">
        <v>171</v>
      </c>
      <c r="C927" s="17" t="s">
        <v>338</v>
      </c>
      <c r="D927" s="17" t="s">
        <v>56</v>
      </c>
      <c r="E927" s="17" t="s">
        <v>82</v>
      </c>
      <c r="F927" s="17" t="s">
        <v>339</v>
      </c>
      <c r="G927" s="17" t="s">
        <v>394</v>
      </c>
      <c r="H927" s="30">
        <v>31021</v>
      </c>
      <c r="I927" s="30">
        <v>27617</v>
      </c>
      <c r="J927" s="30">
        <v>0</v>
      </c>
      <c r="K927" s="30">
        <v>0</v>
      </c>
      <c r="L927" s="30">
        <v>0</v>
      </c>
      <c r="M927" s="31">
        <f t="shared" si="70"/>
        <v>-27617</v>
      </c>
      <c r="N927" s="32">
        <f t="shared" si="71"/>
        <v>-1</v>
      </c>
      <c r="O927" s="6" t="str">
        <f>IF(ABS(M927)&lt;Overview!$B$6,"OK",IF(I927=0,"REVIEW (zero base)",IF(ABS(M927/ABS(I927))&gt;=Overview!$B$5,"REVIEW","OK")))</f>
        <v>OK</v>
      </c>
      <c r="P927" s="31">
        <f t="shared" si="72"/>
        <v>0</v>
      </c>
      <c r="Q927" s="32" t="str">
        <f t="shared" si="73"/>
        <v>n/a</v>
      </c>
      <c r="R927" s="6" t="str">
        <f>IF(ABS(P927)&lt;Overview!$B$6,"OK",IF(J927=0,"REVIEW (zero base)",IF(ABS(P927/ABS(J927))&gt;=Overview!$B$5,"REVIEW","OK")))</f>
        <v>OK</v>
      </c>
      <c r="S927" s="33">
        <f t="shared" si="74"/>
        <v>27617.000927000001</v>
      </c>
    </row>
    <row r="928" spans="1:19" x14ac:dyDescent="0.2">
      <c r="A928" s="17">
        <v>926</v>
      </c>
      <c r="B928" s="17" t="s">
        <v>171</v>
      </c>
      <c r="C928" s="17" t="s">
        <v>338</v>
      </c>
      <c r="D928" s="17" t="s">
        <v>56</v>
      </c>
      <c r="E928" s="17" t="s">
        <v>82</v>
      </c>
      <c r="F928" s="17" t="s">
        <v>339</v>
      </c>
      <c r="G928" s="17" t="s">
        <v>395</v>
      </c>
      <c r="H928" s="30">
        <v>29780</v>
      </c>
      <c r="I928" s="30">
        <v>22101</v>
      </c>
      <c r="J928" s="30">
        <v>22962</v>
      </c>
      <c r="K928" s="30">
        <v>24217</v>
      </c>
      <c r="L928" s="30">
        <v>24459</v>
      </c>
      <c r="M928" s="31">
        <f t="shared" si="70"/>
        <v>861</v>
      </c>
      <c r="N928" s="32">
        <f t="shared" si="71"/>
        <v>3.8957513234695262E-2</v>
      </c>
      <c r="O928" s="6" t="str">
        <f>IF(ABS(M928)&lt;Overview!$B$6,"OK",IF(I928=0,"REVIEW (zero base)",IF(ABS(M928/ABS(I928))&gt;=Overview!$B$5,"REVIEW","OK")))</f>
        <v>OK</v>
      </c>
      <c r="P928" s="31">
        <f t="shared" si="72"/>
        <v>1255</v>
      </c>
      <c r="Q928" s="32">
        <f t="shared" si="73"/>
        <v>5.4655517812037278E-2</v>
      </c>
      <c r="R928" s="6" t="str">
        <f>IF(ABS(P928)&lt;Overview!$B$6,"OK",IF(J928=0,"REVIEW (zero base)",IF(ABS(P928/ABS(J928))&gt;=Overview!$B$5,"REVIEW","OK")))</f>
        <v>OK</v>
      </c>
      <c r="S928" s="33">
        <f t="shared" si="74"/>
        <v>861.00092800000004</v>
      </c>
    </row>
    <row r="929" spans="1:19" x14ac:dyDescent="0.2">
      <c r="A929" s="17">
        <v>927</v>
      </c>
      <c r="B929" s="17" t="s">
        <v>171</v>
      </c>
      <c r="C929" s="17" t="s">
        <v>338</v>
      </c>
      <c r="D929" s="17" t="s">
        <v>56</v>
      </c>
      <c r="E929" s="17" t="s">
        <v>82</v>
      </c>
      <c r="F929" s="17" t="s">
        <v>339</v>
      </c>
      <c r="G929" s="17" t="s">
        <v>424</v>
      </c>
      <c r="H929" s="30">
        <v>1388</v>
      </c>
      <c r="I929" s="30">
        <v>990</v>
      </c>
      <c r="J929" s="30">
        <v>1500</v>
      </c>
      <c r="K929" s="30">
        <v>1500</v>
      </c>
      <c r="L929" s="30">
        <v>1500</v>
      </c>
      <c r="M929" s="31">
        <f t="shared" si="70"/>
        <v>510</v>
      </c>
      <c r="N929" s="32">
        <f t="shared" si="71"/>
        <v>0.51515151515151514</v>
      </c>
      <c r="O929" s="6" t="str">
        <f>IF(ABS(M929)&lt;Overview!$B$6,"OK",IF(I929=0,"REVIEW (zero base)",IF(ABS(M929/ABS(I929))&gt;=Overview!$B$5,"REVIEW","OK")))</f>
        <v>OK</v>
      </c>
      <c r="P929" s="31">
        <f t="shared" si="72"/>
        <v>0</v>
      </c>
      <c r="Q929" s="32">
        <f t="shared" si="73"/>
        <v>0</v>
      </c>
      <c r="R929" s="6" t="str">
        <f>IF(ABS(P929)&lt;Overview!$B$6,"OK",IF(J929=0,"REVIEW (zero base)",IF(ABS(P929/ABS(J929))&gt;=Overview!$B$5,"REVIEW","OK")))</f>
        <v>OK</v>
      </c>
      <c r="S929" s="33">
        <f t="shared" si="74"/>
        <v>510.00092899999999</v>
      </c>
    </row>
    <row r="930" spans="1:19" x14ac:dyDescent="0.2">
      <c r="A930" s="17">
        <v>928</v>
      </c>
      <c r="B930" s="17" t="s">
        <v>171</v>
      </c>
      <c r="C930" s="17" t="s">
        <v>338</v>
      </c>
      <c r="D930" s="17" t="s">
        <v>56</v>
      </c>
      <c r="E930" s="17" t="s">
        <v>82</v>
      </c>
      <c r="F930" s="17" t="s">
        <v>339</v>
      </c>
      <c r="G930" s="17" t="s">
        <v>425</v>
      </c>
      <c r="H930" s="30">
        <v>2220</v>
      </c>
      <c r="I930" s="30">
        <v>1391</v>
      </c>
      <c r="J930" s="30">
        <v>2500</v>
      </c>
      <c r="K930" s="30">
        <v>2500</v>
      </c>
      <c r="L930" s="30">
        <v>2500</v>
      </c>
      <c r="M930" s="31">
        <f t="shared" si="70"/>
        <v>1109</v>
      </c>
      <c r="N930" s="32">
        <f t="shared" si="71"/>
        <v>0.79726815240833937</v>
      </c>
      <c r="O930" s="6" t="str">
        <f>IF(ABS(M930)&lt;Overview!$B$6,"OK",IF(I930=0,"REVIEW (zero base)",IF(ABS(M930/ABS(I930))&gt;=Overview!$B$5,"REVIEW","OK")))</f>
        <v>OK</v>
      </c>
      <c r="P930" s="31">
        <f t="shared" si="72"/>
        <v>0</v>
      </c>
      <c r="Q930" s="32">
        <f t="shared" si="73"/>
        <v>0</v>
      </c>
      <c r="R930" s="6" t="str">
        <f>IF(ABS(P930)&lt;Overview!$B$6,"OK",IF(J930=0,"REVIEW (zero base)",IF(ABS(P930/ABS(J930))&gt;=Overview!$B$5,"REVIEW","OK")))</f>
        <v>OK</v>
      </c>
      <c r="S930" s="33">
        <f t="shared" si="74"/>
        <v>1109.0009299999999</v>
      </c>
    </row>
    <row r="931" spans="1:19" x14ac:dyDescent="0.2">
      <c r="A931" s="17">
        <v>929</v>
      </c>
      <c r="B931" s="17" t="s">
        <v>171</v>
      </c>
      <c r="C931" s="17" t="s">
        <v>338</v>
      </c>
      <c r="D931" s="17" t="s">
        <v>56</v>
      </c>
      <c r="E931" s="17" t="s">
        <v>82</v>
      </c>
      <c r="F931" s="17" t="s">
        <v>341</v>
      </c>
      <c r="G931" s="17" t="s">
        <v>342</v>
      </c>
      <c r="H931" s="30">
        <v>9934</v>
      </c>
      <c r="I931" s="30">
        <v>9465</v>
      </c>
      <c r="J931" s="30">
        <v>10524</v>
      </c>
      <c r="K931" s="30">
        <v>10524</v>
      </c>
      <c r="L931" s="30">
        <v>10524</v>
      </c>
      <c r="M931" s="31">
        <f t="shared" si="70"/>
        <v>1059</v>
      </c>
      <c r="N931" s="32">
        <f t="shared" si="71"/>
        <v>0.11188589540412044</v>
      </c>
      <c r="O931" s="6" t="str">
        <f>IF(ABS(M931)&lt;Overview!$B$6,"OK",IF(I931=0,"REVIEW (zero base)",IF(ABS(M931/ABS(I931))&gt;=Overview!$B$5,"REVIEW","OK")))</f>
        <v>OK</v>
      </c>
      <c r="P931" s="31">
        <f t="shared" si="72"/>
        <v>0</v>
      </c>
      <c r="Q931" s="32">
        <f t="shared" si="73"/>
        <v>0</v>
      </c>
      <c r="R931" s="6" t="str">
        <f>IF(ABS(P931)&lt;Overview!$B$6,"OK",IF(J931=0,"REVIEW (zero base)",IF(ABS(P931/ABS(J931))&gt;=Overview!$B$5,"REVIEW","OK")))</f>
        <v>OK</v>
      </c>
      <c r="S931" s="33">
        <f t="shared" si="74"/>
        <v>1059.000931</v>
      </c>
    </row>
    <row r="932" spans="1:19" x14ac:dyDescent="0.2">
      <c r="A932" s="17">
        <v>930</v>
      </c>
      <c r="B932" s="17" t="s">
        <v>171</v>
      </c>
      <c r="C932" s="17" t="s">
        <v>338</v>
      </c>
      <c r="D932" s="17" t="s">
        <v>56</v>
      </c>
      <c r="E932" s="17" t="s">
        <v>82</v>
      </c>
      <c r="F932" s="17" t="s">
        <v>341</v>
      </c>
      <c r="G932" s="17" t="s">
        <v>375</v>
      </c>
      <c r="H932" s="30">
        <v>34824</v>
      </c>
      <c r="I932" s="30">
        <v>42929</v>
      </c>
      <c r="J932" s="30">
        <v>42250</v>
      </c>
      <c r="K932" s="30">
        <v>42250</v>
      </c>
      <c r="L932" s="30">
        <v>42250</v>
      </c>
      <c r="M932" s="31">
        <f t="shared" si="70"/>
        <v>-679</v>
      </c>
      <c r="N932" s="32">
        <f t="shared" si="71"/>
        <v>-1.5816813808847165E-2</v>
      </c>
      <c r="O932" s="6" t="str">
        <f>IF(ABS(M932)&lt;Overview!$B$6,"OK",IF(I932=0,"REVIEW (zero base)",IF(ABS(M932/ABS(I932))&gt;=Overview!$B$5,"REVIEW","OK")))</f>
        <v>OK</v>
      </c>
      <c r="P932" s="31">
        <f t="shared" si="72"/>
        <v>0</v>
      </c>
      <c r="Q932" s="32">
        <f t="shared" si="73"/>
        <v>0</v>
      </c>
      <c r="R932" s="6" t="str">
        <f>IF(ABS(P932)&lt;Overview!$B$6,"OK",IF(J932=0,"REVIEW (zero base)",IF(ABS(P932/ABS(J932))&gt;=Overview!$B$5,"REVIEW","OK")))</f>
        <v>OK</v>
      </c>
      <c r="S932" s="33">
        <f t="shared" si="74"/>
        <v>679.00093200000003</v>
      </c>
    </row>
    <row r="933" spans="1:19" x14ac:dyDescent="0.2">
      <c r="A933" s="17">
        <v>931</v>
      </c>
      <c r="B933" s="17" t="s">
        <v>171</v>
      </c>
      <c r="C933" s="17" t="s">
        <v>338</v>
      </c>
      <c r="D933" s="17" t="s">
        <v>56</v>
      </c>
      <c r="E933" s="17" t="s">
        <v>82</v>
      </c>
      <c r="F933" s="17" t="s">
        <v>341</v>
      </c>
      <c r="G933" s="17" t="s">
        <v>376</v>
      </c>
      <c r="H933" s="30">
        <v>140002</v>
      </c>
      <c r="I933" s="30">
        <v>139819</v>
      </c>
      <c r="J933" s="30">
        <v>131862</v>
      </c>
      <c r="K933" s="30">
        <v>145692</v>
      </c>
      <c r="L933" s="30">
        <v>153312</v>
      </c>
      <c r="M933" s="31">
        <f t="shared" si="70"/>
        <v>-7957</v>
      </c>
      <c r="N933" s="32">
        <f t="shared" si="71"/>
        <v>-5.6909289867614558E-2</v>
      </c>
      <c r="O933" s="6" t="str">
        <f>IF(ABS(M933)&lt;Overview!$B$6,"OK",IF(I933=0,"REVIEW (zero base)",IF(ABS(M933/ABS(I933))&gt;=Overview!$B$5,"REVIEW","OK")))</f>
        <v>OK</v>
      </c>
      <c r="P933" s="31">
        <f t="shared" si="72"/>
        <v>13830</v>
      </c>
      <c r="Q933" s="32">
        <f t="shared" si="73"/>
        <v>0.10488237703053192</v>
      </c>
      <c r="R933" s="6" t="str">
        <f>IF(ABS(P933)&lt;Overview!$B$6,"OK",IF(J933=0,"REVIEW (zero base)",IF(ABS(P933/ABS(J933))&gt;=Overview!$B$5,"REVIEW","OK")))</f>
        <v>OK</v>
      </c>
      <c r="S933" s="33">
        <f t="shared" si="74"/>
        <v>7957.0009330000003</v>
      </c>
    </row>
    <row r="934" spans="1:19" x14ac:dyDescent="0.2">
      <c r="A934" s="17">
        <v>932</v>
      </c>
      <c r="B934" s="17" t="s">
        <v>171</v>
      </c>
      <c r="C934" s="17" t="s">
        <v>338</v>
      </c>
      <c r="D934" s="17" t="s">
        <v>56</v>
      </c>
      <c r="E934" s="17" t="s">
        <v>82</v>
      </c>
      <c r="F934" s="17" t="s">
        <v>341</v>
      </c>
      <c r="G934" s="17" t="s">
        <v>343</v>
      </c>
      <c r="H934" s="30">
        <v>43459</v>
      </c>
      <c r="I934" s="30">
        <v>41413</v>
      </c>
      <c r="J934" s="30">
        <v>51282</v>
      </c>
      <c r="K934" s="30">
        <v>48926</v>
      </c>
      <c r="L934" s="30">
        <v>49415</v>
      </c>
      <c r="M934" s="31">
        <f t="shared" si="70"/>
        <v>9869</v>
      </c>
      <c r="N934" s="32">
        <f t="shared" si="71"/>
        <v>0.23830681187066863</v>
      </c>
      <c r="O934" s="6" t="str">
        <f>IF(ABS(M934)&lt;Overview!$B$6,"OK",IF(I934=0,"REVIEW (zero base)",IF(ABS(M934/ABS(I934))&gt;=Overview!$B$5,"REVIEW","OK")))</f>
        <v>OK</v>
      </c>
      <c r="P934" s="31">
        <f t="shared" si="72"/>
        <v>-2356</v>
      </c>
      <c r="Q934" s="32">
        <f t="shared" si="73"/>
        <v>-4.5942045942045942E-2</v>
      </c>
      <c r="R934" s="6" t="str">
        <f>IF(ABS(P934)&lt;Overview!$B$6,"OK",IF(J934=0,"REVIEW (zero base)",IF(ABS(P934/ABS(J934))&gt;=Overview!$B$5,"REVIEW","OK")))</f>
        <v>OK</v>
      </c>
      <c r="S934" s="33">
        <f t="shared" si="74"/>
        <v>9869.0009339999997</v>
      </c>
    </row>
    <row r="935" spans="1:19" x14ac:dyDescent="0.2">
      <c r="A935" s="17">
        <v>933</v>
      </c>
      <c r="B935" s="17" t="s">
        <v>171</v>
      </c>
      <c r="C935" s="17" t="s">
        <v>338</v>
      </c>
      <c r="D935" s="17" t="s">
        <v>56</v>
      </c>
      <c r="E935" s="17" t="s">
        <v>82</v>
      </c>
      <c r="F935" s="17" t="s">
        <v>341</v>
      </c>
      <c r="G935" s="17" t="s">
        <v>378</v>
      </c>
      <c r="H935" s="30">
        <v>28274</v>
      </c>
      <c r="I935" s="30">
        <v>32402</v>
      </c>
      <c r="J935" s="30">
        <v>31942</v>
      </c>
      <c r="K935" s="30">
        <v>33800</v>
      </c>
      <c r="L935" s="30">
        <v>35297</v>
      </c>
      <c r="M935" s="31">
        <f t="shared" si="70"/>
        <v>-460</v>
      </c>
      <c r="N935" s="32">
        <f t="shared" si="71"/>
        <v>-1.4196654527498303E-2</v>
      </c>
      <c r="O935" s="6" t="str">
        <f>IF(ABS(M935)&lt;Overview!$B$6,"OK",IF(I935=0,"REVIEW (zero base)",IF(ABS(M935/ABS(I935))&gt;=Overview!$B$5,"REVIEW","OK")))</f>
        <v>OK</v>
      </c>
      <c r="P935" s="31">
        <f t="shared" si="72"/>
        <v>1858</v>
      </c>
      <c r="Q935" s="32">
        <f t="shared" si="73"/>
        <v>5.8167929371986726E-2</v>
      </c>
      <c r="R935" s="6" t="str">
        <f>IF(ABS(P935)&lt;Overview!$B$6,"OK",IF(J935=0,"REVIEW (zero base)",IF(ABS(P935/ABS(J935))&gt;=Overview!$B$5,"REVIEW","OK")))</f>
        <v>OK</v>
      </c>
      <c r="S935" s="33">
        <f t="shared" si="74"/>
        <v>460.00093500000003</v>
      </c>
    </row>
    <row r="936" spans="1:19" x14ac:dyDescent="0.2">
      <c r="A936" s="17">
        <v>934</v>
      </c>
      <c r="B936" s="17" t="s">
        <v>171</v>
      </c>
      <c r="C936" s="17" t="s">
        <v>338</v>
      </c>
      <c r="D936" s="17" t="s">
        <v>56</v>
      </c>
      <c r="E936" s="17" t="s">
        <v>82</v>
      </c>
      <c r="F936" s="17" t="s">
        <v>341</v>
      </c>
      <c r="G936" s="17" t="s">
        <v>344</v>
      </c>
      <c r="H936" s="30">
        <v>111172</v>
      </c>
      <c r="I936" s="30">
        <v>104564</v>
      </c>
      <c r="J936" s="30">
        <v>129892</v>
      </c>
      <c r="K936" s="30">
        <v>153792</v>
      </c>
      <c r="L936" s="30">
        <v>156868</v>
      </c>
      <c r="M936" s="31">
        <f t="shared" si="70"/>
        <v>25328</v>
      </c>
      <c r="N936" s="32">
        <f t="shared" si="71"/>
        <v>0.2422248575035385</v>
      </c>
      <c r="O936" s="6" t="str">
        <f>IF(ABS(M936)&lt;Overview!$B$6,"OK",IF(I936=0,"REVIEW (zero base)",IF(ABS(M936/ABS(I936))&gt;=Overview!$B$5,"REVIEW","OK")))</f>
        <v>OK</v>
      </c>
      <c r="P936" s="31">
        <f t="shared" si="72"/>
        <v>23900</v>
      </c>
      <c r="Q936" s="32">
        <f t="shared" si="73"/>
        <v>0.18399901456594708</v>
      </c>
      <c r="R936" s="6" t="str">
        <f>IF(ABS(P936)&lt;Overview!$B$6,"OK",IF(J936=0,"REVIEW (zero base)",IF(ABS(P936/ABS(J936))&gt;=Overview!$B$5,"REVIEW","OK")))</f>
        <v>OK</v>
      </c>
      <c r="S936" s="33">
        <f t="shared" si="74"/>
        <v>25328.000936</v>
      </c>
    </row>
    <row r="937" spans="1:19" x14ac:dyDescent="0.2">
      <c r="A937" s="17">
        <v>935</v>
      </c>
      <c r="B937" s="17" t="s">
        <v>171</v>
      </c>
      <c r="C937" s="17" t="s">
        <v>338</v>
      </c>
      <c r="D937" s="17" t="s">
        <v>56</v>
      </c>
      <c r="E937" s="17" t="s">
        <v>82</v>
      </c>
      <c r="F937" s="17" t="s">
        <v>440</v>
      </c>
      <c r="G937" s="17" t="s">
        <v>441</v>
      </c>
      <c r="H937" s="30">
        <v>3322312</v>
      </c>
      <c r="I937" s="30">
        <v>3834154</v>
      </c>
      <c r="J937" s="30">
        <v>3355000</v>
      </c>
      <c r="K937" s="30">
        <v>3522750</v>
      </c>
      <c r="L937" s="30">
        <v>3547409</v>
      </c>
      <c r="M937" s="31">
        <f t="shared" si="70"/>
        <v>-479154</v>
      </c>
      <c r="N937" s="32">
        <f t="shared" si="71"/>
        <v>-0.12496994121780189</v>
      </c>
      <c r="O937" s="6" t="str">
        <f>IF(ABS(M937)&lt;Overview!$B$6,"OK",IF(I937=0,"REVIEW (zero base)",IF(ABS(M937/ABS(I937))&gt;=Overview!$B$5,"REVIEW","OK")))</f>
        <v>REVIEW</v>
      </c>
      <c r="P937" s="31">
        <f t="shared" si="72"/>
        <v>167750</v>
      </c>
      <c r="Q937" s="32">
        <f t="shared" si="73"/>
        <v>0.05</v>
      </c>
      <c r="R937" s="6" t="str">
        <f>IF(ABS(P937)&lt;Overview!$B$6,"OK",IF(J937=0,"REVIEW (zero base)",IF(ABS(P937/ABS(J937))&gt;=Overview!$B$5,"REVIEW","OK")))</f>
        <v>OK</v>
      </c>
      <c r="S937" s="33">
        <f t="shared" si="74"/>
        <v>479154.00093699998</v>
      </c>
    </row>
    <row r="938" spans="1:19" x14ac:dyDescent="0.2">
      <c r="A938" s="17">
        <v>936</v>
      </c>
      <c r="B938" s="17" t="s">
        <v>171</v>
      </c>
      <c r="C938" s="17" t="s">
        <v>338</v>
      </c>
      <c r="D938" s="17" t="s">
        <v>56</v>
      </c>
      <c r="E938" s="17" t="s">
        <v>82</v>
      </c>
      <c r="F938" s="17" t="s">
        <v>364</v>
      </c>
      <c r="G938" s="17" t="s">
        <v>443</v>
      </c>
      <c r="H938" s="30">
        <v>0</v>
      </c>
      <c r="I938" s="30">
        <v>0</v>
      </c>
      <c r="J938" s="30">
        <v>0</v>
      </c>
      <c r="K938" s="30">
        <v>15000</v>
      </c>
      <c r="L938" s="30">
        <v>15105</v>
      </c>
      <c r="M938" s="31">
        <f t="shared" si="70"/>
        <v>0</v>
      </c>
      <c r="N938" s="32" t="str">
        <f t="shared" si="71"/>
        <v>n/a</v>
      </c>
      <c r="O938" s="6" t="str">
        <f>IF(ABS(M938)&lt;Overview!$B$6,"OK",IF(I938=0,"REVIEW (zero base)",IF(ABS(M938/ABS(I938))&gt;=Overview!$B$5,"REVIEW","OK")))</f>
        <v>OK</v>
      </c>
      <c r="P938" s="31">
        <f t="shared" si="72"/>
        <v>15000</v>
      </c>
      <c r="Q938" s="32" t="str">
        <f t="shared" si="73"/>
        <v>n/a</v>
      </c>
      <c r="R938" s="6" t="str">
        <f>IF(ABS(P938)&lt;Overview!$B$6,"OK",IF(J938=0,"REVIEW (zero base)",IF(ABS(P938/ABS(J938))&gt;=Overview!$B$5,"REVIEW","OK")))</f>
        <v>OK</v>
      </c>
      <c r="S938" s="33">
        <f t="shared" si="74"/>
        <v>9.3800000000000003E-4</v>
      </c>
    </row>
    <row r="939" spans="1:19" x14ac:dyDescent="0.2">
      <c r="A939" s="17">
        <v>937</v>
      </c>
      <c r="B939" s="17" t="s">
        <v>171</v>
      </c>
      <c r="C939" s="17" t="s">
        <v>338</v>
      </c>
      <c r="D939" s="17" t="s">
        <v>56</v>
      </c>
      <c r="E939" s="17" t="s">
        <v>82</v>
      </c>
      <c r="F939" s="17" t="s">
        <v>364</v>
      </c>
      <c r="G939" s="17" t="s">
        <v>482</v>
      </c>
      <c r="H939" s="30">
        <v>2846400</v>
      </c>
      <c r="I939" s="30">
        <v>2932375</v>
      </c>
      <c r="J939" s="30">
        <v>3020166</v>
      </c>
      <c r="K939" s="30">
        <v>3276000</v>
      </c>
      <c r="L939" s="30">
        <v>3298932</v>
      </c>
      <c r="M939" s="31">
        <f t="shared" si="70"/>
        <v>87791</v>
      </c>
      <c r="N939" s="32">
        <f t="shared" si="71"/>
        <v>2.9938531054179634E-2</v>
      </c>
      <c r="O939" s="6" t="str">
        <f>IF(ABS(M939)&lt;Overview!$B$6,"OK",IF(I939=0,"REVIEW (zero base)",IF(ABS(M939/ABS(I939))&gt;=Overview!$B$5,"REVIEW","OK")))</f>
        <v>OK</v>
      </c>
      <c r="P939" s="31">
        <f t="shared" si="72"/>
        <v>255834</v>
      </c>
      <c r="Q939" s="32">
        <f t="shared" si="73"/>
        <v>8.470858886564514E-2</v>
      </c>
      <c r="R939" s="6" t="str">
        <f>IF(ABS(P939)&lt;Overview!$B$6,"OK",IF(J939=0,"REVIEW (zero base)",IF(ABS(P939/ABS(J939))&gt;=Overview!$B$5,"REVIEW","OK")))</f>
        <v>OK</v>
      </c>
      <c r="S939" s="33">
        <f t="shared" si="74"/>
        <v>87791.000939000005</v>
      </c>
    </row>
    <row r="940" spans="1:19" x14ac:dyDescent="0.2">
      <c r="A940" s="17">
        <v>938</v>
      </c>
      <c r="B940" s="17" t="s">
        <v>171</v>
      </c>
      <c r="C940" s="17" t="s">
        <v>338</v>
      </c>
      <c r="D940" s="17" t="s">
        <v>56</v>
      </c>
      <c r="E940" s="17" t="s">
        <v>82</v>
      </c>
      <c r="F940" s="17" t="s">
        <v>364</v>
      </c>
      <c r="G940" s="17" t="s">
        <v>483</v>
      </c>
      <c r="H940" s="30">
        <v>9797</v>
      </c>
      <c r="I940" s="30">
        <v>17052</v>
      </c>
      <c r="J940" s="30">
        <v>50000</v>
      </c>
      <c r="K940" s="30">
        <v>50000</v>
      </c>
      <c r="L940" s="30">
        <v>50000</v>
      </c>
      <c r="M940" s="31">
        <f t="shared" si="70"/>
        <v>32948</v>
      </c>
      <c r="N940" s="32">
        <f t="shared" si="71"/>
        <v>1.9322073657049026</v>
      </c>
      <c r="O940" s="6" t="str">
        <f>IF(ABS(M940)&lt;Overview!$B$6,"OK",IF(I940=0,"REVIEW (zero base)",IF(ABS(M940/ABS(I940))&gt;=Overview!$B$5,"REVIEW","OK")))</f>
        <v>OK</v>
      </c>
      <c r="P940" s="31">
        <f t="shared" si="72"/>
        <v>0</v>
      </c>
      <c r="Q940" s="32">
        <f t="shared" si="73"/>
        <v>0</v>
      </c>
      <c r="R940" s="6" t="str">
        <f>IF(ABS(P940)&lt;Overview!$B$6,"OK",IF(J940=0,"REVIEW (zero base)",IF(ABS(P940/ABS(J940))&gt;=Overview!$B$5,"REVIEW","OK")))</f>
        <v>OK</v>
      </c>
      <c r="S940" s="33">
        <f t="shared" si="74"/>
        <v>32948.000939999998</v>
      </c>
    </row>
    <row r="941" spans="1:19" x14ac:dyDescent="0.2">
      <c r="A941" s="17">
        <v>939</v>
      </c>
      <c r="B941" s="17" t="s">
        <v>171</v>
      </c>
      <c r="C941" s="17" t="s">
        <v>338</v>
      </c>
      <c r="D941" s="17" t="s">
        <v>56</v>
      </c>
      <c r="E941" s="17" t="s">
        <v>82</v>
      </c>
      <c r="F941" s="17" t="s">
        <v>409</v>
      </c>
      <c r="G941" s="17" t="s">
        <v>410</v>
      </c>
      <c r="H941" s="30">
        <v>109540</v>
      </c>
      <c r="I941" s="30">
        <v>74224</v>
      </c>
      <c r="J941" s="30">
        <v>175000</v>
      </c>
      <c r="K941" s="30">
        <v>175000</v>
      </c>
      <c r="L941" s="30">
        <v>176225</v>
      </c>
      <c r="M941" s="31">
        <f t="shared" si="70"/>
        <v>100776</v>
      </c>
      <c r="N941" s="32">
        <f t="shared" si="71"/>
        <v>1.3577279586117699</v>
      </c>
      <c r="O941" s="6" t="str">
        <f>IF(ABS(M941)&lt;Overview!$B$6,"OK",IF(I941=0,"REVIEW (zero base)",IF(ABS(M941/ABS(I941))&gt;=Overview!$B$5,"REVIEW","OK")))</f>
        <v>OK</v>
      </c>
      <c r="P941" s="31">
        <f t="shared" si="72"/>
        <v>0</v>
      </c>
      <c r="Q941" s="32">
        <f t="shared" si="73"/>
        <v>0</v>
      </c>
      <c r="R941" s="6" t="str">
        <f>IF(ABS(P941)&lt;Overview!$B$6,"OK",IF(J941=0,"REVIEW (zero base)",IF(ABS(P941/ABS(J941))&gt;=Overview!$B$5,"REVIEW","OK")))</f>
        <v>OK</v>
      </c>
      <c r="S941" s="33">
        <f t="shared" si="74"/>
        <v>100776.00094100001</v>
      </c>
    </row>
    <row r="942" spans="1:19" x14ac:dyDescent="0.2">
      <c r="A942" s="17">
        <v>940</v>
      </c>
      <c r="B942" s="17" t="s">
        <v>171</v>
      </c>
      <c r="C942" s="17" t="s">
        <v>338</v>
      </c>
      <c r="D942" s="17" t="s">
        <v>56</v>
      </c>
      <c r="E942" s="17" t="s">
        <v>82</v>
      </c>
      <c r="F942" s="17" t="s">
        <v>409</v>
      </c>
      <c r="G942" s="17" t="s">
        <v>484</v>
      </c>
      <c r="H942" s="30">
        <v>3660049</v>
      </c>
      <c r="I942" s="30">
        <v>3807989</v>
      </c>
      <c r="J942" s="30">
        <v>4163157</v>
      </c>
      <c r="K942" s="30">
        <v>4149000</v>
      </c>
      <c r="L942" s="30">
        <v>4178043</v>
      </c>
      <c r="M942" s="31">
        <f t="shared" si="70"/>
        <v>355168</v>
      </c>
      <c r="N942" s="32">
        <f t="shared" si="71"/>
        <v>9.3269176985542768E-2</v>
      </c>
      <c r="O942" s="6" t="str">
        <f>IF(ABS(M942)&lt;Overview!$B$6,"OK",IF(I942=0,"REVIEW (zero base)",IF(ABS(M942/ABS(I942))&gt;=Overview!$B$5,"REVIEW","OK")))</f>
        <v>OK</v>
      </c>
      <c r="P942" s="31">
        <f t="shared" si="72"/>
        <v>-14157</v>
      </c>
      <c r="Q942" s="32">
        <f t="shared" si="73"/>
        <v>-3.4005443465139557E-3</v>
      </c>
      <c r="R942" s="6" t="str">
        <f>IF(ABS(P942)&lt;Overview!$B$6,"OK",IF(J942=0,"REVIEW (zero base)",IF(ABS(P942/ABS(J942))&gt;=Overview!$B$5,"REVIEW","OK")))</f>
        <v>OK</v>
      </c>
      <c r="S942" s="33">
        <f t="shared" si="74"/>
        <v>355168.00094200001</v>
      </c>
    </row>
    <row r="943" spans="1:19" x14ac:dyDescent="0.2">
      <c r="A943" s="17">
        <v>941</v>
      </c>
      <c r="B943" s="17" t="s">
        <v>171</v>
      </c>
      <c r="C943" s="17" t="s">
        <v>338</v>
      </c>
      <c r="D943" s="17" t="s">
        <v>56</v>
      </c>
      <c r="E943" s="17" t="s">
        <v>82</v>
      </c>
      <c r="F943" s="17" t="s">
        <v>347</v>
      </c>
      <c r="G943" s="17" t="s">
        <v>348</v>
      </c>
      <c r="H943" s="30">
        <v>7016</v>
      </c>
      <c r="I943" s="30">
        <v>37509</v>
      </c>
      <c r="J943" s="30">
        <v>8000</v>
      </c>
      <c r="K943" s="30">
        <v>8000</v>
      </c>
      <c r="L943" s="30">
        <v>8056</v>
      </c>
      <c r="M943" s="31">
        <f t="shared" si="70"/>
        <v>-29509</v>
      </c>
      <c r="N943" s="32">
        <f t="shared" si="71"/>
        <v>-0.78671785438161512</v>
      </c>
      <c r="O943" s="6" t="str">
        <f>IF(ABS(M943)&lt;Overview!$B$6,"OK",IF(I943=0,"REVIEW (zero base)",IF(ABS(M943/ABS(I943))&gt;=Overview!$B$5,"REVIEW","OK")))</f>
        <v>OK</v>
      </c>
      <c r="P943" s="31">
        <f t="shared" si="72"/>
        <v>0</v>
      </c>
      <c r="Q943" s="32">
        <f t="shared" si="73"/>
        <v>0</v>
      </c>
      <c r="R943" s="6" t="str">
        <f>IF(ABS(P943)&lt;Overview!$B$6,"OK",IF(J943=0,"REVIEW (zero base)",IF(ABS(P943/ABS(J943))&gt;=Overview!$B$5,"REVIEW","OK")))</f>
        <v>OK</v>
      </c>
      <c r="S943" s="33">
        <f t="shared" si="74"/>
        <v>29509.000942999999</v>
      </c>
    </row>
    <row r="944" spans="1:19" x14ac:dyDescent="0.2">
      <c r="A944" s="17">
        <v>942</v>
      </c>
      <c r="B944" s="17" t="s">
        <v>171</v>
      </c>
      <c r="C944" s="17" t="s">
        <v>338</v>
      </c>
      <c r="D944" s="17" t="s">
        <v>56</v>
      </c>
      <c r="E944" s="17" t="s">
        <v>82</v>
      </c>
      <c r="F944" s="17" t="s">
        <v>386</v>
      </c>
      <c r="G944" s="17" t="s">
        <v>447</v>
      </c>
      <c r="H944" s="30">
        <v>759</v>
      </c>
      <c r="I944" s="30">
        <v>916</v>
      </c>
      <c r="J944" s="30">
        <v>1000</v>
      </c>
      <c r="K944" s="30">
        <v>6000</v>
      </c>
      <c r="L944" s="30">
        <v>6042</v>
      </c>
      <c r="M944" s="31">
        <f t="shared" si="70"/>
        <v>84</v>
      </c>
      <c r="N944" s="32">
        <f t="shared" si="71"/>
        <v>9.1703056768558958E-2</v>
      </c>
      <c r="O944" s="6" t="str">
        <f>IF(ABS(M944)&lt;Overview!$B$6,"OK",IF(I944=0,"REVIEW (zero base)",IF(ABS(M944/ABS(I944))&gt;=Overview!$B$5,"REVIEW","OK")))</f>
        <v>OK</v>
      </c>
      <c r="P944" s="31">
        <f t="shared" si="72"/>
        <v>5000</v>
      </c>
      <c r="Q944" s="32">
        <f t="shared" si="73"/>
        <v>5</v>
      </c>
      <c r="R944" s="6" t="str">
        <f>IF(ABS(P944)&lt;Overview!$B$6,"OK",IF(J944=0,"REVIEW (zero base)",IF(ABS(P944/ABS(J944))&gt;=Overview!$B$5,"REVIEW","OK")))</f>
        <v>OK</v>
      </c>
      <c r="S944" s="33">
        <f t="shared" si="74"/>
        <v>84.000944000000004</v>
      </c>
    </row>
    <row r="945" spans="1:19" x14ac:dyDescent="0.2">
      <c r="A945" s="17">
        <v>943</v>
      </c>
      <c r="B945" s="17" t="s">
        <v>171</v>
      </c>
      <c r="C945" s="17" t="s">
        <v>338</v>
      </c>
      <c r="D945" s="17" t="s">
        <v>56</v>
      </c>
      <c r="E945" s="17" t="s">
        <v>82</v>
      </c>
      <c r="F945" s="17" t="s">
        <v>485</v>
      </c>
      <c r="G945" s="17" t="s">
        <v>486</v>
      </c>
      <c r="H945" s="30">
        <v>5906</v>
      </c>
      <c r="I945" s="30">
        <v>10574</v>
      </c>
      <c r="J945" s="30">
        <v>15000</v>
      </c>
      <c r="K945" s="30">
        <v>0</v>
      </c>
      <c r="L945" s="30">
        <v>0</v>
      </c>
      <c r="M945" s="31">
        <f t="shared" si="70"/>
        <v>4426</v>
      </c>
      <c r="N945" s="32">
        <f t="shared" si="71"/>
        <v>0.41857386041233213</v>
      </c>
      <c r="O945" s="6" t="str">
        <f>IF(ABS(M945)&lt;Overview!$B$6,"OK",IF(I945=0,"REVIEW (zero base)",IF(ABS(M945/ABS(I945))&gt;=Overview!$B$5,"REVIEW","OK")))</f>
        <v>OK</v>
      </c>
      <c r="P945" s="31">
        <f t="shared" si="72"/>
        <v>-15000</v>
      </c>
      <c r="Q945" s="32">
        <f t="shared" si="73"/>
        <v>-1</v>
      </c>
      <c r="R945" s="6" t="str">
        <f>IF(ABS(P945)&lt;Overview!$B$6,"OK",IF(J945=0,"REVIEW (zero base)",IF(ABS(P945/ABS(J945))&gt;=Overview!$B$5,"REVIEW","OK")))</f>
        <v>OK</v>
      </c>
      <c r="S945" s="33">
        <f t="shared" si="74"/>
        <v>4426.0009449999998</v>
      </c>
    </row>
    <row r="946" spans="1:19" x14ac:dyDescent="0.2">
      <c r="A946" s="17">
        <v>944</v>
      </c>
      <c r="B946" s="17" t="s">
        <v>171</v>
      </c>
      <c r="C946" s="17" t="s">
        <v>338</v>
      </c>
      <c r="D946" s="17" t="s">
        <v>56</v>
      </c>
      <c r="E946" s="17" t="s">
        <v>89</v>
      </c>
      <c r="F946" s="17" t="s">
        <v>339</v>
      </c>
      <c r="G946" s="17" t="s">
        <v>340</v>
      </c>
      <c r="H946" s="30">
        <v>1621359</v>
      </c>
      <c r="I946" s="30">
        <v>1687999</v>
      </c>
      <c r="J946" s="30">
        <v>2001514</v>
      </c>
      <c r="K946" s="30">
        <v>2293994</v>
      </c>
      <c r="L946" s="30">
        <v>2316934</v>
      </c>
      <c r="M946" s="31">
        <f t="shared" si="70"/>
        <v>313515</v>
      </c>
      <c r="N946" s="32">
        <f t="shared" si="71"/>
        <v>0.18573174510174473</v>
      </c>
      <c r="O946" s="6" t="str">
        <f>IF(ABS(M946)&lt;Overview!$B$6,"OK",IF(I946=0,"REVIEW (zero base)",IF(ABS(M946/ABS(I946))&gt;=Overview!$B$5,"REVIEW","OK")))</f>
        <v>REVIEW</v>
      </c>
      <c r="P946" s="31">
        <f t="shared" si="72"/>
        <v>292480</v>
      </c>
      <c r="Q946" s="32">
        <f t="shared" si="73"/>
        <v>0.1461293800592951</v>
      </c>
      <c r="R946" s="6" t="str">
        <f>IF(ABS(P946)&lt;Overview!$B$6,"OK",IF(J946=0,"REVIEW (zero base)",IF(ABS(P946/ABS(J946))&gt;=Overview!$B$5,"REVIEW","OK")))</f>
        <v>REVIEW</v>
      </c>
      <c r="S946" s="33">
        <f t="shared" si="74"/>
        <v>313515.00094599999</v>
      </c>
    </row>
    <row r="947" spans="1:19" x14ac:dyDescent="0.2">
      <c r="A947" s="17">
        <v>945</v>
      </c>
      <c r="B947" s="17" t="s">
        <v>171</v>
      </c>
      <c r="C947" s="17" t="s">
        <v>338</v>
      </c>
      <c r="D947" s="17" t="s">
        <v>56</v>
      </c>
      <c r="E947" s="17" t="s">
        <v>89</v>
      </c>
      <c r="F947" s="17" t="s">
        <v>339</v>
      </c>
      <c r="G947" s="17" t="s">
        <v>389</v>
      </c>
      <c r="H947" s="30">
        <v>14379</v>
      </c>
      <c r="I947" s="30">
        <v>52825</v>
      </c>
      <c r="J947" s="30">
        <v>62292</v>
      </c>
      <c r="K947" s="30">
        <v>62298</v>
      </c>
      <c r="L947" s="30">
        <v>62298</v>
      </c>
      <c r="M947" s="31">
        <f t="shared" si="70"/>
        <v>9467</v>
      </c>
      <c r="N947" s="32">
        <f t="shared" si="71"/>
        <v>0.17921438712730714</v>
      </c>
      <c r="O947" s="6" t="str">
        <f>IF(ABS(M947)&lt;Overview!$B$6,"OK",IF(I947=0,"REVIEW (zero base)",IF(ABS(M947/ABS(I947))&gt;=Overview!$B$5,"REVIEW","OK")))</f>
        <v>OK</v>
      </c>
      <c r="P947" s="31">
        <f t="shared" si="72"/>
        <v>6</v>
      </c>
      <c r="Q947" s="32">
        <f t="shared" si="73"/>
        <v>9.6320554806395689E-5</v>
      </c>
      <c r="R947" s="6" t="str">
        <f>IF(ABS(P947)&lt;Overview!$B$6,"OK",IF(J947=0,"REVIEW (zero base)",IF(ABS(P947/ABS(J947))&gt;=Overview!$B$5,"REVIEW","OK")))</f>
        <v>OK</v>
      </c>
      <c r="S947" s="33">
        <f t="shared" si="74"/>
        <v>9467.0009470000005</v>
      </c>
    </row>
    <row r="948" spans="1:19" x14ac:dyDescent="0.2">
      <c r="A948" s="17">
        <v>946</v>
      </c>
      <c r="B948" s="17" t="s">
        <v>171</v>
      </c>
      <c r="C948" s="17" t="s">
        <v>338</v>
      </c>
      <c r="D948" s="17" t="s">
        <v>56</v>
      </c>
      <c r="E948" s="17" t="s">
        <v>89</v>
      </c>
      <c r="F948" s="17" t="s">
        <v>339</v>
      </c>
      <c r="G948" s="17" t="s">
        <v>390</v>
      </c>
      <c r="H948" s="30">
        <v>193877</v>
      </c>
      <c r="I948" s="30">
        <v>149393</v>
      </c>
      <c r="J948" s="30">
        <v>100000</v>
      </c>
      <c r="K948" s="30">
        <v>100000</v>
      </c>
      <c r="L948" s="30">
        <v>100000</v>
      </c>
      <c r="M948" s="31">
        <f t="shared" si="70"/>
        <v>-49393</v>
      </c>
      <c r="N948" s="32">
        <f t="shared" si="71"/>
        <v>-0.33062459419116025</v>
      </c>
      <c r="O948" s="6" t="str">
        <f>IF(ABS(M948)&lt;Overview!$B$6,"OK",IF(I948=0,"REVIEW (zero base)",IF(ABS(M948/ABS(I948))&gt;=Overview!$B$5,"REVIEW","OK")))</f>
        <v>OK</v>
      </c>
      <c r="P948" s="31">
        <f t="shared" si="72"/>
        <v>0</v>
      </c>
      <c r="Q948" s="32">
        <f t="shared" si="73"/>
        <v>0</v>
      </c>
      <c r="R948" s="6" t="str">
        <f>IF(ABS(P948)&lt;Overview!$B$6,"OK",IF(J948=0,"REVIEW (zero base)",IF(ABS(P948/ABS(J948))&gt;=Overview!$B$5,"REVIEW","OK")))</f>
        <v>OK</v>
      </c>
      <c r="S948" s="33">
        <f t="shared" si="74"/>
        <v>49393.000948000001</v>
      </c>
    </row>
    <row r="949" spans="1:19" x14ac:dyDescent="0.2">
      <c r="A949" s="17">
        <v>947</v>
      </c>
      <c r="B949" s="17" t="s">
        <v>171</v>
      </c>
      <c r="C949" s="17" t="s">
        <v>338</v>
      </c>
      <c r="D949" s="17" t="s">
        <v>56</v>
      </c>
      <c r="E949" s="17" t="s">
        <v>89</v>
      </c>
      <c r="F949" s="17" t="s">
        <v>339</v>
      </c>
      <c r="G949" s="17" t="s">
        <v>487</v>
      </c>
      <c r="H949" s="30">
        <v>7682</v>
      </c>
      <c r="I949" s="30">
        <v>9014</v>
      </c>
      <c r="J949" s="30">
        <v>10000</v>
      </c>
      <c r="K949" s="30">
        <v>10000</v>
      </c>
      <c r="L949" s="30">
        <v>10000</v>
      </c>
      <c r="M949" s="31">
        <f t="shared" si="70"/>
        <v>986</v>
      </c>
      <c r="N949" s="32">
        <f t="shared" si="71"/>
        <v>0.10938540048812957</v>
      </c>
      <c r="O949" s="6" t="str">
        <f>IF(ABS(M949)&lt;Overview!$B$6,"OK",IF(I949=0,"REVIEW (zero base)",IF(ABS(M949/ABS(I949))&gt;=Overview!$B$5,"REVIEW","OK")))</f>
        <v>OK</v>
      </c>
      <c r="P949" s="31">
        <f t="shared" si="72"/>
        <v>0</v>
      </c>
      <c r="Q949" s="32">
        <f t="shared" si="73"/>
        <v>0</v>
      </c>
      <c r="R949" s="6" t="str">
        <f>IF(ABS(P949)&lt;Overview!$B$6,"OK",IF(J949=0,"REVIEW (zero base)",IF(ABS(P949/ABS(J949))&gt;=Overview!$B$5,"REVIEW","OK")))</f>
        <v>OK</v>
      </c>
      <c r="S949" s="33">
        <f t="shared" si="74"/>
        <v>986.00094899999999</v>
      </c>
    </row>
    <row r="950" spans="1:19" x14ac:dyDescent="0.2">
      <c r="A950" s="17">
        <v>948</v>
      </c>
      <c r="B950" s="17" t="s">
        <v>171</v>
      </c>
      <c r="C950" s="17" t="s">
        <v>338</v>
      </c>
      <c r="D950" s="17" t="s">
        <v>56</v>
      </c>
      <c r="E950" s="17" t="s">
        <v>89</v>
      </c>
      <c r="F950" s="17" t="s">
        <v>339</v>
      </c>
      <c r="G950" s="17" t="s">
        <v>391</v>
      </c>
      <c r="H950" s="30">
        <v>87472</v>
      </c>
      <c r="I950" s="30">
        <v>63614</v>
      </c>
      <c r="J950" s="30">
        <v>0</v>
      </c>
      <c r="K950" s="30">
        <v>0</v>
      </c>
      <c r="L950" s="30">
        <v>0</v>
      </c>
      <c r="M950" s="31">
        <f t="shared" si="70"/>
        <v>-63614</v>
      </c>
      <c r="N950" s="32">
        <f t="shared" si="71"/>
        <v>-1</v>
      </c>
      <c r="O950" s="6" t="str">
        <f>IF(ABS(M950)&lt;Overview!$B$6,"OK",IF(I950=0,"REVIEW (zero base)",IF(ABS(M950/ABS(I950))&gt;=Overview!$B$5,"REVIEW","OK")))</f>
        <v>OK</v>
      </c>
      <c r="P950" s="31">
        <f t="shared" si="72"/>
        <v>0</v>
      </c>
      <c r="Q950" s="32" t="str">
        <f t="shared" si="73"/>
        <v>n/a</v>
      </c>
      <c r="R950" s="6" t="str">
        <f>IF(ABS(P950)&lt;Overview!$B$6,"OK",IF(J950=0,"REVIEW (zero base)",IF(ABS(P950/ABS(J950))&gt;=Overview!$B$5,"REVIEW","OK")))</f>
        <v>OK</v>
      </c>
      <c r="S950" s="33">
        <f t="shared" si="74"/>
        <v>63614.000950000001</v>
      </c>
    </row>
    <row r="951" spans="1:19" x14ac:dyDescent="0.2">
      <c r="A951" s="17">
        <v>949</v>
      </c>
      <c r="B951" s="17" t="s">
        <v>171</v>
      </c>
      <c r="C951" s="17" t="s">
        <v>338</v>
      </c>
      <c r="D951" s="17" t="s">
        <v>56</v>
      </c>
      <c r="E951" s="17" t="s">
        <v>89</v>
      </c>
      <c r="F951" s="17" t="s">
        <v>339</v>
      </c>
      <c r="G951" s="17" t="s">
        <v>392</v>
      </c>
      <c r="H951" s="30">
        <v>119919</v>
      </c>
      <c r="I951" s="30">
        <v>90111</v>
      </c>
      <c r="J951" s="30">
        <v>0</v>
      </c>
      <c r="K951" s="30">
        <v>0</v>
      </c>
      <c r="L951" s="30">
        <v>0</v>
      </c>
      <c r="M951" s="31">
        <f t="shared" si="70"/>
        <v>-90111</v>
      </c>
      <c r="N951" s="32">
        <f t="shared" si="71"/>
        <v>-1</v>
      </c>
      <c r="O951" s="6" t="str">
        <f>IF(ABS(M951)&lt;Overview!$B$6,"OK",IF(I951=0,"REVIEW (zero base)",IF(ABS(M951/ABS(I951))&gt;=Overview!$B$5,"REVIEW","OK")))</f>
        <v>OK</v>
      </c>
      <c r="P951" s="31">
        <f t="shared" si="72"/>
        <v>0</v>
      </c>
      <c r="Q951" s="32" t="str">
        <f t="shared" si="73"/>
        <v>n/a</v>
      </c>
      <c r="R951" s="6" t="str">
        <f>IF(ABS(P951)&lt;Overview!$B$6,"OK",IF(J951=0,"REVIEW (zero base)",IF(ABS(P951/ABS(J951))&gt;=Overview!$B$5,"REVIEW","OK")))</f>
        <v>OK</v>
      </c>
      <c r="S951" s="33">
        <f t="shared" si="74"/>
        <v>90111.000950999995</v>
      </c>
    </row>
    <row r="952" spans="1:19" x14ac:dyDescent="0.2">
      <c r="A952" s="17">
        <v>950</v>
      </c>
      <c r="B952" s="17" t="s">
        <v>171</v>
      </c>
      <c r="C952" s="17" t="s">
        <v>338</v>
      </c>
      <c r="D952" s="17" t="s">
        <v>56</v>
      </c>
      <c r="E952" s="17" t="s">
        <v>89</v>
      </c>
      <c r="F952" s="17" t="s">
        <v>339</v>
      </c>
      <c r="G952" s="17" t="s">
        <v>393</v>
      </c>
      <c r="H952" s="30">
        <v>0</v>
      </c>
      <c r="I952" s="30">
        <v>65</v>
      </c>
      <c r="J952" s="30">
        <v>0</v>
      </c>
      <c r="K952" s="30">
        <v>0</v>
      </c>
      <c r="L952" s="30">
        <v>0</v>
      </c>
      <c r="M952" s="31">
        <f t="shared" si="70"/>
        <v>-65</v>
      </c>
      <c r="N952" s="32">
        <f t="shared" si="71"/>
        <v>-1</v>
      </c>
      <c r="O952" s="6" t="str">
        <f>IF(ABS(M952)&lt;Overview!$B$6,"OK",IF(I952=0,"REVIEW (zero base)",IF(ABS(M952/ABS(I952))&gt;=Overview!$B$5,"REVIEW","OK")))</f>
        <v>OK</v>
      </c>
      <c r="P952" s="31">
        <f t="shared" si="72"/>
        <v>0</v>
      </c>
      <c r="Q952" s="32" t="str">
        <f t="shared" si="73"/>
        <v>n/a</v>
      </c>
      <c r="R952" s="6" t="str">
        <f>IF(ABS(P952)&lt;Overview!$B$6,"OK",IF(J952=0,"REVIEW (zero base)",IF(ABS(P952/ABS(J952))&gt;=Overview!$B$5,"REVIEW","OK")))</f>
        <v>OK</v>
      </c>
      <c r="S952" s="33">
        <f t="shared" si="74"/>
        <v>65.000951999999998</v>
      </c>
    </row>
    <row r="953" spans="1:19" x14ac:dyDescent="0.2">
      <c r="A953" s="17">
        <v>951</v>
      </c>
      <c r="B953" s="17" t="s">
        <v>171</v>
      </c>
      <c r="C953" s="17" t="s">
        <v>338</v>
      </c>
      <c r="D953" s="17" t="s">
        <v>56</v>
      </c>
      <c r="E953" s="17" t="s">
        <v>89</v>
      </c>
      <c r="F953" s="17" t="s">
        <v>339</v>
      </c>
      <c r="G953" s="17" t="s">
        <v>394</v>
      </c>
      <c r="H953" s="30">
        <v>133940</v>
      </c>
      <c r="I953" s="30">
        <v>120901</v>
      </c>
      <c r="J953" s="30">
        <v>0</v>
      </c>
      <c r="K953" s="30">
        <v>0</v>
      </c>
      <c r="L953" s="30">
        <v>0</v>
      </c>
      <c r="M953" s="31">
        <f t="shared" si="70"/>
        <v>-120901</v>
      </c>
      <c r="N953" s="32">
        <f t="shared" si="71"/>
        <v>-1</v>
      </c>
      <c r="O953" s="6" t="str">
        <f>IF(ABS(M953)&lt;Overview!$B$6,"OK",IF(I953=0,"REVIEW (zero base)",IF(ABS(M953/ABS(I953))&gt;=Overview!$B$5,"REVIEW","OK")))</f>
        <v>OK</v>
      </c>
      <c r="P953" s="31">
        <f t="shared" si="72"/>
        <v>0</v>
      </c>
      <c r="Q953" s="32" t="str">
        <f t="shared" si="73"/>
        <v>n/a</v>
      </c>
      <c r="R953" s="6" t="str">
        <f>IF(ABS(P953)&lt;Overview!$B$6,"OK",IF(J953=0,"REVIEW (zero base)",IF(ABS(P953/ABS(J953))&gt;=Overview!$B$5,"REVIEW","OK")))</f>
        <v>OK</v>
      </c>
      <c r="S953" s="33">
        <f t="shared" si="74"/>
        <v>120901.000953</v>
      </c>
    </row>
    <row r="954" spans="1:19" x14ac:dyDescent="0.2">
      <c r="A954" s="17">
        <v>952</v>
      </c>
      <c r="B954" s="17" t="s">
        <v>171</v>
      </c>
      <c r="C954" s="17" t="s">
        <v>338</v>
      </c>
      <c r="D954" s="17" t="s">
        <v>56</v>
      </c>
      <c r="E954" s="17" t="s">
        <v>89</v>
      </c>
      <c r="F954" s="17" t="s">
        <v>339</v>
      </c>
      <c r="G954" s="17" t="s">
        <v>395</v>
      </c>
      <c r="H954" s="30">
        <v>54150</v>
      </c>
      <c r="I954" s="30">
        <v>58592</v>
      </c>
      <c r="J954" s="30">
        <v>57368</v>
      </c>
      <c r="K954" s="30">
        <v>51574</v>
      </c>
      <c r="L954" s="30">
        <v>52090</v>
      </c>
      <c r="M954" s="31">
        <f t="shared" si="70"/>
        <v>-1224</v>
      </c>
      <c r="N954" s="32">
        <f t="shared" si="71"/>
        <v>-2.089022392135445E-2</v>
      </c>
      <c r="O954" s="6" t="str">
        <f>IF(ABS(M954)&lt;Overview!$B$6,"OK",IF(I954=0,"REVIEW (zero base)",IF(ABS(M954/ABS(I954))&gt;=Overview!$B$5,"REVIEW","OK")))</f>
        <v>OK</v>
      </c>
      <c r="P954" s="31">
        <f t="shared" si="72"/>
        <v>-5794</v>
      </c>
      <c r="Q954" s="32">
        <f t="shared" si="73"/>
        <v>-0.10099707153813973</v>
      </c>
      <c r="R954" s="6" t="str">
        <f>IF(ABS(P954)&lt;Overview!$B$6,"OK",IF(J954=0,"REVIEW (zero base)",IF(ABS(P954/ABS(J954))&gt;=Overview!$B$5,"REVIEW","OK")))</f>
        <v>OK</v>
      </c>
      <c r="S954" s="33">
        <f t="shared" si="74"/>
        <v>1224.0009540000001</v>
      </c>
    </row>
    <row r="955" spans="1:19" x14ac:dyDescent="0.2">
      <c r="A955" s="17">
        <v>953</v>
      </c>
      <c r="B955" s="17" t="s">
        <v>171</v>
      </c>
      <c r="C955" s="17" t="s">
        <v>338</v>
      </c>
      <c r="D955" s="17" t="s">
        <v>56</v>
      </c>
      <c r="E955" s="17" t="s">
        <v>89</v>
      </c>
      <c r="F955" s="17" t="s">
        <v>339</v>
      </c>
      <c r="G955" s="17" t="s">
        <v>424</v>
      </c>
      <c r="H955" s="30">
        <v>12630</v>
      </c>
      <c r="I955" s="30">
        <v>12044</v>
      </c>
      <c r="J955" s="30">
        <v>0</v>
      </c>
      <c r="K955" s="30">
        <v>0</v>
      </c>
      <c r="L955" s="30">
        <v>0</v>
      </c>
      <c r="M955" s="31">
        <f t="shared" si="70"/>
        <v>-12044</v>
      </c>
      <c r="N955" s="32">
        <f t="shared" si="71"/>
        <v>-1</v>
      </c>
      <c r="O955" s="6" t="str">
        <f>IF(ABS(M955)&lt;Overview!$B$6,"OK",IF(I955=0,"REVIEW (zero base)",IF(ABS(M955/ABS(I955))&gt;=Overview!$B$5,"REVIEW","OK")))</f>
        <v>OK</v>
      </c>
      <c r="P955" s="31">
        <f t="shared" si="72"/>
        <v>0</v>
      </c>
      <c r="Q955" s="32" t="str">
        <f t="shared" si="73"/>
        <v>n/a</v>
      </c>
      <c r="R955" s="6" t="str">
        <f>IF(ABS(P955)&lt;Overview!$B$6,"OK",IF(J955=0,"REVIEW (zero base)",IF(ABS(P955/ABS(J955))&gt;=Overview!$B$5,"REVIEW","OK")))</f>
        <v>OK</v>
      </c>
      <c r="S955" s="33">
        <f t="shared" si="74"/>
        <v>12044.000955</v>
      </c>
    </row>
    <row r="956" spans="1:19" x14ac:dyDescent="0.2">
      <c r="A956" s="17">
        <v>954</v>
      </c>
      <c r="B956" s="17" t="s">
        <v>171</v>
      </c>
      <c r="C956" s="17" t="s">
        <v>338</v>
      </c>
      <c r="D956" s="17" t="s">
        <v>56</v>
      </c>
      <c r="E956" s="17" t="s">
        <v>89</v>
      </c>
      <c r="F956" s="17" t="s">
        <v>341</v>
      </c>
      <c r="G956" s="17" t="s">
        <v>342</v>
      </c>
      <c r="H956" s="30">
        <v>46553</v>
      </c>
      <c r="I956" s="30">
        <v>48253</v>
      </c>
      <c r="J956" s="30">
        <v>61284</v>
      </c>
      <c r="K956" s="30">
        <v>61284</v>
      </c>
      <c r="L956" s="30">
        <v>61284</v>
      </c>
      <c r="M956" s="31">
        <f t="shared" si="70"/>
        <v>13031</v>
      </c>
      <c r="N956" s="32">
        <f t="shared" si="71"/>
        <v>0.27005574782915054</v>
      </c>
      <c r="O956" s="6" t="str">
        <f>IF(ABS(M956)&lt;Overview!$B$6,"OK",IF(I956=0,"REVIEW (zero base)",IF(ABS(M956/ABS(I956))&gt;=Overview!$B$5,"REVIEW","OK")))</f>
        <v>OK</v>
      </c>
      <c r="P956" s="31">
        <f t="shared" si="72"/>
        <v>0</v>
      </c>
      <c r="Q956" s="32">
        <f t="shared" si="73"/>
        <v>0</v>
      </c>
      <c r="R956" s="6" t="str">
        <f>IF(ABS(P956)&lt;Overview!$B$6,"OK",IF(J956=0,"REVIEW (zero base)",IF(ABS(P956/ABS(J956))&gt;=Overview!$B$5,"REVIEW","OK")))</f>
        <v>OK</v>
      </c>
      <c r="S956" s="33">
        <f t="shared" si="74"/>
        <v>13031.000956</v>
      </c>
    </row>
    <row r="957" spans="1:19" x14ac:dyDescent="0.2">
      <c r="A957" s="17">
        <v>955</v>
      </c>
      <c r="B957" s="17" t="s">
        <v>171</v>
      </c>
      <c r="C957" s="17" t="s">
        <v>338</v>
      </c>
      <c r="D957" s="17" t="s">
        <v>56</v>
      </c>
      <c r="E957" s="17" t="s">
        <v>89</v>
      </c>
      <c r="F957" s="17" t="s">
        <v>341</v>
      </c>
      <c r="G957" s="17" t="s">
        <v>375</v>
      </c>
      <c r="H957" s="30">
        <v>220340</v>
      </c>
      <c r="I957" s="30">
        <v>270467</v>
      </c>
      <c r="J957" s="30">
        <v>244400</v>
      </c>
      <c r="K957" s="30">
        <v>244400</v>
      </c>
      <c r="L957" s="30">
        <v>244400</v>
      </c>
      <c r="M957" s="31">
        <f t="shared" si="70"/>
        <v>-26067</v>
      </c>
      <c r="N957" s="32">
        <f t="shared" si="71"/>
        <v>-9.6377746638222045E-2</v>
      </c>
      <c r="O957" s="6" t="str">
        <f>IF(ABS(M957)&lt;Overview!$B$6,"OK",IF(I957=0,"REVIEW (zero base)",IF(ABS(M957/ABS(I957))&gt;=Overview!$B$5,"REVIEW","OK")))</f>
        <v>OK</v>
      </c>
      <c r="P957" s="31">
        <f t="shared" si="72"/>
        <v>0</v>
      </c>
      <c r="Q957" s="32">
        <f t="shared" si="73"/>
        <v>0</v>
      </c>
      <c r="R957" s="6" t="str">
        <f>IF(ABS(P957)&lt;Overview!$B$6,"OK",IF(J957=0,"REVIEW (zero base)",IF(ABS(P957/ABS(J957))&gt;=Overview!$B$5,"REVIEW","OK")))</f>
        <v>OK</v>
      </c>
      <c r="S957" s="33">
        <f t="shared" si="74"/>
        <v>26067.000957</v>
      </c>
    </row>
    <row r="958" spans="1:19" x14ac:dyDescent="0.2">
      <c r="A958" s="17">
        <v>956</v>
      </c>
      <c r="B958" s="17" t="s">
        <v>171</v>
      </c>
      <c r="C958" s="17" t="s">
        <v>338</v>
      </c>
      <c r="D958" s="17" t="s">
        <v>56</v>
      </c>
      <c r="E958" s="17" t="s">
        <v>89</v>
      </c>
      <c r="F958" s="17" t="s">
        <v>341</v>
      </c>
      <c r="G958" s="17" t="s">
        <v>376</v>
      </c>
      <c r="H958" s="30">
        <v>576451</v>
      </c>
      <c r="I958" s="30">
        <v>588145</v>
      </c>
      <c r="J958" s="30">
        <v>571996</v>
      </c>
      <c r="K958" s="30">
        <v>612840</v>
      </c>
      <c r="L958" s="30">
        <v>644892</v>
      </c>
      <c r="M958" s="31">
        <f t="shared" si="70"/>
        <v>-16149</v>
      </c>
      <c r="N958" s="32">
        <f t="shared" si="71"/>
        <v>-2.7457514728510827E-2</v>
      </c>
      <c r="O958" s="6" t="str">
        <f>IF(ABS(M958)&lt;Overview!$B$6,"OK",IF(I958=0,"REVIEW (zero base)",IF(ABS(M958/ABS(I958))&gt;=Overview!$B$5,"REVIEW","OK")))</f>
        <v>OK</v>
      </c>
      <c r="P958" s="31">
        <f t="shared" si="72"/>
        <v>40844</v>
      </c>
      <c r="Q958" s="32">
        <f t="shared" si="73"/>
        <v>7.1406093748907329E-2</v>
      </c>
      <c r="R958" s="6" t="str">
        <f>IF(ABS(P958)&lt;Overview!$B$6,"OK",IF(J958=0,"REVIEW (zero base)",IF(ABS(P958/ABS(J958))&gt;=Overview!$B$5,"REVIEW","OK")))</f>
        <v>OK</v>
      </c>
      <c r="S958" s="33">
        <f t="shared" si="74"/>
        <v>16149.000958000001</v>
      </c>
    </row>
    <row r="959" spans="1:19" x14ac:dyDescent="0.2">
      <c r="A959" s="17">
        <v>957</v>
      </c>
      <c r="B959" s="17" t="s">
        <v>171</v>
      </c>
      <c r="C959" s="17" t="s">
        <v>338</v>
      </c>
      <c r="D959" s="17" t="s">
        <v>56</v>
      </c>
      <c r="E959" s="17" t="s">
        <v>89</v>
      </c>
      <c r="F959" s="17" t="s">
        <v>341</v>
      </c>
      <c r="G959" s="17" t="s">
        <v>343</v>
      </c>
      <c r="H959" s="30">
        <v>177953</v>
      </c>
      <c r="I959" s="30">
        <v>170359</v>
      </c>
      <c r="J959" s="30">
        <v>190950</v>
      </c>
      <c r="K959" s="30">
        <v>200634</v>
      </c>
      <c r="L959" s="30">
        <v>202640</v>
      </c>
      <c r="M959" s="31">
        <f t="shared" si="70"/>
        <v>20591</v>
      </c>
      <c r="N959" s="32">
        <f t="shared" si="71"/>
        <v>0.12086828403547802</v>
      </c>
      <c r="O959" s="6" t="str">
        <f>IF(ABS(M959)&lt;Overview!$B$6,"OK",IF(I959=0,"REVIEW (zero base)",IF(ABS(M959/ABS(I959))&gt;=Overview!$B$5,"REVIEW","OK")))</f>
        <v>OK</v>
      </c>
      <c r="P959" s="31">
        <f t="shared" si="72"/>
        <v>9684</v>
      </c>
      <c r="Q959" s="32">
        <f t="shared" si="73"/>
        <v>5.0714846818538883E-2</v>
      </c>
      <c r="R959" s="6" t="str">
        <f>IF(ABS(P959)&lt;Overview!$B$6,"OK",IF(J959=0,"REVIEW (zero base)",IF(ABS(P959/ABS(J959))&gt;=Overview!$B$5,"REVIEW","OK")))</f>
        <v>OK</v>
      </c>
      <c r="S959" s="33">
        <f t="shared" si="74"/>
        <v>20591.000959000001</v>
      </c>
    </row>
    <row r="960" spans="1:19" x14ac:dyDescent="0.2">
      <c r="A960" s="17">
        <v>958</v>
      </c>
      <c r="B960" s="17" t="s">
        <v>171</v>
      </c>
      <c r="C960" s="17" t="s">
        <v>338</v>
      </c>
      <c r="D960" s="17" t="s">
        <v>56</v>
      </c>
      <c r="E960" s="17" t="s">
        <v>89</v>
      </c>
      <c r="F960" s="17" t="s">
        <v>341</v>
      </c>
      <c r="G960" s="17" t="s">
        <v>439</v>
      </c>
      <c r="H960" s="30">
        <v>0</v>
      </c>
      <c r="I960" s="30">
        <v>0</v>
      </c>
      <c r="J960" s="30">
        <v>0</v>
      </c>
      <c r="K960" s="30">
        <v>0</v>
      </c>
      <c r="L960" s="30">
        <v>0</v>
      </c>
      <c r="M960" s="31">
        <f t="shared" si="70"/>
        <v>0</v>
      </c>
      <c r="N960" s="32" t="str">
        <f t="shared" si="71"/>
        <v>n/a</v>
      </c>
      <c r="O960" s="6" t="str">
        <f>IF(ABS(M960)&lt;Overview!$B$6,"OK",IF(I960=0,"REVIEW (zero base)",IF(ABS(M960/ABS(I960))&gt;=Overview!$B$5,"REVIEW","OK")))</f>
        <v>OK</v>
      </c>
      <c r="P960" s="31">
        <f t="shared" si="72"/>
        <v>0</v>
      </c>
      <c r="Q960" s="32" t="str">
        <f t="shared" si="73"/>
        <v>n/a</v>
      </c>
      <c r="R960" s="6" t="str">
        <f>IF(ABS(P960)&lt;Overview!$B$6,"OK",IF(J960=0,"REVIEW (zero base)",IF(ABS(P960/ABS(J960))&gt;=Overview!$B$5,"REVIEW","OK")))</f>
        <v>OK</v>
      </c>
      <c r="S960" s="33">
        <f t="shared" si="74"/>
        <v>9.6000000000000002E-4</v>
      </c>
    </row>
    <row r="961" spans="1:19" x14ac:dyDescent="0.2">
      <c r="A961" s="17">
        <v>959</v>
      </c>
      <c r="B961" s="17" t="s">
        <v>171</v>
      </c>
      <c r="C961" s="17" t="s">
        <v>338</v>
      </c>
      <c r="D961" s="17" t="s">
        <v>56</v>
      </c>
      <c r="E961" s="17" t="s">
        <v>89</v>
      </c>
      <c r="F961" s="17" t="s">
        <v>341</v>
      </c>
      <c r="G961" s="17" t="s">
        <v>378</v>
      </c>
      <c r="H961" s="30">
        <v>184624</v>
      </c>
      <c r="I961" s="30">
        <v>192373</v>
      </c>
      <c r="J961" s="30">
        <v>184768</v>
      </c>
      <c r="K961" s="30">
        <v>195520</v>
      </c>
      <c r="L961" s="30">
        <v>204182</v>
      </c>
      <c r="M961" s="31">
        <f t="shared" si="70"/>
        <v>-7605</v>
      </c>
      <c r="N961" s="32">
        <f t="shared" si="71"/>
        <v>-3.9532574737619106E-2</v>
      </c>
      <c r="O961" s="6" t="str">
        <f>IF(ABS(M961)&lt;Overview!$B$6,"OK",IF(I961=0,"REVIEW (zero base)",IF(ABS(M961/ABS(I961))&gt;=Overview!$B$5,"REVIEW","OK")))</f>
        <v>OK</v>
      </c>
      <c r="P961" s="31">
        <f t="shared" si="72"/>
        <v>10752</v>
      </c>
      <c r="Q961" s="32">
        <f t="shared" si="73"/>
        <v>5.8191894700381018E-2</v>
      </c>
      <c r="R961" s="6" t="str">
        <f>IF(ABS(P961)&lt;Overview!$B$6,"OK",IF(J961=0,"REVIEW (zero base)",IF(ABS(P961/ABS(J961))&gt;=Overview!$B$5,"REVIEW","OK")))</f>
        <v>OK</v>
      </c>
      <c r="S961" s="33">
        <f t="shared" si="74"/>
        <v>7605.0009609999997</v>
      </c>
    </row>
    <row r="962" spans="1:19" x14ac:dyDescent="0.2">
      <c r="A962" s="17">
        <v>960</v>
      </c>
      <c r="B962" s="17" t="s">
        <v>171</v>
      </c>
      <c r="C962" s="17" t="s">
        <v>338</v>
      </c>
      <c r="D962" s="17" t="s">
        <v>56</v>
      </c>
      <c r="E962" s="17" t="s">
        <v>89</v>
      </c>
      <c r="F962" s="17" t="s">
        <v>341</v>
      </c>
      <c r="G962" s="17" t="s">
        <v>344</v>
      </c>
      <c r="H962" s="30">
        <v>496174</v>
      </c>
      <c r="I962" s="30">
        <v>480458</v>
      </c>
      <c r="J962" s="30">
        <v>615313</v>
      </c>
      <c r="K962" s="30">
        <v>706644</v>
      </c>
      <c r="L962" s="30">
        <v>720777</v>
      </c>
      <c r="M962" s="31">
        <f t="shared" ref="M962:M1025" si="75">J962-I962</f>
        <v>134855</v>
      </c>
      <c r="N962" s="32">
        <f t="shared" ref="N962:N1025" si="76">IF(I962=0,"n/a",M962/ABS(I962))</f>
        <v>0.28068010107022884</v>
      </c>
      <c r="O962" s="6" t="str">
        <f>IF(ABS(M962)&lt;Overview!$B$6,"OK",IF(I962=0,"REVIEW (zero base)",IF(ABS(M962/ABS(I962))&gt;=Overview!$B$5,"REVIEW","OK")))</f>
        <v>OK</v>
      </c>
      <c r="P962" s="31">
        <f t="shared" ref="P962:P1025" si="77">K962-J962</f>
        <v>91331</v>
      </c>
      <c r="Q962" s="32">
        <f t="shared" ref="Q962:Q1025" si="78">IF(J962=0,"n/a",P962/ABS(J962))</f>
        <v>0.1484301485585385</v>
      </c>
      <c r="R962" s="6" t="str">
        <f>IF(ABS(P962)&lt;Overview!$B$6,"OK",IF(J962=0,"REVIEW (zero base)",IF(ABS(P962/ABS(J962))&gt;=Overview!$B$5,"REVIEW","OK")))</f>
        <v>OK</v>
      </c>
      <c r="S962" s="33">
        <f t="shared" ref="S962:S1025" si="79">IF(C962="EXPENSES",ABS(M962)+ROW()/1000000,0)</f>
        <v>134855.00096199999</v>
      </c>
    </row>
    <row r="963" spans="1:19" x14ac:dyDescent="0.2">
      <c r="A963" s="17">
        <v>961</v>
      </c>
      <c r="B963" s="17" t="s">
        <v>171</v>
      </c>
      <c r="C963" s="17" t="s">
        <v>338</v>
      </c>
      <c r="D963" s="17" t="s">
        <v>56</v>
      </c>
      <c r="E963" s="17" t="s">
        <v>89</v>
      </c>
      <c r="F963" s="17" t="s">
        <v>364</v>
      </c>
      <c r="G963" s="17" t="s">
        <v>488</v>
      </c>
      <c r="H963" s="30">
        <v>0</v>
      </c>
      <c r="I963" s="30">
        <v>8416</v>
      </c>
      <c r="J963" s="30">
        <v>185000</v>
      </c>
      <c r="K963" s="30">
        <v>185000</v>
      </c>
      <c r="L963" s="30">
        <v>185000</v>
      </c>
      <c r="M963" s="31">
        <f t="shared" si="75"/>
        <v>176584</v>
      </c>
      <c r="N963" s="32">
        <f t="shared" si="76"/>
        <v>20.981939163498097</v>
      </c>
      <c r="O963" s="6" t="str">
        <f>IF(ABS(M963)&lt;Overview!$B$6,"OK",IF(I963=0,"REVIEW (zero base)",IF(ABS(M963/ABS(I963))&gt;=Overview!$B$5,"REVIEW","OK")))</f>
        <v>OK</v>
      </c>
      <c r="P963" s="31">
        <f t="shared" si="77"/>
        <v>0</v>
      </c>
      <c r="Q963" s="32">
        <f t="shared" si="78"/>
        <v>0</v>
      </c>
      <c r="R963" s="6" t="str">
        <f>IF(ABS(P963)&lt;Overview!$B$6,"OK",IF(J963=0,"REVIEW (zero base)",IF(ABS(P963/ABS(J963))&gt;=Overview!$B$5,"REVIEW","OK")))</f>
        <v>OK</v>
      </c>
      <c r="S963" s="33">
        <f t="shared" si="79"/>
        <v>176584.000963</v>
      </c>
    </row>
    <row r="964" spans="1:19" x14ac:dyDescent="0.2">
      <c r="A964" s="17">
        <v>962</v>
      </c>
      <c r="B964" s="17" t="s">
        <v>171</v>
      </c>
      <c r="C964" s="17" t="s">
        <v>338</v>
      </c>
      <c r="D964" s="17" t="s">
        <v>56</v>
      </c>
      <c r="E964" s="17" t="s">
        <v>89</v>
      </c>
      <c r="F964" s="17" t="s">
        <v>430</v>
      </c>
      <c r="G964" s="17" t="s">
        <v>444</v>
      </c>
      <c r="H964" s="30">
        <v>78424</v>
      </c>
      <c r="I964" s="30">
        <v>25042</v>
      </c>
      <c r="J964" s="30">
        <v>100000</v>
      </c>
      <c r="K964" s="30">
        <v>100000</v>
      </c>
      <c r="L964" s="30">
        <v>100000</v>
      </c>
      <c r="M964" s="31">
        <f t="shared" si="75"/>
        <v>74958</v>
      </c>
      <c r="N964" s="32">
        <f t="shared" si="76"/>
        <v>2.9932912706652823</v>
      </c>
      <c r="O964" s="6" t="str">
        <f>IF(ABS(M964)&lt;Overview!$B$6,"OK",IF(I964=0,"REVIEW (zero base)",IF(ABS(M964/ABS(I964))&gt;=Overview!$B$5,"REVIEW","OK")))</f>
        <v>OK</v>
      </c>
      <c r="P964" s="31">
        <f t="shared" si="77"/>
        <v>0</v>
      </c>
      <c r="Q964" s="32">
        <f t="shared" si="78"/>
        <v>0</v>
      </c>
      <c r="R964" s="6" t="str">
        <f>IF(ABS(P964)&lt;Overview!$B$6,"OK",IF(J964=0,"REVIEW (zero base)",IF(ABS(P964/ABS(J964))&gt;=Overview!$B$5,"REVIEW","OK")))</f>
        <v>OK</v>
      </c>
      <c r="S964" s="33">
        <f t="shared" si="79"/>
        <v>74958.000964000006</v>
      </c>
    </row>
    <row r="965" spans="1:19" x14ac:dyDescent="0.2">
      <c r="A965" s="17">
        <v>963</v>
      </c>
      <c r="B965" s="17" t="s">
        <v>171</v>
      </c>
      <c r="C965" s="17" t="s">
        <v>338</v>
      </c>
      <c r="D965" s="17" t="s">
        <v>56</v>
      </c>
      <c r="E965" s="17" t="s">
        <v>89</v>
      </c>
      <c r="F965" s="17" t="s">
        <v>347</v>
      </c>
      <c r="G965" s="17" t="s">
        <v>348</v>
      </c>
      <c r="H965" s="30">
        <v>8631</v>
      </c>
      <c r="I965" s="30">
        <v>3294</v>
      </c>
      <c r="J965" s="30">
        <v>25000</v>
      </c>
      <c r="K965" s="30">
        <v>15000</v>
      </c>
      <c r="L965" s="30">
        <v>15105</v>
      </c>
      <c r="M965" s="31">
        <f t="shared" si="75"/>
        <v>21706</v>
      </c>
      <c r="N965" s="32">
        <f t="shared" si="76"/>
        <v>6.5895567698846387</v>
      </c>
      <c r="O965" s="6" t="str">
        <f>IF(ABS(M965)&lt;Overview!$B$6,"OK",IF(I965=0,"REVIEW (zero base)",IF(ABS(M965/ABS(I965))&gt;=Overview!$B$5,"REVIEW","OK")))</f>
        <v>OK</v>
      </c>
      <c r="P965" s="31">
        <f t="shared" si="77"/>
        <v>-10000</v>
      </c>
      <c r="Q965" s="32">
        <f t="shared" si="78"/>
        <v>-0.4</v>
      </c>
      <c r="R965" s="6" t="str">
        <f>IF(ABS(P965)&lt;Overview!$B$6,"OK",IF(J965=0,"REVIEW (zero base)",IF(ABS(P965/ABS(J965))&gt;=Overview!$B$5,"REVIEW","OK")))</f>
        <v>OK</v>
      </c>
      <c r="S965" s="33">
        <f t="shared" si="79"/>
        <v>21706.000964999999</v>
      </c>
    </row>
    <row r="966" spans="1:19" x14ac:dyDescent="0.2">
      <c r="A966" s="17">
        <v>964</v>
      </c>
      <c r="B966" s="17" t="s">
        <v>171</v>
      </c>
      <c r="C966" s="17" t="s">
        <v>338</v>
      </c>
      <c r="D966" s="17" t="s">
        <v>56</v>
      </c>
      <c r="E966" s="17" t="s">
        <v>89</v>
      </c>
      <c r="F966" s="17" t="s">
        <v>386</v>
      </c>
      <c r="G966" s="17" t="s">
        <v>387</v>
      </c>
      <c r="H966" s="30">
        <v>261</v>
      </c>
      <c r="I966" s="30">
        <v>0</v>
      </c>
      <c r="J966" s="30">
        <v>0</v>
      </c>
      <c r="K966" s="30">
        <v>0</v>
      </c>
      <c r="L966" s="30">
        <v>0</v>
      </c>
      <c r="M966" s="31">
        <f t="shared" si="75"/>
        <v>0</v>
      </c>
      <c r="N966" s="32" t="str">
        <f t="shared" si="76"/>
        <v>n/a</v>
      </c>
      <c r="O966" s="6" t="str">
        <f>IF(ABS(M966)&lt;Overview!$B$6,"OK",IF(I966=0,"REVIEW (zero base)",IF(ABS(M966/ABS(I966))&gt;=Overview!$B$5,"REVIEW","OK")))</f>
        <v>OK</v>
      </c>
      <c r="P966" s="31">
        <f t="shared" si="77"/>
        <v>0</v>
      </c>
      <c r="Q966" s="32" t="str">
        <f t="shared" si="78"/>
        <v>n/a</v>
      </c>
      <c r="R966" s="6" t="str">
        <f>IF(ABS(P966)&lt;Overview!$B$6,"OK",IF(J966=0,"REVIEW (zero base)",IF(ABS(P966/ABS(J966))&gt;=Overview!$B$5,"REVIEW","OK")))</f>
        <v>OK</v>
      </c>
      <c r="S966" s="33">
        <f t="shared" si="79"/>
        <v>9.6599999999999995E-4</v>
      </c>
    </row>
    <row r="967" spans="1:19" x14ac:dyDescent="0.2">
      <c r="A967" s="17">
        <v>965</v>
      </c>
      <c r="B967" s="17" t="s">
        <v>171</v>
      </c>
      <c r="C967" s="17" t="s">
        <v>338</v>
      </c>
      <c r="D967" s="17" t="s">
        <v>56</v>
      </c>
      <c r="E967" s="17" t="s">
        <v>89</v>
      </c>
      <c r="F967" s="17" t="s">
        <v>386</v>
      </c>
      <c r="G967" s="17" t="s">
        <v>447</v>
      </c>
      <c r="H967" s="30">
        <v>8673</v>
      </c>
      <c r="I967" s="30">
        <v>11625</v>
      </c>
      <c r="J967" s="30">
        <v>15000</v>
      </c>
      <c r="K967" s="30">
        <v>12000</v>
      </c>
      <c r="L967" s="30">
        <v>12084</v>
      </c>
      <c r="M967" s="31">
        <f t="shared" si="75"/>
        <v>3375</v>
      </c>
      <c r="N967" s="32">
        <f t="shared" si="76"/>
        <v>0.29032258064516131</v>
      </c>
      <c r="O967" s="6" t="str">
        <f>IF(ABS(M967)&lt;Overview!$B$6,"OK",IF(I967=0,"REVIEW (zero base)",IF(ABS(M967/ABS(I967))&gt;=Overview!$B$5,"REVIEW","OK")))</f>
        <v>OK</v>
      </c>
      <c r="P967" s="31">
        <f t="shared" si="77"/>
        <v>-3000</v>
      </c>
      <c r="Q967" s="32">
        <f t="shared" si="78"/>
        <v>-0.2</v>
      </c>
      <c r="R967" s="6" t="str">
        <f>IF(ABS(P967)&lt;Overview!$B$6,"OK",IF(J967=0,"REVIEW (zero base)",IF(ABS(P967/ABS(J967))&gt;=Overview!$B$5,"REVIEW","OK")))</f>
        <v>OK</v>
      </c>
      <c r="S967" s="33">
        <f t="shared" si="79"/>
        <v>3375.0009669999999</v>
      </c>
    </row>
    <row r="968" spans="1:19" x14ac:dyDescent="0.2">
      <c r="A968" s="17">
        <v>966</v>
      </c>
      <c r="B968" s="17" t="s">
        <v>171</v>
      </c>
      <c r="C968" s="17" t="s">
        <v>338</v>
      </c>
      <c r="D968" s="17" t="s">
        <v>56</v>
      </c>
      <c r="E968" s="17" t="s">
        <v>89</v>
      </c>
      <c r="F968" s="17" t="s">
        <v>489</v>
      </c>
      <c r="G968" s="17" t="s">
        <v>490</v>
      </c>
      <c r="H968" s="30">
        <v>82847</v>
      </c>
      <c r="I968" s="30">
        <v>78096</v>
      </c>
      <c r="J968" s="30">
        <v>100000</v>
      </c>
      <c r="K968" s="30">
        <v>85000</v>
      </c>
      <c r="L968" s="30">
        <v>85595</v>
      </c>
      <c r="M968" s="31">
        <f t="shared" si="75"/>
        <v>21904</v>
      </c>
      <c r="N968" s="32">
        <f t="shared" si="76"/>
        <v>0.28047531243597623</v>
      </c>
      <c r="O968" s="6" t="str">
        <f>IF(ABS(M968)&lt;Overview!$B$6,"OK",IF(I968=0,"REVIEW (zero base)",IF(ABS(M968/ABS(I968))&gt;=Overview!$B$5,"REVIEW","OK")))</f>
        <v>OK</v>
      </c>
      <c r="P968" s="31">
        <f t="shared" si="77"/>
        <v>-15000</v>
      </c>
      <c r="Q968" s="32">
        <f t="shared" si="78"/>
        <v>-0.15</v>
      </c>
      <c r="R968" s="6" t="str">
        <f>IF(ABS(P968)&lt;Overview!$B$6,"OK",IF(J968=0,"REVIEW (zero base)",IF(ABS(P968/ABS(J968))&gt;=Overview!$B$5,"REVIEW","OK")))</f>
        <v>OK</v>
      </c>
      <c r="S968" s="33">
        <f t="shared" si="79"/>
        <v>21904.000968</v>
      </c>
    </row>
    <row r="969" spans="1:19" x14ac:dyDescent="0.2">
      <c r="A969" s="17">
        <v>967</v>
      </c>
      <c r="B969" s="17" t="s">
        <v>171</v>
      </c>
      <c r="C969" s="17" t="s">
        <v>338</v>
      </c>
      <c r="D969" s="17" t="s">
        <v>56</v>
      </c>
      <c r="E969" s="17" t="s">
        <v>89</v>
      </c>
      <c r="F969" s="17" t="s">
        <v>411</v>
      </c>
      <c r="G969" s="17" t="s">
        <v>491</v>
      </c>
      <c r="H969" s="30">
        <v>8478</v>
      </c>
      <c r="I969" s="30">
        <v>6285</v>
      </c>
      <c r="J969" s="30">
        <v>20000</v>
      </c>
      <c r="K969" s="30">
        <v>10000</v>
      </c>
      <c r="L969" s="30">
        <v>10070</v>
      </c>
      <c r="M969" s="31">
        <f t="shared" si="75"/>
        <v>13715</v>
      </c>
      <c r="N969" s="32">
        <f t="shared" si="76"/>
        <v>2.1821797931583133</v>
      </c>
      <c r="O969" s="6" t="str">
        <f>IF(ABS(M969)&lt;Overview!$B$6,"OK",IF(I969=0,"REVIEW (zero base)",IF(ABS(M969/ABS(I969))&gt;=Overview!$B$5,"REVIEW","OK")))</f>
        <v>OK</v>
      </c>
      <c r="P969" s="31">
        <f t="shared" si="77"/>
        <v>-10000</v>
      </c>
      <c r="Q969" s="32">
        <f t="shared" si="78"/>
        <v>-0.5</v>
      </c>
      <c r="R969" s="6" t="str">
        <f>IF(ABS(P969)&lt;Overview!$B$6,"OK",IF(J969=0,"REVIEW (zero base)",IF(ABS(P969/ABS(J969))&gt;=Overview!$B$5,"REVIEW","OK")))</f>
        <v>OK</v>
      </c>
      <c r="S969" s="33">
        <f t="shared" si="79"/>
        <v>13715.000969000001</v>
      </c>
    </row>
    <row r="970" spans="1:19" x14ac:dyDescent="0.2">
      <c r="A970" s="17">
        <v>968</v>
      </c>
      <c r="B970" s="17" t="s">
        <v>171</v>
      </c>
      <c r="C970" s="17" t="s">
        <v>338</v>
      </c>
      <c r="D970" s="17" t="s">
        <v>56</v>
      </c>
      <c r="E970" s="17" t="s">
        <v>89</v>
      </c>
      <c r="F970" s="17" t="s">
        <v>411</v>
      </c>
      <c r="G970" s="17" t="s">
        <v>451</v>
      </c>
      <c r="H970" s="30">
        <v>15671</v>
      </c>
      <c r="I970" s="30">
        <v>15727</v>
      </c>
      <c r="J970" s="30">
        <v>25000</v>
      </c>
      <c r="K970" s="30">
        <v>16000</v>
      </c>
      <c r="L970" s="30">
        <v>16112</v>
      </c>
      <c r="M970" s="31">
        <f t="shared" si="75"/>
        <v>9273</v>
      </c>
      <c r="N970" s="32">
        <f t="shared" si="76"/>
        <v>0.58962294143829086</v>
      </c>
      <c r="O970" s="6" t="str">
        <f>IF(ABS(M970)&lt;Overview!$B$6,"OK",IF(I970=0,"REVIEW (zero base)",IF(ABS(M970/ABS(I970))&gt;=Overview!$B$5,"REVIEW","OK")))</f>
        <v>OK</v>
      </c>
      <c r="P970" s="31">
        <f t="shared" si="77"/>
        <v>-9000</v>
      </c>
      <c r="Q970" s="32">
        <f t="shared" si="78"/>
        <v>-0.36</v>
      </c>
      <c r="R970" s="6" t="str">
        <f>IF(ABS(P970)&lt;Overview!$B$6,"OK",IF(J970=0,"REVIEW (zero base)",IF(ABS(P970/ABS(J970))&gt;=Overview!$B$5,"REVIEW","OK")))</f>
        <v>OK</v>
      </c>
      <c r="S970" s="33">
        <f t="shared" si="79"/>
        <v>9273.0009699999991</v>
      </c>
    </row>
    <row r="971" spans="1:19" x14ac:dyDescent="0.2">
      <c r="A971" s="17">
        <v>969</v>
      </c>
      <c r="B971" s="17" t="s">
        <v>171</v>
      </c>
      <c r="C971" s="17" t="s">
        <v>338</v>
      </c>
      <c r="D971" s="17" t="s">
        <v>56</v>
      </c>
      <c r="E971" s="17" t="s">
        <v>89</v>
      </c>
      <c r="F971" s="17" t="s">
        <v>411</v>
      </c>
      <c r="G971" s="17" t="s">
        <v>467</v>
      </c>
      <c r="H971" s="30">
        <v>2041</v>
      </c>
      <c r="I971" s="30">
        <v>637</v>
      </c>
      <c r="J971" s="30">
        <v>7500</v>
      </c>
      <c r="K971" s="30">
        <v>4000</v>
      </c>
      <c r="L971" s="30">
        <v>4028</v>
      </c>
      <c r="M971" s="31">
        <f t="shared" si="75"/>
        <v>6863</v>
      </c>
      <c r="N971" s="32">
        <f t="shared" si="76"/>
        <v>10.773940345368917</v>
      </c>
      <c r="O971" s="6" t="str">
        <f>IF(ABS(M971)&lt;Overview!$B$6,"OK",IF(I971=0,"REVIEW (zero base)",IF(ABS(M971/ABS(I971))&gt;=Overview!$B$5,"REVIEW","OK")))</f>
        <v>OK</v>
      </c>
      <c r="P971" s="31">
        <f t="shared" si="77"/>
        <v>-3500</v>
      </c>
      <c r="Q971" s="32">
        <f t="shared" si="78"/>
        <v>-0.46666666666666667</v>
      </c>
      <c r="R971" s="6" t="str">
        <f>IF(ABS(P971)&lt;Overview!$B$6,"OK",IF(J971=0,"REVIEW (zero base)",IF(ABS(P971/ABS(J971))&gt;=Overview!$B$5,"REVIEW","OK")))</f>
        <v>OK</v>
      </c>
      <c r="S971" s="33">
        <f t="shared" si="79"/>
        <v>6863.0009710000004</v>
      </c>
    </row>
    <row r="972" spans="1:19" x14ac:dyDescent="0.2">
      <c r="A972" s="17">
        <v>970</v>
      </c>
      <c r="B972" s="17" t="s">
        <v>171</v>
      </c>
      <c r="C972" s="17" t="s">
        <v>338</v>
      </c>
      <c r="D972" s="17" t="s">
        <v>56</v>
      </c>
      <c r="E972" s="17" t="s">
        <v>89</v>
      </c>
      <c r="F972" s="17" t="s">
        <v>411</v>
      </c>
      <c r="G972" s="17" t="s">
        <v>455</v>
      </c>
      <c r="H972" s="30">
        <v>47650</v>
      </c>
      <c r="I972" s="30">
        <v>38655</v>
      </c>
      <c r="J972" s="30">
        <v>50000</v>
      </c>
      <c r="K972" s="30">
        <v>50000</v>
      </c>
      <c r="L972" s="30">
        <v>50350</v>
      </c>
      <c r="M972" s="31">
        <f t="shared" si="75"/>
        <v>11345</v>
      </c>
      <c r="N972" s="32">
        <f t="shared" si="76"/>
        <v>0.29349372655542622</v>
      </c>
      <c r="O972" s="6" t="str">
        <f>IF(ABS(M972)&lt;Overview!$B$6,"OK",IF(I972=0,"REVIEW (zero base)",IF(ABS(M972/ABS(I972))&gt;=Overview!$B$5,"REVIEW","OK")))</f>
        <v>OK</v>
      </c>
      <c r="P972" s="31">
        <f t="shared" si="77"/>
        <v>0</v>
      </c>
      <c r="Q972" s="32">
        <f t="shared" si="78"/>
        <v>0</v>
      </c>
      <c r="R972" s="6" t="str">
        <f>IF(ABS(P972)&lt;Overview!$B$6,"OK",IF(J972=0,"REVIEW (zero base)",IF(ABS(P972/ABS(J972))&gt;=Overview!$B$5,"REVIEW","OK")))</f>
        <v>OK</v>
      </c>
      <c r="S972" s="33">
        <f t="shared" si="79"/>
        <v>11345.000972</v>
      </c>
    </row>
    <row r="973" spans="1:19" x14ac:dyDescent="0.2">
      <c r="A973" s="17">
        <v>971</v>
      </c>
      <c r="B973" s="17" t="s">
        <v>171</v>
      </c>
      <c r="C973" s="17" t="s">
        <v>338</v>
      </c>
      <c r="D973" s="17" t="s">
        <v>56</v>
      </c>
      <c r="E973" s="17" t="s">
        <v>97</v>
      </c>
      <c r="F973" s="17" t="s">
        <v>339</v>
      </c>
      <c r="G973" s="17" t="s">
        <v>390</v>
      </c>
      <c r="H973" s="30">
        <v>306</v>
      </c>
      <c r="I973" s="30">
        <v>0</v>
      </c>
      <c r="J973" s="30">
        <v>0</v>
      </c>
      <c r="K973" s="30">
        <v>0</v>
      </c>
      <c r="L973" s="30">
        <v>0</v>
      </c>
      <c r="M973" s="31">
        <f t="shared" si="75"/>
        <v>0</v>
      </c>
      <c r="N973" s="32" t="str">
        <f t="shared" si="76"/>
        <v>n/a</v>
      </c>
      <c r="O973" s="6" t="str">
        <f>IF(ABS(M973)&lt;Overview!$B$6,"OK",IF(I973=0,"REVIEW (zero base)",IF(ABS(M973/ABS(I973))&gt;=Overview!$B$5,"REVIEW","OK")))</f>
        <v>OK</v>
      </c>
      <c r="P973" s="31">
        <f t="shared" si="77"/>
        <v>0</v>
      </c>
      <c r="Q973" s="32" t="str">
        <f t="shared" si="78"/>
        <v>n/a</v>
      </c>
      <c r="R973" s="6" t="str">
        <f>IF(ABS(P973)&lt;Overview!$B$6,"OK",IF(J973=0,"REVIEW (zero base)",IF(ABS(P973/ABS(J973))&gt;=Overview!$B$5,"REVIEW","OK")))</f>
        <v>OK</v>
      </c>
      <c r="S973" s="33">
        <f t="shared" si="79"/>
        <v>9.7300000000000002E-4</v>
      </c>
    </row>
    <row r="974" spans="1:19" x14ac:dyDescent="0.2">
      <c r="A974" s="17">
        <v>972</v>
      </c>
      <c r="B974" s="17" t="s">
        <v>171</v>
      </c>
      <c r="C974" s="17" t="s">
        <v>338</v>
      </c>
      <c r="D974" s="17" t="s">
        <v>56</v>
      </c>
      <c r="E974" s="17" t="s">
        <v>97</v>
      </c>
      <c r="F974" s="17" t="s">
        <v>339</v>
      </c>
      <c r="G974" s="17" t="s">
        <v>492</v>
      </c>
      <c r="H974" s="30">
        <v>505395</v>
      </c>
      <c r="I974" s="30">
        <v>200879</v>
      </c>
      <c r="J974" s="30">
        <v>500000</v>
      </c>
      <c r="K974" s="30">
        <v>500000</v>
      </c>
      <c r="L974" s="30">
        <v>500000</v>
      </c>
      <c r="M974" s="31">
        <f t="shared" si="75"/>
        <v>299121</v>
      </c>
      <c r="N974" s="32">
        <f t="shared" si="76"/>
        <v>1.4890605787563658</v>
      </c>
      <c r="O974" s="6" t="str">
        <f>IF(ABS(M974)&lt;Overview!$B$6,"OK",IF(I974=0,"REVIEW (zero base)",IF(ABS(M974/ABS(I974))&gt;=Overview!$B$5,"REVIEW","OK")))</f>
        <v>REVIEW</v>
      </c>
      <c r="P974" s="31">
        <f t="shared" si="77"/>
        <v>0</v>
      </c>
      <c r="Q974" s="32">
        <f t="shared" si="78"/>
        <v>0</v>
      </c>
      <c r="R974" s="6" t="str">
        <f>IF(ABS(P974)&lt;Overview!$B$6,"OK",IF(J974=0,"REVIEW (zero base)",IF(ABS(P974/ABS(J974))&gt;=Overview!$B$5,"REVIEW","OK")))</f>
        <v>OK</v>
      </c>
      <c r="S974" s="33">
        <f t="shared" si="79"/>
        <v>299121.00097400002</v>
      </c>
    </row>
    <row r="975" spans="1:19" x14ac:dyDescent="0.2">
      <c r="A975" s="17">
        <v>973</v>
      </c>
      <c r="B975" s="17" t="s">
        <v>171</v>
      </c>
      <c r="C975" s="17" t="s">
        <v>338</v>
      </c>
      <c r="D975" s="17" t="s">
        <v>56</v>
      </c>
      <c r="E975" s="17" t="s">
        <v>97</v>
      </c>
      <c r="F975" s="17" t="s">
        <v>402</v>
      </c>
      <c r="G975" s="17" t="s">
        <v>403</v>
      </c>
      <c r="H975" s="30">
        <v>0</v>
      </c>
      <c r="I975" s="30">
        <v>6060</v>
      </c>
      <c r="J975" s="30">
        <v>0</v>
      </c>
      <c r="K975" s="30">
        <v>0</v>
      </c>
      <c r="L975" s="30">
        <v>0</v>
      </c>
      <c r="M975" s="31">
        <f t="shared" si="75"/>
        <v>-6060</v>
      </c>
      <c r="N975" s="32">
        <f t="shared" si="76"/>
        <v>-1</v>
      </c>
      <c r="O975" s="6" t="str">
        <f>IF(ABS(M975)&lt;Overview!$B$6,"OK",IF(I975=0,"REVIEW (zero base)",IF(ABS(M975/ABS(I975))&gt;=Overview!$B$5,"REVIEW","OK")))</f>
        <v>OK</v>
      </c>
      <c r="P975" s="31">
        <f t="shared" si="77"/>
        <v>0</v>
      </c>
      <c r="Q975" s="32" t="str">
        <f t="shared" si="78"/>
        <v>n/a</v>
      </c>
      <c r="R975" s="6" t="str">
        <f>IF(ABS(P975)&lt;Overview!$B$6,"OK",IF(J975=0,"REVIEW (zero base)",IF(ABS(P975/ABS(J975))&gt;=Overview!$B$5,"REVIEW","OK")))</f>
        <v>OK</v>
      </c>
      <c r="S975" s="33">
        <f t="shared" si="79"/>
        <v>6060.0009749999999</v>
      </c>
    </row>
    <row r="976" spans="1:19" x14ac:dyDescent="0.2">
      <c r="A976" s="17">
        <v>974</v>
      </c>
      <c r="B976" s="17" t="s">
        <v>171</v>
      </c>
      <c r="C976" s="17" t="s">
        <v>338</v>
      </c>
      <c r="D976" s="17" t="s">
        <v>56</v>
      </c>
      <c r="E976" s="17" t="s">
        <v>97</v>
      </c>
      <c r="F976" s="17" t="s">
        <v>422</v>
      </c>
      <c r="G976" s="17" t="s">
        <v>435</v>
      </c>
      <c r="H976" s="30">
        <v>606309</v>
      </c>
      <c r="I976" s="30">
        <v>98774</v>
      </c>
      <c r="J976" s="30">
        <v>600000</v>
      </c>
      <c r="K976" s="30">
        <v>600000</v>
      </c>
      <c r="L976" s="30">
        <v>600000</v>
      </c>
      <c r="M976" s="31">
        <f t="shared" si="75"/>
        <v>501226</v>
      </c>
      <c r="N976" s="32">
        <f t="shared" si="76"/>
        <v>5.0744730394638262</v>
      </c>
      <c r="O976" s="6" t="str">
        <f>IF(ABS(M976)&lt;Overview!$B$6,"OK",IF(I976=0,"REVIEW (zero base)",IF(ABS(M976/ABS(I976))&gt;=Overview!$B$5,"REVIEW","OK")))</f>
        <v>REVIEW</v>
      </c>
      <c r="P976" s="31">
        <f t="shared" si="77"/>
        <v>0</v>
      </c>
      <c r="Q976" s="32">
        <f t="shared" si="78"/>
        <v>0</v>
      </c>
      <c r="R976" s="6" t="str">
        <f>IF(ABS(P976)&lt;Overview!$B$6,"OK",IF(J976=0,"REVIEW (zero base)",IF(ABS(P976/ABS(J976))&gt;=Overview!$B$5,"REVIEW","OK")))</f>
        <v>OK</v>
      </c>
      <c r="S976" s="33">
        <f t="shared" si="79"/>
        <v>501226.00097599998</v>
      </c>
    </row>
    <row r="977" spans="1:19" x14ac:dyDescent="0.2">
      <c r="A977" s="17">
        <v>975</v>
      </c>
      <c r="B977" s="17" t="s">
        <v>171</v>
      </c>
      <c r="C977" s="17" t="s">
        <v>338</v>
      </c>
      <c r="D977" s="17" t="s">
        <v>56</v>
      </c>
      <c r="E977" s="17" t="s">
        <v>97</v>
      </c>
      <c r="F977" s="17" t="s">
        <v>347</v>
      </c>
      <c r="G977" s="17" t="s">
        <v>348</v>
      </c>
      <c r="H977" s="30">
        <v>182518</v>
      </c>
      <c r="I977" s="30">
        <v>96771</v>
      </c>
      <c r="J977" s="30">
        <v>105000</v>
      </c>
      <c r="K977" s="30">
        <v>105000</v>
      </c>
      <c r="L977" s="30">
        <v>105000</v>
      </c>
      <c r="M977" s="31">
        <f t="shared" si="75"/>
        <v>8229</v>
      </c>
      <c r="N977" s="32">
        <f t="shared" si="76"/>
        <v>8.5035806181603987E-2</v>
      </c>
      <c r="O977" s="6" t="str">
        <f>IF(ABS(M977)&lt;Overview!$B$6,"OK",IF(I977=0,"REVIEW (zero base)",IF(ABS(M977/ABS(I977))&gt;=Overview!$B$5,"REVIEW","OK")))</f>
        <v>OK</v>
      </c>
      <c r="P977" s="31">
        <f t="shared" si="77"/>
        <v>0</v>
      </c>
      <c r="Q977" s="32">
        <f t="shared" si="78"/>
        <v>0</v>
      </c>
      <c r="R977" s="6" t="str">
        <f>IF(ABS(P977)&lt;Overview!$B$6,"OK",IF(J977=0,"REVIEW (zero base)",IF(ABS(P977/ABS(J977))&gt;=Overview!$B$5,"REVIEW","OK")))</f>
        <v>OK</v>
      </c>
      <c r="S977" s="33">
        <f t="shared" si="79"/>
        <v>8229.0009769999997</v>
      </c>
    </row>
    <row r="978" spans="1:19" x14ac:dyDescent="0.2">
      <c r="A978" s="17">
        <v>976</v>
      </c>
      <c r="B978" s="17" t="s">
        <v>171</v>
      </c>
      <c r="C978" s="17" t="s">
        <v>338</v>
      </c>
      <c r="D978" s="17" t="s">
        <v>56</v>
      </c>
      <c r="E978" s="17" t="s">
        <v>97</v>
      </c>
      <c r="F978" s="17" t="s">
        <v>461</v>
      </c>
      <c r="G978" s="17" t="s">
        <v>463</v>
      </c>
      <c r="H978" s="30">
        <v>120129</v>
      </c>
      <c r="I978" s="30">
        <v>100250</v>
      </c>
      <c r="J978" s="30">
        <v>250000</v>
      </c>
      <c r="K978" s="30">
        <v>250000</v>
      </c>
      <c r="L978" s="30">
        <v>250000</v>
      </c>
      <c r="M978" s="31">
        <f t="shared" si="75"/>
        <v>149750</v>
      </c>
      <c r="N978" s="32">
        <f t="shared" si="76"/>
        <v>1.4937655860349128</v>
      </c>
      <c r="O978" s="6" t="str">
        <f>IF(ABS(M978)&lt;Overview!$B$6,"OK",IF(I978=0,"REVIEW (zero base)",IF(ABS(M978/ABS(I978))&gt;=Overview!$B$5,"REVIEW","OK")))</f>
        <v>OK</v>
      </c>
      <c r="P978" s="31">
        <f t="shared" si="77"/>
        <v>0</v>
      </c>
      <c r="Q978" s="32">
        <f t="shared" si="78"/>
        <v>0</v>
      </c>
      <c r="R978" s="6" t="str">
        <f>IF(ABS(P978)&lt;Overview!$B$6,"OK",IF(J978=0,"REVIEW (zero base)",IF(ABS(P978/ABS(J978))&gt;=Overview!$B$5,"REVIEW","OK")))</f>
        <v>OK</v>
      </c>
      <c r="S978" s="33">
        <f t="shared" si="79"/>
        <v>149750.000978</v>
      </c>
    </row>
    <row r="979" spans="1:19" x14ac:dyDescent="0.2">
      <c r="A979" s="17">
        <v>977</v>
      </c>
      <c r="B979" s="17" t="s">
        <v>171</v>
      </c>
      <c r="C979" s="17" t="s">
        <v>338</v>
      </c>
      <c r="D979" s="17" t="s">
        <v>56</v>
      </c>
      <c r="E979" s="17" t="s">
        <v>97</v>
      </c>
      <c r="F979" s="17" t="s">
        <v>411</v>
      </c>
      <c r="G979" s="17" t="s">
        <v>493</v>
      </c>
      <c r="H979" s="30">
        <v>507168</v>
      </c>
      <c r="I979" s="30">
        <v>313450</v>
      </c>
      <c r="J979" s="30">
        <v>723500</v>
      </c>
      <c r="K979" s="30">
        <v>723500</v>
      </c>
      <c r="L979" s="30">
        <v>723500</v>
      </c>
      <c r="M979" s="31">
        <f t="shared" si="75"/>
        <v>410050</v>
      </c>
      <c r="N979" s="32">
        <f t="shared" si="76"/>
        <v>1.3081831233051524</v>
      </c>
      <c r="O979" s="6" t="str">
        <f>IF(ABS(M979)&lt;Overview!$B$6,"OK",IF(I979=0,"REVIEW (zero base)",IF(ABS(M979/ABS(I979))&gt;=Overview!$B$5,"REVIEW","OK")))</f>
        <v>REVIEW</v>
      </c>
      <c r="P979" s="31">
        <f t="shared" si="77"/>
        <v>0</v>
      </c>
      <c r="Q979" s="32">
        <f t="shared" si="78"/>
        <v>0</v>
      </c>
      <c r="R979" s="6" t="str">
        <f>IF(ABS(P979)&lt;Overview!$B$6,"OK",IF(J979=0,"REVIEW (zero base)",IF(ABS(P979/ABS(J979))&gt;=Overview!$B$5,"REVIEW","OK")))</f>
        <v>OK</v>
      </c>
      <c r="S979" s="33">
        <f t="shared" si="79"/>
        <v>410050.000979</v>
      </c>
    </row>
    <row r="980" spans="1:19" x14ac:dyDescent="0.2">
      <c r="A980" s="17">
        <v>978</v>
      </c>
      <c r="B980" s="17" t="s">
        <v>171</v>
      </c>
      <c r="C980" s="17" t="s">
        <v>338</v>
      </c>
      <c r="D980" s="17" t="s">
        <v>56</v>
      </c>
      <c r="E980" s="17" t="s">
        <v>118</v>
      </c>
      <c r="F980" s="17" t="s">
        <v>339</v>
      </c>
      <c r="G980" s="17" t="s">
        <v>340</v>
      </c>
      <c r="H980" s="30">
        <v>353634</v>
      </c>
      <c r="I980" s="30">
        <v>335643</v>
      </c>
      <c r="J980" s="30">
        <v>424409</v>
      </c>
      <c r="K980" s="30">
        <v>469408</v>
      </c>
      <c r="L980" s="30">
        <v>474102</v>
      </c>
      <c r="M980" s="31">
        <f t="shared" si="75"/>
        <v>88766</v>
      </c>
      <c r="N980" s="32">
        <f t="shared" si="76"/>
        <v>0.2644655184228481</v>
      </c>
      <c r="O980" s="6" t="str">
        <f>IF(ABS(M980)&lt;Overview!$B$6,"OK",IF(I980=0,"REVIEW (zero base)",IF(ABS(M980/ABS(I980))&gt;=Overview!$B$5,"REVIEW","OK")))</f>
        <v>OK</v>
      </c>
      <c r="P980" s="31">
        <f t="shared" si="77"/>
        <v>44999</v>
      </c>
      <c r="Q980" s="32">
        <f t="shared" si="78"/>
        <v>0.1060274405113935</v>
      </c>
      <c r="R980" s="6" t="str">
        <f>IF(ABS(P980)&lt;Overview!$B$6,"OK",IF(J980=0,"REVIEW (zero base)",IF(ABS(P980/ABS(J980))&gt;=Overview!$B$5,"REVIEW","OK")))</f>
        <v>OK</v>
      </c>
      <c r="S980" s="33">
        <f t="shared" si="79"/>
        <v>88766.000979999997</v>
      </c>
    </row>
    <row r="981" spans="1:19" x14ac:dyDescent="0.2">
      <c r="A981" s="17">
        <v>979</v>
      </c>
      <c r="B981" s="17" t="s">
        <v>171</v>
      </c>
      <c r="C981" s="17" t="s">
        <v>338</v>
      </c>
      <c r="D981" s="17" t="s">
        <v>56</v>
      </c>
      <c r="E981" s="17" t="s">
        <v>118</v>
      </c>
      <c r="F981" s="17" t="s">
        <v>339</v>
      </c>
      <c r="G981" s="17" t="s">
        <v>390</v>
      </c>
      <c r="H981" s="30">
        <v>86870</v>
      </c>
      <c r="I981" s="30">
        <v>65160</v>
      </c>
      <c r="J981" s="30">
        <v>80000</v>
      </c>
      <c r="K981" s="30">
        <v>80000</v>
      </c>
      <c r="L981" s="30">
        <v>80000</v>
      </c>
      <c r="M981" s="31">
        <f t="shared" si="75"/>
        <v>14840</v>
      </c>
      <c r="N981" s="32">
        <f t="shared" si="76"/>
        <v>0.22774708410067526</v>
      </c>
      <c r="O981" s="6" t="str">
        <f>IF(ABS(M981)&lt;Overview!$B$6,"OK",IF(I981=0,"REVIEW (zero base)",IF(ABS(M981/ABS(I981))&gt;=Overview!$B$5,"REVIEW","OK")))</f>
        <v>OK</v>
      </c>
      <c r="P981" s="31">
        <f t="shared" si="77"/>
        <v>0</v>
      </c>
      <c r="Q981" s="32">
        <f t="shared" si="78"/>
        <v>0</v>
      </c>
      <c r="R981" s="6" t="str">
        <f>IF(ABS(P981)&lt;Overview!$B$6,"OK",IF(J981=0,"REVIEW (zero base)",IF(ABS(P981/ABS(J981))&gt;=Overview!$B$5,"REVIEW","OK")))</f>
        <v>OK</v>
      </c>
      <c r="S981" s="33">
        <f t="shared" si="79"/>
        <v>14840.000980999999</v>
      </c>
    </row>
    <row r="982" spans="1:19" x14ac:dyDescent="0.2">
      <c r="A982" s="17">
        <v>980</v>
      </c>
      <c r="B982" s="17" t="s">
        <v>171</v>
      </c>
      <c r="C982" s="17" t="s">
        <v>338</v>
      </c>
      <c r="D982" s="17" t="s">
        <v>56</v>
      </c>
      <c r="E982" s="17" t="s">
        <v>118</v>
      </c>
      <c r="F982" s="17" t="s">
        <v>339</v>
      </c>
      <c r="G982" s="17" t="s">
        <v>391</v>
      </c>
      <c r="H982" s="30">
        <v>12803</v>
      </c>
      <c r="I982" s="30">
        <v>8218</v>
      </c>
      <c r="J982" s="30">
        <v>0</v>
      </c>
      <c r="K982" s="30">
        <v>0</v>
      </c>
      <c r="L982" s="30">
        <v>0</v>
      </c>
      <c r="M982" s="31">
        <f t="shared" si="75"/>
        <v>-8218</v>
      </c>
      <c r="N982" s="32">
        <f t="shared" si="76"/>
        <v>-1</v>
      </c>
      <c r="O982" s="6" t="str">
        <f>IF(ABS(M982)&lt;Overview!$B$6,"OK",IF(I982=0,"REVIEW (zero base)",IF(ABS(M982/ABS(I982))&gt;=Overview!$B$5,"REVIEW","OK")))</f>
        <v>OK</v>
      </c>
      <c r="P982" s="31">
        <f t="shared" si="77"/>
        <v>0</v>
      </c>
      <c r="Q982" s="32" t="str">
        <f t="shared" si="78"/>
        <v>n/a</v>
      </c>
      <c r="R982" s="6" t="str">
        <f>IF(ABS(P982)&lt;Overview!$B$6,"OK",IF(J982=0,"REVIEW (zero base)",IF(ABS(P982/ABS(J982))&gt;=Overview!$B$5,"REVIEW","OK")))</f>
        <v>OK</v>
      </c>
      <c r="S982" s="33">
        <f t="shared" si="79"/>
        <v>8218.0009819999996</v>
      </c>
    </row>
    <row r="983" spans="1:19" x14ac:dyDescent="0.2">
      <c r="A983" s="17">
        <v>981</v>
      </c>
      <c r="B983" s="17" t="s">
        <v>171</v>
      </c>
      <c r="C983" s="17" t="s">
        <v>338</v>
      </c>
      <c r="D983" s="17" t="s">
        <v>56</v>
      </c>
      <c r="E983" s="17" t="s">
        <v>118</v>
      </c>
      <c r="F983" s="17" t="s">
        <v>339</v>
      </c>
      <c r="G983" s="17" t="s">
        <v>392</v>
      </c>
      <c r="H983" s="30">
        <v>24051</v>
      </c>
      <c r="I983" s="30">
        <v>11248</v>
      </c>
      <c r="J983" s="30">
        <v>0</v>
      </c>
      <c r="K983" s="30">
        <v>0</v>
      </c>
      <c r="L983" s="30">
        <v>0</v>
      </c>
      <c r="M983" s="31">
        <f t="shared" si="75"/>
        <v>-11248</v>
      </c>
      <c r="N983" s="32">
        <f t="shared" si="76"/>
        <v>-1</v>
      </c>
      <c r="O983" s="6" t="str">
        <f>IF(ABS(M983)&lt;Overview!$B$6,"OK",IF(I983=0,"REVIEW (zero base)",IF(ABS(M983/ABS(I983))&gt;=Overview!$B$5,"REVIEW","OK")))</f>
        <v>OK</v>
      </c>
      <c r="P983" s="31">
        <f t="shared" si="77"/>
        <v>0</v>
      </c>
      <c r="Q983" s="32" t="str">
        <f t="shared" si="78"/>
        <v>n/a</v>
      </c>
      <c r="R983" s="6" t="str">
        <f>IF(ABS(P983)&lt;Overview!$B$6,"OK",IF(J983=0,"REVIEW (zero base)",IF(ABS(P983/ABS(J983))&gt;=Overview!$B$5,"REVIEW","OK")))</f>
        <v>OK</v>
      </c>
      <c r="S983" s="33">
        <f t="shared" si="79"/>
        <v>11248.000983</v>
      </c>
    </row>
    <row r="984" spans="1:19" x14ac:dyDescent="0.2">
      <c r="A984" s="17">
        <v>982</v>
      </c>
      <c r="B984" s="17" t="s">
        <v>171</v>
      </c>
      <c r="C984" s="17" t="s">
        <v>338</v>
      </c>
      <c r="D984" s="17" t="s">
        <v>56</v>
      </c>
      <c r="E984" s="17" t="s">
        <v>118</v>
      </c>
      <c r="F984" s="17" t="s">
        <v>339</v>
      </c>
      <c r="G984" s="17" t="s">
        <v>393</v>
      </c>
      <c r="H984" s="30">
        <v>762</v>
      </c>
      <c r="I984" s="30">
        <v>3116</v>
      </c>
      <c r="J984" s="30">
        <v>0</v>
      </c>
      <c r="K984" s="30">
        <v>0</v>
      </c>
      <c r="L984" s="30">
        <v>0</v>
      </c>
      <c r="M984" s="31">
        <f t="shared" si="75"/>
        <v>-3116</v>
      </c>
      <c r="N984" s="32">
        <f t="shared" si="76"/>
        <v>-1</v>
      </c>
      <c r="O984" s="6" t="str">
        <f>IF(ABS(M984)&lt;Overview!$B$6,"OK",IF(I984=0,"REVIEW (zero base)",IF(ABS(M984/ABS(I984))&gt;=Overview!$B$5,"REVIEW","OK")))</f>
        <v>OK</v>
      </c>
      <c r="P984" s="31">
        <f t="shared" si="77"/>
        <v>0</v>
      </c>
      <c r="Q984" s="32" t="str">
        <f t="shared" si="78"/>
        <v>n/a</v>
      </c>
      <c r="R984" s="6" t="str">
        <f>IF(ABS(P984)&lt;Overview!$B$6,"OK",IF(J984=0,"REVIEW (zero base)",IF(ABS(P984/ABS(J984))&gt;=Overview!$B$5,"REVIEW","OK")))</f>
        <v>OK</v>
      </c>
      <c r="S984" s="33">
        <f t="shared" si="79"/>
        <v>3116.0009839999998</v>
      </c>
    </row>
    <row r="985" spans="1:19" x14ac:dyDescent="0.2">
      <c r="A985" s="17">
        <v>983</v>
      </c>
      <c r="B985" s="17" t="s">
        <v>171</v>
      </c>
      <c r="C985" s="17" t="s">
        <v>338</v>
      </c>
      <c r="D985" s="17" t="s">
        <v>56</v>
      </c>
      <c r="E985" s="17" t="s">
        <v>118</v>
      </c>
      <c r="F985" s="17" t="s">
        <v>339</v>
      </c>
      <c r="G985" s="17" t="s">
        <v>394</v>
      </c>
      <c r="H985" s="30">
        <v>28443</v>
      </c>
      <c r="I985" s="30">
        <v>21399</v>
      </c>
      <c r="J985" s="30">
        <v>0</v>
      </c>
      <c r="K985" s="30">
        <v>0</v>
      </c>
      <c r="L985" s="30">
        <v>0</v>
      </c>
      <c r="M985" s="31">
        <f t="shared" si="75"/>
        <v>-21399</v>
      </c>
      <c r="N985" s="32">
        <f t="shared" si="76"/>
        <v>-1</v>
      </c>
      <c r="O985" s="6" t="str">
        <f>IF(ABS(M985)&lt;Overview!$B$6,"OK",IF(I985=0,"REVIEW (zero base)",IF(ABS(M985/ABS(I985))&gt;=Overview!$B$5,"REVIEW","OK")))</f>
        <v>OK</v>
      </c>
      <c r="P985" s="31">
        <f t="shared" si="77"/>
        <v>0</v>
      </c>
      <c r="Q985" s="32" t="str">
        <f t="shared" si="78"/>
        <v>n/a</v>
      </c>
      <c r="R985" s="6" t="str">
        <f>IF(ABS(P985)&lt;Overview!$B$6,"OK",IF(J985=0,"REVIEW (zero base)",IF(ABS(P985/ABS(J985))&gt;=Overview!$B$5,"REVIEW","OK")))</f>
        <v>OK</v>
      </c>
      <c r="S985" s="33">
        <f t="shared" si="79"/>
        <v>21399.000984999999</v>
      </c>
    </row>
    <row r="986" spans="1:19" x14ac:dyDescent="0.2">
      <c r="A986" s="17">
        <v>984</v>
      </c>
      <c r="B986" s="17" t="s">
        <v>171</v>
      </c>
      <c r="C986" s="17" t="s">
        <v>338</v>
      </c>
      <c r="D986" s="17" t="s">
        <v>56</v>
      </c>
      <c r="E986" s="17" t="s">
        <v>118</v>
      </c>
      <c r="F986" s="17" t="s">
        <v>339</v>
      </c>
      <c r="G986" s="17" t="s">
        <v>395</v>
      </c>
      <c r="H986" s="30">
        <v>12138</v>
      </c>
      <c r="I986" s="30">
        <v>12768</v>
      </c>
      <c r="J986" s="30">
        <v>13966</v>
      </c>
      <c r="K986" s="30">
        <v>11746</v>
      </c>
      <c r="L986" s="30">
        <v>11863</v>
      </c>
      <c r="M986" s="31">
        <f t="shared" si="75"/>
        <v>1198</v>
      </c>
      <c r="N986" s="32">
        <f t="shared" si="76"/>
        <v>9.3828320802005011E-2</v>
      </c>
      <c r="O986" s="6" t="str">
        <f>IF(ABS(M986)&lt;Overview!$B$6,"OK",IF(I986=0,"REVIEW (zero base)",IF(ABS(M986/ABS(I986))&gt;=Overview!$B$5,"REVIEW","OK")))</f>
        <v>OK</v>
      </c>
      <c r="P986" s="31">
        <f t="shared" si="77"/>
        <v>-2220</v>
      </c>
      <c r="Q986" s="32">
        <f t="shared" si="78"/>
        <v>-0.15895746813690392</v>
      </c>
      <c r="R986" s="6" t="str">
        <f>IF(ABS(P986)&lt;Overview!$B$6,"OK",IF(J986=0,"REVIEW (zero base)",IF(ABS(P986/ABS(J986))&gt;=Overview!$B$5,"REVIEW","OK")))</f>
        <v>OK</v>
      </c>
      <c r="S986" s="33">
        <f t="shared" si="79"/>
        <v>1198.000986</v>
      </c>
    </row>
    <row r="987" spans="1:19" x14ac:dyDescent="0.2">
      <c r="A987" s="17">
        <v>985</v>
      </c>
      <c r="B987" s="17" t="s">
        <v>171</v>
      </c>
      <c r="C987" s="17" t="s">
        <v>338</v>
      </c>
      <c r="D987" s="17" t="s">
        <v>56</v>
      </c>
      <c r="E987" s="17" t="s">
        <v>118</v>
      </c>
      <c r="F987" s="17" t="s">
        <v>339</v>
      </c>
      <c r="G987" s="17" t="s">
        <v>424</v>
      </c>
      <c r="H987" s="30">
        <v>30</v>
      </c>
      <c r="I987" s="30">
        <v>0</v>
      </c>
      <c r="J987" s="30">
        <v>0</v>
      </c>
      <c r="K987" s="30">
        <v>0</v>
      </c>
      <c r="L987" s="30">
        <v>0</v>
      </c>
      <c r="M987" s="31">
        <f t="shared" si="75"/>
        <v>0</v>
      </c>
      <c r="N987" s="32" t="str">
        <f t="shared" si="76"/>
        <v>n/a</v>
      </c>
      <c r="O987" s="6" t="str">
        <f>IF(ABS(M987)&lt;Overview!$B$6,"OK",IF(I987=0,"REVIEW (zero base)",IF(ABS(M987/ABS(I987))&gt;=Overview!$B$5,"REVIEW","OK")))</f>
        <v>OK</v>
      </c>
      <c r="P987" s="31">
        <f t="shared" si="77"/>
        <v>0</v>
      </c>
      <c r="Q987" s="32" t="str">
        <f t="shared" si="78"/>
        <v>n/a</v>
      </c>
      <c r="R987" s="6" t="str">
        <f>IF(ABS(P987)&lt;Overview!$B$6,"OK",IF(J987=0,"REVIEW (zero base)",IF(ABS(P987/ABS(J987))&gt;=Overview!$B$5,"REVIEW","OK")))</f>
        <v>OK</v>
      </c>
      <c r="S987" s="33">
        <f t="shared" si="79"/>
        <v>9.8700000000000003E-4</v>
      </c>
    </row>
    <row r="988" spans="1:19" x14ac:dyDescent="0.2">
      <c r="A988" s="17">
        <v>986</v>
      </c>
      <c r="B988" s="17" t="s">
        <v>171</v>
      </c>
      <c r="C988" s="17" t="s">
        <v>338</v>
      </c>
      <c r="D988" s="17" t="s">
        <v>56</v>
      </c>
      <c r="E988" s="17" t="s">
        <v>118</v>
      </c>
      <c r="F988" s="17" t="s">
        <v>341</v>
      </c>
      <c r="G988" s="17" t="s">
        <v>342</v>
      </c>
      <c r="H988" s="30">
        <v>11942</v>
      </c>
      <c r="I988" s="30">
        <v>12441</v>
      </c>
      <c r="J988" s="30">
        <v>9264</v>
      </c>
      <c r="K988" s="30">
        <v>9264</v>
      </c>
      <c r="L988" s="30">
        <v>9264</v>
      </c>
      <c r="M988" s="31">
        <f t="shared" si="75"/>
        <v>-3177</v>
      </c>
      <c r="N988" s="32">
        <f t="shared" si="76"/>
        <v>-0.25536532433084158</v>
      </c>
      <c r="O988" s="6" t="str">
        <f>IF(ABS(M988)&lt;Overview!$B$6,"OK",IF(I988=0,"REVIEW (zero base)",IF(ABS(M988/ABS(I988))&gt;=Overview!$B$5,"REVIEW","OK")))</f>
        <v>OK</v>
      </c>
      <c r="P988" s="31">
        <f t="shared" si="77"/>
        <v>0</v>
      </c>
      <c r="Q988" s="32">
        <f t="shared" si="78"/>
        <v>0</v>
      </c>
      <c r="R988" s="6" t="str">
        <f>IF(ABS(P988)&lt;Overview!$B$6,"OK",IF(J988=0,"REVIEW (zero base)",IF(ABS(P988/ABS(J988))&gt;=Overview!$B$5,"REVIEW","OK")))</f>
        <v>OK</v>
      </c>
      <c r="S988" s="33">
        <f t="shared" si="79"/>
        <v>3177.0009879999998</v>
      </c>
    </row>
    <row r="989" spans="1:19" x14ac:dyDescent="0.2">
      <c r="A989" s="17">
        <v>987</v>
      </c>
      <c r="B989" s="17" t="s">
        <v>171</v>
      </c>
      <c r="C989" s="17" t="s">
        <v>338</v>
      </c>
      <c r="D989" s="17" t="s">
        <v>56</v>
      </c>
      <c r="E989" s="17" t="s">
        <v>118</v>
      </c>
      <c r="F989" s="17" t="s">
        <v>341</v>
      </c>
      <c r="G989" s="17" t="s">
        <v>375</v>
      </c>
      <c r="H989" s="30">
        <v>53572</v>
      </c>
      <c r="I989" s="30">
        <v>60577</v>
      </c>
      <c r="J989" s="30">
        <v>46800</v>
      </c>
      <c r="K989" s="30">
        <v>46800</v>
      </c>
      <c r="L989" s="30">
        <v>46800</v>
      </c>
      <c r="M989" s="31">
        <f t="shared" si="75"/>
        <v>-13777</v>
      </c>
      <c r="N989" s="32">
        <f t="shared" si="76"/>
        <v>-0.22742955247040955</v>
      </c>
      <c r="O989" s="6" t="str">
        <f>IF(ABS(M989)&lt;Overview!$B$6,"OK",IF(I989=0,"REVIEW (zero base)",IF(ABS(M989/ABS(I989))&gt;=Overview!$B$5,"REVIEW","OK")))</f>
        <v>OK</v>
      </c>
      <c r="P989" s="31">
        <f t="shared" si="77"/>
        <v>0</v>
      </c>
      <c r="Q989" s="32">
        <f t="shared" si="78"/>
        <v>0</v>
      </c>
      <c r="R989" s="6" t="str">
        <f>IF(ABS(P989)&lt;Overview!$B$6,"OK",IF(J989=0,"REVIEW (zero base)",IF(ABS(P989/ABS(J989))&gt;=Overview!$B$5,"REVIEW","OK")))</f>
        <v>OK</v>
      </c>
      <c r="S989" s="33">
        <f t="shared" si="79"/>
        <v>13777.000989</v>
      </c>
    </row>
    <row r="990" spans="1:19" x14ac:dyDescent="0.2">
      <c r="A990" s="17">
        <v>988</v>
      </c>
      <c r="B990" s="17" t="s">
        <v>171</v>
      </c>
      <c r="C990" s="17" t="s">
        <v>338</v>
      </c>
      <c r="D990" s="17" t="s">
        <v>56</v>
      </c>
      <c r="E990" s="17" t="s">
        <v>118</v>
      </c>
      <c r="F990" s="17" t="s">
        <v>341</v>
      </c>
      <c r="G990" s="17" t="s">
        <v>376</v>
      </c>
      <c r="H990" s="30">
        <v>123005</v>
      </c>
      <c r="I990" s="30">
        <v>114636</v>
      </c>
      <c r="J990" s="30">
        <v>121064</v>
      </c>
      <c r="K990" s="30">
        <v>119448</v>
      </c>
      <c r="L990" s="30">
        <v>125695</v>
      </c>
      <c r="M990" s="31">
        <f t="shared" si="75"/>
        <v>6428</v>
      </c>
      <c r="N990" s="32">
        <f t="shared" si="76"/>
        <v>5.6073135838654524E-2</v>
      </c>
      <c r="O990" s="6" t="str">
        <f>IF(ABS(M990)&lt;Overview!$B$6,"OK",IF(I990=0,"REVIEW (zero base)",IF(ABS(M990/ABS(I990))&gt;=Overview!$B$5,"REVIEW","OK")))</f>
        <v>OK</v>
      </c>
      <c r="P990" s="31">
        <f t="shared" si="77"/>
        <v>-1616</v>
      </c>
      <c r="Q990" s="32">
        <f t="shared" si="78"/>
        <v>-1.3348311636820194E-2</v>
      </c>
      <c r="R990" s="6" t="str">
        <f>IF(ABS(P990)&lt;Overview!$B$6,"OK",IF(J990=0,"REVIEW (zero base)",IF(ABS(P990/ABS(J990))&gt;=Overview!$B$5,"REVIEW","OK")))</f>
        <v>OK</v>
      </c>
      <c r="S990" s="33">
        <f t="shared" si="79"/>
        <v>6428.0009899999995</v>
      </c>
    </row>
    <row r="991" spans="1:19" x14ac:dyDescent="0.2">
      <c r="A991" s="17">
        <v>989</v>
      </c>
      <c r="B991" s="17" t="s">
        <v>171</v>
      </c>
      <c r="C991" s="17" t="s">
        <v>338</v>
      </c>
      <c r="D991" s="17" t="s">
        <v>56</v>
      </c>
      <c r="E991" s="17" t="s">
        <v>118</v>
      </c>
      <c r="F991" s="17" t="s">
        <v>341</v>
      </c>
      <c r="G991" s="17" t="s">
        <v>343</v>
      </c>
      <c r="H991" s="30">
        <v>40551</v>
      </c>
      <c r="I991" s="30">
        <v>34860</v>
      </c>
      <c r="J991" s="30">
        <v>44175</v>
      </c>
      <c r="K991" s="30">
        <v>42164</v>
      </c>
      <c r="L991" s="30">
        <v>42586</v>
      </c>
      <c r="M991" s="31">
        <f t="shared" si="75"/>
        <v>9315</v>
      </c>
      <c r="N991" s="32">
        <f t="shared" si="76"/>
        <v>0.26721170395869193</v>
      </c>
      <c r="O991" s="6" t="str">
        <f>IF(ABS(M991)&lt;Overview!$B$6,"OK",IF(I991=0,"REVIEW (zero base)",IF(ABS(M991/ABS(I991))&gt;=Overview!$B$5,"REVIEW","OK")))</f>
        <v>OK</v>
      </c>
      <c r="P991" s="31">
        <f t="shared" si="77"/>
        <v>-2011</v>
      </c>
      <c r="Q991" s="32">
        <f t="shared" si="78"/>
        <v>-4.5523486134691565E-2</v>
      </c>
      <c r="R991" s="6" t="str">
        <f>IF(ABS(P991)&lt;Overview!$B$6,"OK",IF(J991=0,"REVIEW (zero base)",IF(ABS(P991/ABS(J991))&gt;=Overview!$B$5,"REVIEW","OK")))</f>
        <v>OK</v>
      </c>
      <c r="S991" s="33">
        <f t="shared" si="79"/>
        <v>9315.0009910000008</v>
      </c>
    </row>
    <row r="992" spans="1:19" x14ac:dyDescent="0.2">
      <c r="A992" s="17">
        <v>990</v>
      </c>
      <c r="B992" s="17" t="s">
        <v>171</v>
      </c>
      <c r="C992" s="17" t="s">
        <v>338</v>
      </c>
      <c r="D992" s="17" t="s">
        <v>56</v>
      </c>
      <c r="E992" s="17" t="s">
        <v>118</v>
      </c>
      <c r="F992" s="17" t="s">
        <v>341</v>
      </c>
      <c r="G992" s="17" t="s">
        <v>378</v>
      </c>
      <c r="H992" s="30">
        <v>42469</v>
      </c>
      <c r="I992" s="30">
        <v>45722</v>
      </c>
      <c r="J992" s="30">
        <v>35384</v>
      </c>
      <c r="K992" s="30">
        <v>37440</v>
      </c>
      <c r="L992" s="30">
        <v>39099</v>
      </c>
      <c r="M992" s="31">
        <f t="shared" si="75"/>
        <v>-10338</v>
      </c>
      <c r="N992" s="32">
        <f t="shared" si="76"/>
        <v>-0.22610559468089761</v>
      </c>
      <c r="O992" s="6" t="str">
        <f>IF(ABS(M992)&lt;Overview!$B$6,"OK",IF(I992=0,"REVIEW (zero base)",IF(ABS(M992/ABS(I992))&gt;=Overview!$B$5,"REVIEW","OK")))</f>
        <v>OK</v>
      </c>
      <c r="P992" s="31">
        <f t="shared" si="77"/>
        <v>2056</v>
      </c>
      <c r="Q992" s="32">
        <f t="shared" si="78"/>
        <v>5.8105358354058334E-2</v>
      </c>
      <c r="R992" s="6" t="str">
        <f>IF(ABS(P992)&lt;Overview!$B$6,"OK",IF(J992=0,"REVIEW (zero base)",IF(ABS(P992/ABS(J992))&gt;=Overview!$B$5,"REVIEW","OK")))</f>
        <v>OK</v>
      </c>
      <c r="S992" s="33">
        <f t="shared" si="79"/>
        <v>10338.000991999999</v>
      </c>
    </row>
    <row r="993" spans="1:19" x14ac:dyDescent="0.2">
      <c r="A993" s="17">
        <v>991</v>
      </c>
      <c r="B993" s="17" t="s">
        <v>171</v>
      </c>
      <c r="C993" s="17" t="s">
        <v>338</v>
      </c>
      <c r="D993" s="17" t="s">
        <v>56</v>
      </c>
      <c r="E993" s="17" t="s">
        <v>118</v>
      </c>
      <c r="F993" s="17" t="s">
        <v>341</v>
      </c>
      <c r="G993" s="17" t="s">
        <v>344</v>
      </c>
      <c r="H993" s="30">
        <v>134279</v>
      </c>
      <c r="I993" s="30">
        <v>103906</v>
      </c>
      <c r="J993" s="30">
        <v>132218</v>
      </c>
      <c r="K993" s="30">
        <v>152820</v>
      </c>
      <c r="L993" s="30">
        <v>155876</v>
      </c>
      <c r="M993" s="31">
        <f t="shared" si="75"/>
        <v>28312</v>
      </c>
      <c r="N993" s="32">
        <f t="shared" si="76"/>
        <v>0.27247704656131505</v>
      </c>
      <c r="O993" s="6" t="str">
        <f>IF(ABS(M993)&lt;Overview!$B$6,"OK",IF(I993=0,"REVIEW (zero base)",IF(ABS(M993/ABS(I993))&gt;=Overview!$B$5,"REVIEW","OK")))</f>
        <v>OK</v>
      </c>
      <c r="P993" s="31">
        <f t="shared" si="77"/>
        <v>20602</v>
      </c>
      <c r="Q993" s="32">
        <f t="shared" si="78"/>
        <v>0.15581842109243824</v>
      </c>
      <c r="R993" s="6" t="str">
        <f>IF(ABS(P993)&lt;Overview!$B$6,"OK",IF(J993=0,"REVIEW (zero base)",IF(ABS(P993/ABS(J993))&gt;=Overview!$B$5,"REVIEW","OK")))</f>
        <v>OK</v>
      </c>
      <c r="S993" s="33">
        <f t="shared" si="79"/>
        <v>28312.000993000001</v>
      </c>
    </row>
    <row r="994" spans="1:19" x14ac:dyDescent="0.2">
      <c r="A994" s="17">
        <v>992</v>
      </c>
      <c r="B994" s="17" t="s">
        <v>171</v>
      </c>
      <c r="C994" s="17" t="s">
        <v>338</v>
      </c>
      <c r="D994" s="17" t="s">
        <v>56</v>
      </c>
      <c r="E994" s="17" t="s">
        <v>118</v>
      </c>
      <c r="F994" s="17" t="s">
        <v>430</v>
      </c>
      <c r="G994" s="17" t="s">
        <v>444</v>
      </c>
      <c r="H994" s="30">
        <v>9399</v>
      </c>
      <c r="I994" s="30">
        <v>37105</v>
      </c>
      <c r="J994" s="30">
        <v>50000</v>
      </c>
      <c r="K994" s="30">
        <v>50000</v>
      </c>
      <c r="L994" s="30">
        <v>50000</v>
      </c>
      <c r="M994" s="31">
        <f t="shared" si="75"/>
        <v>12895</v>
      </c>
      <c r="N994" s="32">
        <f t="shared" si="76"/>
        <v>0.34752728742757039</v>
      </c>
      <c r="O994" s="6" t="str">
        <f>IF(ABS(M994)&lt;Overview!$B$6,"OK",IF(I994=0,"REVIEW (zero base)",IF(ABS(M994/ABS(I994))&gt;=Overview!$B$5,"REVIEW","OK")))</f>
        <v>OK</v>
      </c>
      <c r="P994" s="31">
        <f t="shared" si="77"/>
        <v>0</v>
      </c>
      <c r="Q994" s="32">
        <f t="shared" si="78"/>
        <v>0</v>
      </c>
      <c r="R994" s="6" t="str">
        <f>IF(ABS(P994)&lt;Overview!$B$6,"OK",IF(J994=0,"REVIEW (zero base)",IF(ABS(P994/ABS(J994))&gt;=Overview!$B$5,"REVIEW","OK")))</f>
        <v>OK</v>
      </c>
      <c r="S994" s="33">
        <f t="shared" si="79"/>
        <v>12895.000994</v>
      </c>
    </row>
    <row r="995" spans="1:19" x14ac:dyDescent="0.2">
      <c r="A995" s="17">
        <v>993</v>
      </c>
      <c r="B995" s="17" t="s">
        <v>171</v>
      </c>
      <c r="C995" s="17" t="s">
        <v>338</v>
      </c>
      <c r="D995" s="17" t="s">
        <v>56</v>
      </c>
      <c r="E995" s="17" t="s">
        <v>118</v>
      </c>
      <c r="F995" s="17" t="s">
        <v>386</v>
      </c>
      <c r="G995" s="17" t="s">
        <v>447</v>
      </c>
      <c r="H995" s="30">
        <v>4879</v>
      </c>
      <c r="I995" s="30">
        <v>7138</v>
      </c>
      <c r="J995" s="30">
        <v>10000</v>
      </c>
      <c r="K995" s="30">
        <v>7000</v>
      </c>
      <c r="L995" s="30">
        <v>7049</v>
      </c>
      <c r="M995" s="31">
        <f t="shared" si="75"/>
        <v>2862</v>
      </c>
      <c r="N995" s="32">
        <f t="shared" si="76"/>
        <v>0.40095264780050432</v>
      </c>
      <c r="O995" s="6" t="str">
        <f>IF(ABS(M995)&lt;Overview!$B$6,"OK",IF(I995=0,"REVIEW (zero base)",IF(ABS(M995/ABS(I995))&gt;=Overview!$B$5,"REVIEW","OK")))</f>
        <v>OK</v>
      </c>
      <c r="P995" s="31">
        <f t="shared" si="77"/>
        <v>-3000</v>
      </c>
      <c r="Q995" s="32">
        <f t="shared" si="78"/>
        <v>-0.3</v>
      </c>
      <c r="R995" s="6" t="str">
        <f>IF(ABS(P995)&lt;Overview!$B$6,"OK",IF(J995=0,"REVIEW (zero base)",IF(ABS(P995/ABS(J995))&gt;=Overview!$B$5,"REVIEW","OK")))</f>
        <v>OK</v>
      </c>
      <c r="S995" s="33">
        <f t="shared" si="79"/>
        <v>2862.0009949999999</v>
      </c>
    </row>
    <row r="996" spans="1:19" x14ac:dyDescent="0.2">
      <c r="A996" s="17">
        <v>994</v>
      </c>
      <c r="B996" s="17" t="s">
        <v>171</v>
      </c>
      <c r="C996" s="17" t="s">
        <v>338</v>
      </c>
      <c r="D996" s="17" t="s">
        <v>56</v>
      </c>
      <c r="E996" s="17" t="s">
        <v>118</v>
      </c>
      <c r="F996" s="17" t="s">
        <v>461</v>
      </c>
      <c r="G996" s="17" t="s">
        <v>463</v>
      </c>
      <c r="H996" s="30">
        <v>14551</v>
      </c>
      <c r="I996" s="30">
        <v>10725</v>
      </c>
      <c r="J996" s="30">
        <v>15000</v>
      </c>
      <c r="K996" s="30">
        <v>15000</v>
      </c>
      <c r="L996" s="30">
        <v>15105</v>
      </c>
      <c r="M996" s="31">
        <f t="shared" si="75"/>
        <v>4275</v>
      </c>
      <c r="N996" s="32">
        <f t="shared" si="76"/>
        <v>0.39860139860139859</v>
      </c>
      <c r="O996" s="6" t="str">
        <f>IF(ABS(M996)&lt;Overview!$B$6,"OK",IF(I996=0,"REVIEW (zero base)",IF(ABS(M996/ABS(I996))&gt;=Overview!$B$5,"REVIEW","OK")))</f>
        <v>OK</v>
      </c>
      <c r="P996" s="31">
        <f t="shared" si="77"/>
        <v>0</v>
      </c>
      <c r="Q996" s="32">
        <f t="shared" si="78"/>
        <v>0</v>
      </c>
      <c r="R996" s="6" t="str">
        <f>IF(ABS(P996)&lt;Overview!$B$6,"OK",IF(J996=0,"REVIEW (zero base)",IF(ABS(P996/ABS(J996))&gt;=Overview!$B$5,"REVIEW","OK")))</f>
        <v>OK</v>
      </c>
      <c r="S996" s="33">
        <f t="shared" si="79"/>
        <v>4275.0009959999998</v>
      </c>
    </row>
    <row r="997" spans="1:19" x14ac:dyDescent="0.2">
      <c r="A997" s="17">
        <v>995</v>
      </c>
      <c r="B997" s="17" t="s">
        <v>171</v>
      </c>
      <c r="C997" s="17" t="s">
        <v>338</v>
      </c>
      <c r="D997" s="17" t="s">
        <v>56</v>
      </c>
      <c r="E997" s="17" t="s">
        <v>118</v>
      </c>
      <c r="F997" s="17" t="s">
        <v>448</v>
      </c>
      <c r="G997" s="17" t="s">
        <v>464</v>
      </c>
      <c r="H997" s="30">
        <v>2671</v>
      </c>
      <c r="I997" s="30">
        <v>1770</v>
      </c>
      <c r="J997" s="30">
        <v>7000</v>
      </c>
      <c r="K997" s="30">
        <v>3000</v>
      </c>
      <c r="L997" s="30">
        <v>3021</v>
      </c>
      <c r="M997" s="31">
        <f t="shared" si="75"/>
        <v>5230</v>
      </c>
      <c r="N997" s="32">
        <f t="shared" si="76"/>
        <v>2.9548022598870056</v>
      </c>
      <c r="O997" s="6" t="str">
        <f>IF(ABS(M997)&lt;Overview!$B$6,"OK",IF(I997=0,"REVIEW (zero base)",IF(ABS(M997/ABS(I997))&gt;=Overview!$B$5,"REVIEW","OK")))</f>
        <v>OK</v>
      </c>
      <c r="P997" s="31">
        <f t="shared" si="77"/>
        <v>-4000</v>
      </c>
      <c r="Q997" s="32">
        <f t="shared" si="78"/>
        <v>-0.5714285714285714</v>
      </c>
      <c r="R997" s="6" t="str">
        <f>IF(ABS(P997)&lt;Overview!$B$6,"OK",IF(J997=0,"REVIEW (zero base)",IF(ABS(P997/ABS(J997))&gt;=Overview!$B$5,"REVIEW","OK")))</f>
        <v>OK</v>
      </c>
      <c r="S997" s="33">
        <f t="shared" si="79"/>
        <v>5230.0009970000001</v>
      </c>
    </row>
    <row r="998" spans="1:19" x14ac:dyDescent="0.2">
      <c r="A998" s="17">
        <v>996</v>
      </c>
      <c r="B998" s="17" t="s">
        <v>171</v>
      </c>
      <c r="C998" s="17" t="s">
        <v>338</v>
      </c>
      <c r="D998" s="17" t="s">
        <v>56</v>
      </c>
      <c r="E998" s="17" t="s">
        <v>118</v>
      </c>
      <c r="F998" s="17" t="s">
        <v>494</v>
      </c>
      <c r="G998" s="17" t="s">
        <v>495</v>
      </c>
      <c r="H998" s="30">
        <v>22940</v>
      </c>
      <c r="I998" s="30">
        <v>12720</v>
      </c>
      <c r="J998" s="30">
        <v>60000</v>
      </c>
      <c r="K998" s="30">
        <v>40000</v>
      </c>
      <c r="L998" s="30">
        <v>40280</v>
      </c>
      <c r="M998" s="31">
        <f t="shared" si="75"/>
        <v>47280</v>
      </c>
      <c r="N998" s="32">
        <f t="shared" si="76"/>
        <v>3.7169811320754715</v>
      </c>
      <c r="O998" s="6" t="str">
        <f>IF(ABS(M998)&lt;Overview!$B$6,"OK",IF(I998=0,"REVIEW (zero base)",IF(ABS(M998/ABS(I998))&gt;=Overview!$B$5,"REVIEW","OK")))</f>
        <v>OK</v>
      </c>
      <c r="P998" s="31">
        <f t="shared" si="77"/>
        <v>-20000</v>
      </c>
      <c r="Q998" s="32">
        <f t="shared" si="78"/>
        <v>-0.33333333333333331</v>
      </c>
      <c r="R998" s="6" t="str">
        <f>IF(ABS(P998)&lt;Overview!$B$6,"OK",IF(J998=0,"REVIEW (zero base)",IF(ABS(P998/ABS(J998))&gt;=Overview!$B$5,"REVIEW","OK")))</f>
        <v>OK</v>
      </c>
      <c r="S998" s="33">
        <f t="shared" si="79"/>
        <v>47280.000998000003</v>
      </c>
    </row>
    <row r="999" spans="1:19" x14ac:dyDescent="0.2">
      <c r="A999" s="17">
        <v>997</v>
      </c>
      <c r="B999" s="17" t="s">
        <v>171</v>
      </c>
      <c r="C999" s="17" t="s">
        <v>338</v>
      </c>
      <c r="D999" s="17" t="s">
        <v>56</v>
      </c>
      <c r="E999" s="17" t="s">
        <v>118</v>
      </c>
      <c r="F999" s="17" t="s">
        <v>411</v>
      </c>
      <c r="G999" s="17" t="s">
        <v>491</v>
      </c>
      <c r="H999" s="30">
        <v>480</v>
      </c>
      <c r="I999" s="30">
        <v>0</v>
      </c>
      <c r="J999" s="30">
        <v>0</v>
      </c>
      <c r="K999" s="30">
        <v>0</v>
      </c>
      <c r="L999" s="30">
        <v>0</v>
      </c>
      <c r="M999" s="31">
        <f t="shared" si="75"/>
        <v>0</v>
      </c>
      <c r="N999" s="32" t="str">
        <f t="shared" si="76"/>
        <v>n/a</v>
      </c>
      <c r="O999" s="6" t="str">
        <f>IF(ABS(M999)&lt;Overview!$B$6,"OK",IF(I999=0,"REVIEW (zero base)",IF(ABS(M999/ABS(I999))&gt;=Overview!$B$5,"REVIEW","OK")))</f>
        <v>OK</v>
      </c>
      <c r="P999" s="31">
        <f t="shared" si="77"/>
        <v>0</v>
      </c>
      <c r="Q999" s="32" t="str">
        <f t="shared" si="78"/>
        <v>n/a</v>
      </c>
      <c r="R999" s="6" t="str">
        <f>IF(ABS(P999)&lt;Overview!$B$6,"OK",IF(J999=0,"REVIEW (zero base)",IF(ABS(P999/ABS(J999))&gt;=Overview!$B$5,"REVIEW","OK")))</f>
        <v>OK</v>
      </c>
      <c r="S999" s="33">
        <f t="shared" si="79"/>
        <v>9.990000000000001E-4</v>
      </c>
    </row>
    <row r="1000" spans="1:19" x14ac:dyDescent="0.2">
      <c r="A1000" s="17">
        <v>998</v>
      </c>
      <c r="B1000" s="17" t="s">
        <v>171</v>
      </c>
      <c r="C1000" s="17" t="s">
        <v>338</v>
      </c>
      <c r="D1000" s="17" t="s">
        <v>56</v>
      </c>
      <c r="E1000" s="17" t="s">
        <v>119</v>
      </c>
      <c r="F1000" s="17" t="s">
        <v>339</v>
      </c>
      <c r="G1000" s="17" t="s">
        <v>340</v>
      </c>
      <c r="H1000" s="30">
        <v>302360</v>
      </c>
      <c r="I1000" s="30">
        <v>350959</v>
      </c>
      <c r="J1000" s="30">
        <v>388734</v>
      </c>
      <c r="K1000" s="30">
        <v>436636</v>
      </c>
      <c r="L1000" s="30">
        <v>441002</v>
      </c>
      <c r="M1000" s="31">
        <f t="shared" si="75"/>
        <v>37775</v>
      </c>
      <c r="N1000" s="32">
        <f t="shared" si="76"/>
        <v>0.10763365521328702</v>
      </c>
      <c r="O1000" s="6" t="str">
        <f>IF(ABS(M1000)&lt;Overview!$B$6,"OK",IF(I1000=0,"REVIEW (zero base)",IF(ABS(M1000/ABS(I1000))&gt;=Overview!$B$5,"REVIEW","OK")))</f>
        <v>OK</v>
      </c>
      <c r="P1000" s="31">
        <f t="shared" si="77"/>
        <v>47902</v>
      </c>
      <c r="Q1000" s="32">
        <f t="shared" si="78"/>
        <v>0.12322565044477715</v>
      </c>
      <c r="R1000" s="6" t="str">
        <f>IF(ABS(P1000)&lt;Overview!$B$6,"OK",IF(J1000=0,"REVIEW (zero base)",IF(ABS(P1000/ABS(J1000))&gt;=Overview!$B$5,"REVIEW","OK")))</f>
        <v>OK</v>
      </c>
      <c r="S1000" s="33">
        <f t="shared" si="79"/>
        <v>37775.000999999997</v>
      </c>
    </row>
    <row r="1001" spans="1:19" x14ac:dyDescent="0.2">
      <c r="A1001" s="17">
        <v>999</v>
      </c>
      <c r="B1001" s="17" t="s">
        <v>171</v>
      </c>
      <c r="C1001" s="17" t="s">
        <v>338</v>
      </c>
      <c r="D1001" s="17" t="s">
        <v>56</v>
      </c>
      <c r="E1001" s="17" t="s">
        <v>119</v>
      </c>
      <c r="F1001" s="17" t="s">
        <v>339</v>
      </c>
      <c r="G1001" s="17" t="s">
        <v>390</v>
      </c>
      <c r="H1001" s="30">
        <v>22247</v>
      </c>
      <c r="I1001" s="30">
        <v>17496</v>
      </c>
      <c r="J1001" s="30">
        <v>3000</v>
      </c>
      <c r="K1001" s="30">
        <v>3000</v>
      </c>
      <c r="L1001" s="30">
        <v>3000</v>
      </c>
      <c r="M1001" s="31">
        <f t="shared" si="75"/>
        <v>-14496</v>
      </c>
      <c r="N1001" s="32">
        <f t="shared" si="76"/>
        <v>-0.82853223593964331</v>
      </c>
      <c r="O1001" s="6" t="str">
        <f>IF(ABS(M1001)&lt;Overview!$B$6,"OK",IF(I1001=0,"REVIEW (zero base)",IF(ABS(M1001/ABS(I1001))&gt;=Overview!$B$5,"REVIEW","OK")))</f>
        <v>OK</v>
      </c>
      <c r="P1001" s="31">
        <f t="shared" si="77"/>
        <v>0</v>
      </c>
      <c r="Q1001" s="32">
        <f t="shared" si="78"/>
        <v>0</v>
      </c>
      <c r="R1001" s="6" t="str">
        <f>IF(ABS(P1001)&lt;Overview!$B$6,"OK",IF(J1001=0,"REVIEW (zero base)",IF(ABS(P1001/ABS(J1001))&gt;=Overview!$B$5,"REVIEW","OK")))</f>
        <v>OK</v>
      </c>
      <c r="S1001" s="33">
        <f t="shared" si="79"/>
        <v>14496.001001000001</v>
      </c>
    </row>
    <row r="1002" spans="1:19" x14ac:dyDescent="0.2">
      <c r="A1002" s="17">
        <v>1000</v>
      </c>
      <c r="B1002" s="17" t="s">
        <v>171</v>
      </c>
      <c r="C1002" s="17" t="s">
        <v>338</v>
      </c>
      <c r="D1002" s="17" t="s">
        <v>56</v>
      </c>
      <c r="E1002" s="17" t="s">
        <v>119</v>
      </c>
      <c r="F1002" s="17" t="s">
        <v>339</v>
      </c>
      <c r="G1002" s="17" t="s">
        <v>391</v>
      </c>
      <c r="H1002" s="30">
        <v>16454</v>
      </c>
      <c r="I1002" s="30">
        <v>14324</v>
      </c>
      <c r="J1002" s="30">
        <v>0</v>
      </c>
      <c r="K1002" s="30">
        <v>0</v>
      </c>
      <c r="L1002" s="30">
        <v>0</v>
      </c>
      <c r="M1002" s="31">
        <f t="shared" si="75"/>
        <v>-14324</v>
      </c>
      <c r="N1002" s="32">
        <f t="shared" si="76"/>
        <v>-1</v>
      </c>
      <c r="O1002" s="6" t="str">
        <f>IF(ABS(M1002)&lt;Overview!$B$6,"OK",IF(I1002=0,"REVIEW (zero base)",IF(ABS(M1002/ABS(I1002))&gt;=Overview!$B$5,"REVIEW","OK")))</f>
        <v>OK</v>
      </c>
      <c r="P1002" s="31">
        <f t="shared" si="77"/>
        <v>0</v>
      </c>
      <c r="Q1002" s="32" t="str">
        <f t="shared" si="78"/>
        <v>n/a</v>
      </c>
      <c r="R1002" s="6" t="str">
        <f>IF(ABS(P1002)&lt;Overview!$B$6,"OK",IF(J1002=0,"REVIEW (zero base)",IF(ABS(P1002/ABS(J1002))&gt;=Overview!$B$5,"REVIEW","OK")))</f>
        <v>OK</v>
      </c>
      <c r="S1002" s="33">
        <f t="shared" si="79"/>
        <v>14324.001002000001</v>
      </c>
    </row>
    <row r="1003" spans="1:19" x14ac:dyDescent="0.2">
      <c r="A1003" s="17">
        <v>1001</v>
      </c>
      <c r="B1003" s="17" t="s">
        <v>171</v>
      </c>
      <c r="C1003" s="17" t="s">
        <v>338</v>
      </c>
      <c r="D1003" s="17" t="s">
        <v>56</v>
      </c>
      <c r="E1003" s="17" t="s">
        <v>119</v>
      </c>
      <c r="F1003" s="17" t="s">
        <v>339</v>
      </c>
      <c r="G1003" s="17" t="s">
        <v>392</v>
      </c>
      <c r="H1003" s="30">
        <v>37334</v>
      </c>
      <c r="I1003" s="30">
        <v>27900</v>
      </c>
      <c r="J1003" s="30">
        <v>0</v>
      </c>
      <c r="K1003" s="30">
        <v>0</v>
      </c>
      <c r="L1003" s="30">
        <v>0</v>
      </c>
      <c r="M1003" s="31">
        <f t="shared" si="75"/>
        <v>-27900</v>
      </c>
      <c r="N1003" s="32">
        <f t="shared" si="76"/>
        <v>-1</v>
      </c>
      <c r="O1003" s="6" t="str">
        <f>IF(ABS(M1003)&lt;Overview!$B$6,"OK",IF(I1003=0,"REVIEW (zero base)",IF(ABS(M1003/ABS(I1003))&gt;=Overview!$B$5,"REVIEW","OK")))</f>
        <v>OK</v>
      </c>
      <c r="P1003" s="31">
        <f t="shared" si="77"/>
        <v>0</v>
      </c>
      <c r="Q1003" s="32" t="str">
        <f t="shared" si="78"/>
        <v>n/a</v>
      </c>
      <c r="R1003" s="6" t="str">
        <f>IF(ABS(P1003)&lt;Overview!$B$6,"OK",IF(J1003=0,"REVIEW (zero base)",IF(ABS(P1003/ABS(J1003))&gt;=Overview!$B$5,"REVIEW","OK")))</f>
        <v>OK</v>
      </c>
      <c r="S1003" s="33">
        <f t="shared" si="79"/>
        <v>27900.001003000001</v>
      </c>
    </row>
    <row r="1004" spans="1:19" x14ac:dyDescent="0.2">
      <c r="A1004" s="17">
        <v>1002</v>
      </c>
      <c r="B1004" s="17" t="s">
        <v>171</v>
      </c>
      <c r="C1004" s="17" t="s">
        <v>338</v>
      </c>
      <c r="D1004" s="17" t="s">
        <v>56</v>
      </c>
      <c r="E1004" s="17" t="s">
        <v>119</v>
      </c>
      <c r="F1004" s="17" t="s">
        <v>339</v>
      </c>
      <c r="G1004" s="17" t="s">
        <v>393</v>
      </c>
      <c r="H1004" s="30">
        <v>344</v>
      </c>
      <c r="I1004" s="30">
        <v>0</v>
      </c>
      <c r="J1004" s="30">
        <v>0</v>
      </c>
      <c r="K1004" s="30">
        <v>0</v>
      </c>
      <c r="L1004" s="30">
        <v>0</v>
      </c>
      <c r="M1004" s="31">
        <f t="shared" si="75"/>
        <v>0</v>
      </c>
      <c r="N1004" s="32" t="str">
        <f t="shared" si="76"/>
        <v>n/a</v>
      </c>
      <c r="O1004" s="6" t="str">
        <f>IF(ABS(M1004)&lt;Overview!$B$6,"OK",IF(I1004=0,"REVIEW (zero base)",IF(ABS(M1004/ABS(I1004))&gt;=Overview!$B$5,"REVIEW","OK")))</f>
        <v>OK</v>
      </c>
      <c r="P1004" s="31">
        <f t="shared" si="77"/>
        <v>0</v>
      </c>
      <c r="Q1004" s="32" t="str">
        <f t="shared" si="78"/>
        <v>n/a</v>
      </c>
      <c r="R1004" s="6" t="str">
        <f>IF(ABS(P1004)&lt;Overview!$B$6,"OK",IF(J1004=0,"REVIEW (zero base)",IF(ABS(P1004/ABS(J1004))&gt;=Overview!$B$5,"REVIEW","OK")))</f>
        <v>OK</v>
      </c>
      <c r="S1004" s="33">
        <f t="shared" si="79"/>
        <v>1.0039999999999999E-3</v>
      </c>
    </row>
    <row r="1005" spans="1:19" x14ac:dyDescent="0.2">
      <c r="A1005" s="17">
        <v>1003</v>
      </c>
      <c r="B1005" s="17" t="s">
        <v>171</v>
      </c>
      <c r="C1005" s="17" t="s">
        <v>338</v>
      </c>
      <c r="D1005" s="17" t="s">
        <v>56</v>
      </c>
      <c r="E1005" s="17" t="s">
        <v>119</v>
      </c>
      <c r="F1005" s="17" t="s">
        <v>339</v>
      </c>
      <c r="G1005" s="17" t="s">
        <v>394</v>
      </c>
      <c r="H1005" s="30">
        <v>24971</v>
      </c>
      <c r="I1005" s="30">
        <v>25736</v>
      </c>
      <c r="J1005" s="30">
        <v>0</v>
      </c>
      <c r="K1005" s="30">
        <v>0</v>
      </c>
      <c r="L1005" s="30">
        <v>0</v>
      </c>
      <c r="M1005" s="31">
        <f t="shared" si="75"/>
        <v>-25736</v>
      </c>
      <c r="N1005" s="32">
        <f t="shared" si="76"/>
        <v>-1</v>
      </c>
      <c r="O1005" s="6" t="str">
        <f>IF(ABS(M1005)&lt;Overview!$B$6,"OK",IF(I1005=0,"REVIEW (zero base)",IF(ABS(M1005/ABS(I1005))&gt;=Overview!$B$5,"REVIEW","OK")))</f>
        <v>OK</v>
      </c>
      <c r="P1005" s="31">
        <f t="shared" si="77"/>
        <v>0</v>
      </c>
      <c r="Q1005" s="32" t="str">
        <f t="shared" si="78"/>
        <v>n/a</v>
      </c>
      <c r="R1005" s="6" t="str">
        <f>IF(ABS(P1005)&lt;Overview!$B$6,"OK",IF(J1005=0,"REVIEW (zero base)",IF(ABS(P1005/ABS(J1005))&gt;=Overview!$B$5,"REVIEW","OK")))</f>
        <v>OK</v>
      </c>
      <c r="S1005" s="33">
        <f t="shared" si="79"/>
        <v>25736.001004999998</v>
      </c>
    </row>
    <row r="1006" spans="1:19" x14ac:dyDescent="0.2">
      <c r="A1006" s="17">
        <v>1004</v>
      </c>
      <c r="B1006" s="17" t="s">
        <v>171</v>
      </c>
      <c r="C1006" s="17" t="s">
        <v>338</v>
      </c>
      <c r="D1006" s="17" t="s">
        <v>56</v>
      </c>
      <c r="E1006" s="17" t="s">
        <v>119</v>
      </c>
      <c r="F1006" s="17" t="s">
        <v>339</v>
      </c>
      <c r="G1006" s="17" t="s">
        <v>395</v>
      </c>
      <c r="H1006" s="30">
        <v>16998</v>
      </c>
      <c r="I1006" s="30">
        <v>17660</v>
      </c>
      <c r="J1006" s="30">
        <v>18893</v>
      </c>
      <c r="K1006" s="30">
        <v>20169</v>
      </c>
      <c r="L1006" s="30">
        <v>20371</v>
      </c>
      <c r="M1006" s="31">
        <f t="shared" si="75"/>
        <v>1233</v>
      </c>
      <c r="N1006" s="32">
        <f t="shared" si="76"/>
        <v>6.9818799546998864E-2</v>
      </c>
      <c r="O1006" s="6" t="str">
        <f>IF(ABS(M1006)&lt;Overview!$B$6,"OK",IF(I1006=0,"REVIEW (zero base)",IF(ABS(M1006/ABS(I1006))&gt;=Overview!$B$5,"REVIEW","OK")))</f>
        <v>OK</v>
      </c>
      <c r="P1006" s="31">
        <f t="shared" si="77"/>
        <v>1276</v>
      </c>
      <c r="Q1006" s="32">
        <f t="shared" si="78"/>
        <v>6.7538241676811522E-2</v>
      </c>
      <c r="R1006" s="6" t="str">
        <f>IF(ABS(P1006)&lt;Overview!$B$6,"OK",IF(J1006=0,"REVIEW (zero base)",IF(ABS(P1006/ABS(J1006))&gt;=Overview!$B$5,"REVIEW","OK")))</f>
        <v>OK</v>
      </c>
      <c r="S1006" s="33">
        <f t="shared" si="79"/>
        <v>1233.001006</v>
      </c>
    </row>
    <row r="1007" spans="1:19" x14ac:dyDescent="0.2">
      <c r="A1007" s="17">
        <v>1005</v>
      </c>
      <c r="B1007" s="17" t="s">
        <v>171</v>
      </c>
      <c r="C1007" s="17" t="s">
        <v>338</v>
      </c>
      <c r="D1007" s="17" t="s">
        <v>56</v>
      </c>
      <c r="E1007" s="17" t="s">
        <v>119</v>
      </c>
      <c r="F1007" s="17" t="s">
        <v>341</v>
      </c>
      <c r="G1007" s="17" t="s">
        <v>342</v>
      </c>
      <c r="H1007" s="30">
        <v>7029</v>
      </c>
      <c r="I1007" s="30">
        <v>7213</v>
      </c>
      <c r="J1007" s="30">
        <v>9324</v>
      </c>
      <c r="K1007" s="30">
        <v>9324</v>
      </c>
      <c r="L1007" s="30">
        <v>9324</v>
      </c>
      <c r="M1007" s="31">
        <f t="shared" si="75"/>
        <v>2111</v>
      </c>
      <c r="N1007" s="32">
        <f t="shared" si="76"/>
        <v>0.29266601968667683</v>
      </c>
      <c r="O1007" s="6" t="str">
        <f>IF(ABS(M1007)&lt;Overview!$B$6,"OK",IF(I1007=0,"REVIEW (zero base)",IF(ABS(M1007/ABS(I1007))&gt;=Overview!$B$5,"REVIEW","OK")))</f>
        <v>OK</v>
      </c>
      <c r="P1007" s="31">
        <f t="shared" si="77"/>
        <v>0</v>
      </c>
      <c r="Q1007" s="32">
        <f t="shared" si="78"/>
        <v>0</v>
      </c>
      <c r="R1007" s="6" t="str">
        <f>IF(ABS(P1007)&lt;Overview!$B$6,"OK",IF(J1007=0,"REVIEW (zero base)",IF(ABS(P1007/ABS(J1007))&gt;=Overview!$B$5,"REVIEW","OK")))</f>
        <v>OK</v>
      </c>
      <c r="S1007" s="33">
        <f t="shared" si="79"/>
        <v>2111.0010069999998</v>
      </c>
    </row>
    <row r="1008" spans="1:19" x14ac:dyDescent="0.2">
      <c r="A1008" s="17">
        <v>1006</v>
      </c>
      <c r="B1008" s="17" t="s">
        <v>171</v>
      </c>
      <c r="C1008" s="17" t="s">
        <v>338</v>
      </c>
      <c r="D1008" s="17" t="s">
        <v>56</v>
      </c>
      <c r="E1008" s="17" t="s">
        <v>119</v>
      </c>
      <c r="F1008" s="17" t="s">
        <v>341</v>
      </c>
      <c r="G1008" s="17" t="s">
        <v>375</v>
      </c>
      <c r="H1008" s="30">
        <v>29964</v>
      </c>
      <c r="I1008" s="30">
        <v>35868</v>
      </c>
      <c r="J1008" s="30">
        <v>36400</v>
      </c>
      <c r="K1008" s="30">
        <v>36400</v>
      </c>
      <c r="L1008" s="30">
        <v>36400</v>
      </c>
      <c r="M1008" s="31">
        <f t="shared" si="75"/>
        <v>532</v>
      </c>
      <c r="N1008" s="32">
        <f t="shared" si="76"/>
        <v>1.4832162373145981E-2</v>
      </c>
      <c r="O1008" s="6" t="str">
        <f>IF(ABS(M1008)&lt;Overview!$B$6,"OK",IF(I1008=0,"REVIEW (zero base)",IF(ABS(M1008/ABS(I1008))&gt;=Overview!$B$5,"REVIEW","OK")))</f>
        <v>OK</v>
      </c>
      <c r="P1008" s="31">
        <f t="shared" si="77"/>
        <v>0</v>
      </c>
      <c r="Q1008" s="32">
        <f t="shared" si="78"/>
        <v>0</v>
      </c>
      <c r="R1008" s="6" t="str">
        <f>IF(ABS(P1008)&lt;Overview!$B$6,"OK",IF(J1008=0,"REVIEW (zero base)",IF(ABS(P1008/ABS(J1008))&gt;=Overview!$B$5,"REVIEW","OK")))</f>
        <v>OK</v>
      </c>
      <c r="S1008" s="33">
        <f t="shared" si="79"/>
        <v>532.00100799999996</v>
      </c>
    </row>
    <row r="1009" spans="1:19" x14ac:dyDescent="0.2">
      <c r="A1009" s="17">
        <v>1007</v>
      </c>
      <c r="B1009" s="17" t="s">
        <v>171</v>
      </c>
      <c r="C1009" s="17" t="s">
        <v>338</v>
      </c>
      <c r="D1009" s="17" t="s">
        <v>56</v>
      </c>
      <c r="E1009" s="17" t="s">
        <v>119</v>
      </c>
      <c r="F1009" s="17" t="s">
        <v>341</v>
      </c>
      <c r="G1009" s="17" t="s">
        <v>376</v>
      </c>
      <c r="H1009" s="30">
        <v>114812</v>
      </c>
      <c r="I1009" s="30">
        <v>128404</v>
      </c>
      <c r="J1009" s="30">
        <v>111367</v>
      </c>
      <c r="K1009" s="30">
        <v>133800</v>
      </c>
      <c r="L1009" s="30">
        <v>140798</v>
      </c>
      <c r="M1009" s="31">
        <f t="shared" si="75"/>
        <v>-17037</v>
      </c>
      <c r="N1009" s="32">
        <f t="shared" si="76"/>
        <v>-0.13268278246783588</v>
      </c>
      <c r="O1009" s="6" t="str">
        <f>IF(ABS(M1009)&lt;Overview!$B$6,"OK",IF(I1009=0,"REVIEW (zero base)",IF(ABS(M1009/ABS(I1009))&gt;=Overview!$B$5,"REVIEW","OK")))</f>
        <v>OK</v>
      </c>
      <c r="P1009" s="31">
        <f t="shared" si="77"/>
        <v>22433</v>
      </c>
      <c r="Q1009" s="32">
        <f t="shared" si="78"/>
        <v>0.2014330995716864</v>
      </c>
      <c r="R1009" s="6" t="str">
        <f>IF(ABS(P1009)&lt;Overview!$B$6,"OK",IF(J1009=0,"REVIEW (zero base)",IF(ABS(P1009/ABS(J1009))&gt;=Overview!$B$5,"REVIEW","OK")))</f>
        <v>OK</v>
      </c>
      <c r="S1009" s="33">
        <f t="shared" si="79"/>
        <v>17037.001009</v>
      </c>
    </row>
    <row r="1010" spans="1:19" x14ac:dyDescent="0.2">
      <c r="A1010" s="17">
        <v>1008</v>
      </c>
      <c r="B1010" s="17" t="s">
        <v>171</v>
      </c>
      <c r="C1010" s="17" t="s">
        <v>338</v>
      </c>
      <c r="D1010" s="17" t="s">
        <v>56</v>
      </c>
      <c r="E1010" s="17" t="s">
        <v>119</v>
      </c>
      <c r="F1010" s="17" t="s">
        <v>341</v>
      </c>
      <c r="G1010" s="17" t="s">
        <v>343</v>
      </c>
      <c r="H1010" s="30">
        <v>35182</v>
      </c>
      <c r="I1010" s="30">
        <v>35674</v>
      </c>
      <c r="J1010" s="30">
        <v>35889</v>
      </c>
      <c r="K1010" s="30">
        <v>37013</v>
      </c>
      <c r="L1010" s="30">
        <v>37383</v>
      </c>
      <c r="M1010" s="31">
        <f t="shared" si="75"/>
        <v>215</v>
      </c>
      <c r="N1010" s="32">
        <f t="shared" si="76"/>
        <v>6.0267982284016369E-3</v>
      </c>
      <c r="O1010" s="6" t="str">
        <f>IF(ABS(M1010)&lt;Overview!$B$6,"OK",IF(I1010=0,"REVIEW (zero base)",IF(ABS(M1010/ABS(I1010))&gt;=Overview!$B$5,"REVIEW","OK")))</f>
        <v>OK</v>
      </c>
      <c r="P1010" s="31">
        <f t="shared" si="77"/>
        <v>1124</v>
      </c>
      <c r="Q1010" s="32">
        <f t="shared" si="78"/>
        <v>3.1318788486722954E-2</v>
      </c>
      <c r="R1010" s="6" t="str">
        <f>IF(ABS(P1010)&lt;Overview!$B$6,"OK",IF(J1010=0,"REVIEW (zero base)",IF(ABS(P1010/ABS(J1010))&gt;=Overview!$B$5,"REVIEW","OK")))</f>
        <v>OK</v>
      </c>
      <c r="S1010" s="33">
        <f t="shared" si="79"/>
        <v>215.00101000000001</v>
      </c>
    </row>
    <row r="1011" spans="1:19" x14ac:dyDescent="0.2">
      <c r="A1011" s="17">
        <v>1009</v>
      </c>
      <c r="B1011" s="17" t="s">
        <v>171</v>
      </c>
      <c r="C1011" s="17" t="s">
        <v>338</v>
      </c>
      <c r="D1011" s="17" t="s">
        <v>56</v>
      </c>
      <c r="E1011" s="17" t="s">
        <v>119</v>
      </c>
      <c r="F1011" s="17" t="s">
        <v>341</v>
      </c>
      <c r="G1011" s="17" t="s">
        <v>378</v>
      </c>
      <c r="H1011" s="30">
        <v>24666</v>
      </c>
      <c r="I1011" s="30">
        <v>26320</v>
      </c>
      <c r="J1011" s="30">
        <v>27520</v>
      </c>
      <c r="K1011" s="30">
        <v>29120</v>
      </c>
      <c r="L1011" s="30">
        <v>30410</v>
      </c>
      <c r="M1011" s="31">
        <f t="shared" si="75"/>
        <v>1200</v>
      </c>
      <c r="N1011" s="32">
        <f t="shared" si="76"/>
        <v>4.5592705167173252E-2</v>
      </c>
      <c r="O1011" s="6" t="str">
        <f>IF(ABS(M1011)&lt;Overview!$B$6,"OK",IF(I1011=0,"REVIEW (zero base)",IF(ABS(M1011/ABS(I1011))&gt;=Overview!$B$5,"REVIEW","OK")))</f>
        <v>OK</v>
      </c>
      <c r="P1011" s="31">
        <f t="shared" si="77"/>
        <v>1600</v>
      </c>
      <c r="Q1011" s="32">
        <f t="shared" si="78"/>
        <v>5.8139534883720929E-2</v>
      </c>
      <c r="R1011" s="6" t="str">
        <f>IF(ABS(P1011)&lt;Overview!$B$6,"OK",IF(J1011=0,"REVIEW (zero base)",IF(ABS(P1011/ABS(J1011))&gt;=Overview!$B$5,"REVIEW","OK")))</f>
        <v>OK</v>
      </c>
      <c r="S1011" s="33">
        <f t="shared" si="79"/>
        <v>1200.0010110000001</v>
      </c>
    </row>
    <row r="1012" spans="1:19" x14ac:dyDescent="0.2">
      <c r="A1012" s="17">
        <v>1010</v>
      </c>
      <c r="B1012" s="17" t="s">
        <v>171</v>
      </c>
      <c r="C1012" s="17" t="s">
        <v>338</v>
      </c>
      <c r="D1012" s="17" t="s">
        <v>56</v>
      </c>
      <c r="E1012" s="17" t="s">
        <v>119</v>
      </c>
      <c r="F1012" s="17" t="s">
        <v>341</v>
      </c>
      <c r="G1012" s="17" t="s">
        <v>344</v>
      </c>
      <c r="H1012" s="30">
        <v>84782</v>
      </c>
      <c r="I1012" s="30">
        <v>81921</v>
      </c>
      <c r="J1012" s="30">
        <v>103622</v>
      </c>
      <c r="K1012" s="30">
        <v>120492</v>
      </c>
      <c r="L1012" s="30">
        <v>122902</v>
      </c>
      <c r="M1012" s="31">
        <f t="shared" si="75"/>
        <v>21701</v>
      </c>
      <c r="N1012" s="32">
        <f t="shared" si="76"/>
        <v>0.26490155149473271</v>
      </c>
      <c r="O1012" s="6" t="str">
        <f>IF(ABS(M1012)&lt;Overview!$B$6,"OK",IF(I1012=0,"REVIEW (zero base)",IF(ABS(M1012/ABS(I1012))&gt;=Overview!$B$5,"REVIEW","OK")))</f>
        <v>OK</v>
      </c>
      <c r="P1012" s="31">
        <f t="shared" si="77"/>
        <v>16870</v>
      </c>
      <c r="Q1012" s="32">
        <f t="shared" si="78"/>
        <v>0.16280326571577464</v>
      </c>
      <c r="R1012" s="6" t="str">
        <f>IF(ABS(P1012)&lt;Overview!$B$6,"OK",IF(J1012=0,"REVIEW (zero base)",IF(ABS(P1012/ABS(J1012))&gt;=Overview!$B$5,"REVIEW","OK")))</f>
        <v>OK</v>
      </c>
      <c r="S1012" s="33">
        <f t="shared" si="79"/>
        <v>21701.001012000001</v>
      </c>
    </row>
    <row r="1013" spans="1:19" x14ac:dyDescent="0.2">
      <c r="A1013" s="17">
        <v>1011</v>
      </c>
      <c r="B1013" s="17" t="s">
        <v>171</v>
      </c>
      <c r="C1013" s="17" t="s">
        <v>338</v>
      </c>
      <c r="D1013" s="17" t="s">
        <v>56</v>
      </c>
      <c r="E1013" s="17" t="s">
        <v>119</v>
      </c>
      <c r="F1013" s="17" t="s">
        <v>402</v>
      </c>
      <c r="G1013" s="17" t="s">
        <v>445</v>
      </c>
      <c r="H1013" s="30">
        <v>152567</v>
      </c>
      <c r="I1013" s="30">
        <v>137796</v>
      </c>
      <c r="J1013" s="30">
        <v>150000</v>
      </c>
      <c r="K1013" s="30">
        <v>0</v>
      </c>
      <c r="L1013" s="30">
        <v>0</v>
      </c>
      <c r="M1013" s="31">
        <f t="shared" si="75"/>
        <v>12204</v>
      </c>
      <c r="N1013" s="32">
        <f t="shared" si="76"/>
        <v>8.8565705826003663E-2</v>
      </c>
      <c r="O1013" s="6" t="str">
        <f>IF(ABS(M1013)&lt;Overview!$B$6,"OK",IF(I1013=0,"REVIEW (zero base)",IF(ABS(M1013/ABS(I1013))&gt;=Overview!$B$5,"REVIEW","OK")))</f>
        <v>OK</v>
      </c>
      <c r="P1013" s="31">
        <f t="shared" si="77"/>
        <v>-150000</v>
      </c>
      <c r="Q1013" s="32">
        <f t="shared" si="78"/>
        <v>-1</v>
      </c>
      <c r="R1013" s="6" t="str">
        <f>IF(ABS(P1013)&lt;Overview!$B$6,"OK",IF(J1013=0,"REVIEW (zero base)",IF(ABS(P1013/ABS(J1013))&gt;=Overview!$B$5,"REVIEW","OK")))</f>
        <v>OK</v>
      </c>
      <c r="S1013" s="33">
        <f t="shared" si="79"/>
        <v>12204.001012999999</v>
      </c>
    </row>
    <row r="1014" spans="1:19" x14ac:dyDescent="0.2">
      <c r="A1014" s="17">
        <v>1012</v>
      </c>
      <c r="B1014" s="17" t="s">
        <v>171</v>
      </c>
      <c r="C1014" s="17" t="s">
        <v>338</v>
      </c>
      <c r="D1014" s="17" t="s">
        <v>56</v>
      </c>
      <c r="E1014" s="17" t="s">
        <v>119</v>
      </c>
      <c r="F1014" s="17" t="s">
        <v>402</v>
      </c>
      <c r="G1014" s="17" t="s">
        <v>460</v>
      </c>
      <c r="H1014" s="30">
        <v>3605</v>
      </c>
      <c r="I1014" s="30">
        <v>1473</v>
      </c>
      <c r="J1014" s="30">
        <v>6000</v>
      </c>
      <c r="K1014" s="30">
        <v>6000</v>
      </c>
      <c r="L1014" s="30">
        <v>6042</v>
      </c>
      <c r="M1014" s="31">
        <f t="shared" si="75"/>
        <v>4527</v>
      </c>
      <c r="N1014" s="32">
        <f t="shared" si="76"/>
        <v>3.0733197556008145</v>
      </c>
      <c r="O1014" s="6" t="str">
        <f>IF(ABS(M1014)&lt;Overview!$B$6,"OK",IF(I1014=0,"REVIEW (zero base)",IF(ABS(M1014/ABS(I1014))&gt;=Overview!$B$5,"REVIEW","OK")))</f>
        <v>OK</v>
      </c>
      <c r="P1014" s="31">
        <f t="shared" si="77"/>
        <v>0</v>
      </c>
      <c r="Q1014" s="32">
        <f t="shared" si="78"/>
        <v>0</v>
      </c>
      <c r="R1014" s="6" t="str">
        <f>IF(ABS(P1014)&lt;Overview!$B$6,"OK",IF(J1014=0,"REVIEW (zero base)",IF(ABS(P1014/ABS(J1014))&gt;=Overview!$B$5,"REVIEW","OK")))</f>
        <v>OK</v>
      </c>
      <c r="S1014" s="33">
        <f t="shared" si="79"/>
        <v>4527.0010140000004</v>
      </c>
    </row>
    <row r="1015" spans="1:19" x14ac:dyDescent="0.2">
      <c r="A1015" s="17">
        <v>1013</v>
      </c>
      <c r="B1015" s="17" t="s">
        <v>171</v>
      </c>
      <c r="C1015" s="17" t="s">
        <v>338</v>
      </c>
      <c r="D1015" s="17" t="s">
        <v>56</v>
      </c>
      <c r="E1015" s="17" t="s">
        <v>119</v>
      </c>
      <c r="F1015" s="17" t="s">
        <v>448</v>
      </c>
      <c r="G1015" s="17" t="s">
        <v>449</v>
      </c>
      <c r="H1015" s="30">
        <v>9456</v>
      </c>
      <c r="I1015" s="30">
        <v>12126</v>
      </c>
      <c r="J1015" s="30">
        <v>10000</v>
      </c>
      <c r="K1015" s="30">
        <v>15000</v>
      </c>
      <c r="L1015" s="30">
        <v>15105</v>
      </c>
      <c r="M1015" s="31">
        <f t="shared" si="75"/>
        <v>-2126</v>
      </c>
      <c r="N1015" s="32">
        <f t="shared" si="76"/>
        <v>-0.17532574633019957</v>
      </c>
      <c r="O1015" s="6" t="str">
        <f>IF(ABS(M1015)&lt;Overview!$B$6,"OK",IF(I1015=0,"REVIEW (zero base)",IF(ABS(M1015/ABS(I1015))&gt;=Overview!$B$5,"REVIEW","OK")))</f>
        <v>OK</v>
      </c>
      <c r="P1015" s="31">
        <f t="shared" si="77"/>
        <v>5000</v>
      </c>
      <c r="Q1015" s="32">
        <f t="shared" si="78"/>
        <v>0.5</v>
      </c>
      <c r="R1015" s="6" t="str">
        <f>IF(ABS(P1015)&lt;Overview!$B$6,"OK",IF(J1015=0,"REVIEW (zero base)",IF(ABS(P1015/ABS(J1015))&gt;=Overview!$B$5,"REVIEW","OK")))</f>
        <v>OK</v>
      </c>
      <c r="S1015" s="33">
        <f t="shared" si="79"/>
        <v>2126.0010149999998</v>
      </c>
    </row>
    <row r="1016" spans="1:19" x14ac:dyDescent="0.2">
      <c r="A1016" s="17">
        <v>1014</v>
      </c>
      <c r="B1016" s="17" t="s">
        <v>171</v>
      </c>
      <c r="C1016" s="17" t="s">
        <v>338</v>
      </c>
      <c r="D1016" s="17" t="s">
        <v>56</v>
      </c>
      <c r="E1016" s="17" t="s">
        <v>119</v>
      </c>
      <c r="F1016" s="17" t="s">
        <v>411</v>
      </c>
      <c r="G1016" s="17" t="s">
        <v>465</v>
      </c>
      <c r="H1016" s="30">
        <v>0</v>
      </c>
      <c r="I1016" s="30">
        <v>0</v>
      </c>
      <c r="J1016" s="30">
        <v>0</v>
      </c>
      <c r="K1016" s="30">
        <v>150000</v>
      </c>
      <c r="L1016" s="30">
        <v>151050</v>
      </c>
      <c r="M1016" s="31">
        <f t="shared" si="75"/>
        <v>0</v>
      </c>
      <c r="N1016" s="32" t="str">
        <f t="shared" si="76"/>
        <v>n/a</v>
      </c>
      <c r="O1016" s="6" t="str">
        <f>IF(ABS(M1016)&lt;Overview!$B$6,"OK",IF(I1016=0,"REVIEW (zero base)",IF(ABS(M1016/ABS(I1016))&gt;=Overview!$B$5,"REVIEW","OK")))</f>
        <v>OK</v>
      </c>
      <c r="P1016" s="31">
        <f t="shared" si="77"/>
        <v>150000</v>
      </c>
      <c r="Q1016" s="32" t="str">
        <f t="shared" si="78"/>
        <v>n/a</v>
      </c>
      <c r="R1016" s="6" t="str">
        <f>IF(ABS(P1016)&lt;Overview!$B$6,"OK",IF(J1016=0,"REVIEW (zero base)",IF(ABS(P1016/ABS(J1016))&gt;=Overview!$B$5,"REVIEW","OK")))</f>
        <v>OK</v>
      </c>
      <c r="S1016" s="33">
        <f t="shared" si="79"/>
        <v>1.016E-3</v>
      </c>
    </row>
    <row r="1017" spans="1:19" x14ac:dyDescent="0.2">
      <c r="A1017" s="17">
        <v>1015</v>
      </c>
      <c r="B1017" s="17" t="s">
        <v>171</v>
      </c>
      <c r="C1017" s="17" t="s">
        <v>338</v>
      </c>
      <c r="D1017" s="17" t="s">
        <v>56</v>
      </c>
      <c r="E1017" s="17" t="s">
        <v>119</v>
      </c>
      <c r="F1017" s="17" t="s">
        <v>411</v>
      </c>
      <c r="G1017" s="17" t="s">
        <v>454</v>
      </c>
      <c r="H1017" s="30">
        <v>30859</v>
      </c>
      <c r="I1017" s="30">
        <v>26367</v>
      </c>
      <c r="J1017" s="30">
        <v>30000</v>
      </c>
      <c r="K1017" s="30">
        <v>30000</v>
      </c>
      <c r="L1017" s="30">
        <v>30210</v>
      </c>
      <c r="M1017" s="31">
        <f t="shared" si="75"/>
        <v>3633</v>
      </c>
      <c r="N1017" s="32">
        <f t="shared" si="76"/>
        <v>0.13778586869951076</v>
      </c>
      <c r="O1017" s="6" t="str">
        <f>IF(ABS(M1017)&lt;Overview!$B$6,"OK",IF(I1017=0,"REVIEW (zero base)",IF(ABS(M1017/ABS(I1017))&gt;=Overview!$B$5,"REVIEW","OK")))</f>
        <v>OK</v>
      </c>
      <c r="P1017" s="31">
        <f t="shared" si="77"/>
        <v>0</v>
      </c>
      <c r="Q1017" s="32">
        <f t="shared" si="78"/>
        <v>0</v>
      </c>
      <c r="R1017" s="6" t="str">
        <f>IF(ABS(P1017)&lt;Overview!$B$6,"OK",IF(J1017=0,"REVIEW (zero base)",IF(ABS(P1017/ABS(J1017))&gt;=Overview!$B$5,"REVIEW","OK")))</f>
        <v>OK</v>
      </c>
      <c r="S1017" s="33">
        <f t="shared" si="79"/>
        <v>3633.001017</v>
      </c>
    </row>
    <row r="1018" spans="1:19" x14ac:dyDescent="0.2">
      <c r="A1018" s="17">
        <v>1016</v>
      </c>
      <c r="B1018" s="17" t="s">
        <v>171</v>
      </c>
      <c r="C1018" s="17" t="s">
        <v>338</v>
      </c>
      <c r="D1018" s="17" t="s">
        <v>56</v>
      </c>
      <c r="E1018" s="17" t="s">
        <v>124</v>
      </c>
      <c r="F1018" s="17" t="s">
        <v>339</v>
      </c>
      <c r="G1018" s="17" t="s">
        <v>340</v>
      </c>
      <c r="H1018" s="30">
        <v>169645</v>
      </c>
      <c r="I1018" s="30">
        <v>96504</v>
      </c>
      <c r="J1018" s="30">
        <v>172712</v>
      </c>
      <c r="K1018" s="30">
        <v>206982</v>
      </c>
      <c r="L1018" s="30">
        <v>209052</v>
      </c>
      <c r="M1018" s="31">
        <f t="shared" si="75"/>
        <v>76208</v>
      </c>
      <c r="N1018" s="32">
        <f t="shared" si="76"/>
        <v>0.78968747409433804</v>
      </c>
      <c r="O1018" s="6" t="str">
        <f>IF(ABS(M1018)&lt;Overview!$B$6,"OK",IF(I1018=0,"REVIEW (zero base)",IF(ABS(M1018/ABS(I1018))&gt;=Overview!$B$5,"REVIEW","OK")))</f>
        <v>OK</v>
      </c>
      <c r="P1018" s="31">
        <f t="shared" si="77"/>
        <v>34270</v>
      </c>
      <c r="Q1018" s="32">
        <f t="shared" si="78"/>
        <v>0.19842280791143638</v>
      </c>
      <c r="R1018" s="6" t="str">
        <f>IF(ABS(P1018)&lt;Overview!$B$6,"OK",IF(J1018=0,"REVIEW (zero base)",IF(ABS(P1018/ABS(J1018))&gt;=Overview!$B$5,"REVIEW","OK")))</f>
        <v>OK</v>
      </c>
      <c r="S1018" s="33">
        <f t="shared" si="79"/>
        <v>76208.001017999995</v>
      </c>
    </row>
    <row r="1019" spans="1:19" x14ac:dyDescent="0.2">
      <c r="A1019" s="17">
        <v>1017</v>
      </c>
      <c r="B1019" s="17" t="s">
        <v>171</v>
      </c>
      <c r="C1019" s="17" t="s">
        <v>338</v>
      </c>
      <c r="D1019" s="17" t="s">
        <v>56</v>
      </c>
      <c r="E1019" s="17" t="s">
        <v>124</v>
      </c>
      <c r="F1019" s="17" t="s">
        <v>339</v>
      </c>
      <c r="G1019" s="17" t="s">
        <v>390</v>
      </c>
      <c r="H1019" s="30">
        <v>10365</v>
      </c>
      <c r="I1019" s="30">
        <v>5260</v>
      </c>
      <c r="J1019" s="30">
        <v>5000</v>
      </c>
      <c r="K1019" s="30">
        <v>5000</v>
      </c>
      <c r="L1019" s="30">
        <v>5000</v>
      </c>
      <c r="M1019" s="31">
        <f t="shared" si="75"/>
        <v>-260</v>
      </c>
      <c r="N1019" s="32">
        <f t="shared" si="76"/>
        <v>-4.9429657794676805E-2</v>
      </c>
      <c r="O1019" s="6" t="str">
        <f>IF(ABS(M1019)&lt;Overview!$B$6,"OK",IF(I1019=0,"REVIEW (zero base)",IF(ABS(M1019/ABS(I1019))&gt;=Overview!$B$5,"REVIEW","OK")))</f>
        <v>OK</v>
      </c>
      <c r="P1019" s="31">
        <f t="shared" si="77"/>
        <v>0</v>
      </c>
      <c r="Q1019" s="32">
        <f t="shared" si="78"/>
        <v>0</v>
      </c>
      <c r="R1019" s="6" t="str">
        <f>IF(ABS(P1019)&lt;Overview!$B$6,"OK",IF(J1019=0,"REVIEW (zero base)",IF(ABS(P1019/ABS(J1019))&gt;=Overview!$B$5,"REVIEW","OK")))</f>
        <v>OK</v>
      </c>
      <c r="S1019" s="33">
        <f t="shared" si="79"/>
        <v>260.00101899999999</v>
      </c>
    </row>
    <row r="1020" spans="1:19" x14ac:dyDescent="0.2">
      <c r="A1020" s="17">
        <v>1018</v>
      </c>
      <c r="B1020" s="17" t="s">
        <v>171</v>
      </c>
      <c r="C1020" s="17" t="s">
        <v>338</v>
      </c>
      <c r="D1020" s="17" t="s">
        <v>56</v>
      </c>
      <c r="E1020" s="17" t="s">
        <v>124</v>
      </c>
      <c r="F1020" s="17" t="s">
        <v>339</v>
      </c>
      <c r="G1020" s="17" t="s">
        <v>391</v>
      </c>
      <c r="H1020" s="30">
        <v>10524</v>
      </c>
      <c r="I1020" s="30">
        <v>6817</v>
      </c>
      <c r="J1020" s="30">
        <v>0</v>
      </c>
      <c r="K1020" s="30">
        <v>0</v>
      </c>
      <c r="L1020" s="30">
        <v>0</v>
      </c>
      <c r="M1020" s="31">
        <f t="shared" si="75"/>
        <v>-6817</v>
      </c>
      <c r="N1020" s="32">
        <f t="shared" si="76"/>
        <v>-1</v>
      </c>
      <c r="O1020" s="6" t="str">
        <f>IF(ABS(M1020)&lt;Overview!$B$6,"OK",IF(I1020=0,"REVIEW (zero base)",IF(ABS(M1020/ABS(I1020))&gt;=Overview!$B$5,"REVIEW","OK")))</f>
        <v>OK</v>
      </c>
      <c r="P1020" s="31">
        <f t="shared" si="77"/>
        <v>0</v>
      </c>
      <c r="Q1020" s="32" t="str">
        <f t="shared" si="78"/>
        <v>n/a</v>
      </c>
      <c r="R1020" s="6" t="str">
        <f>IF(ABS(P1020)&lt;Overview!$B$6,"OK",IF(J1020=0,"REVIEW (zero base)",IF(ABS(P1020/ABS(J1020))&gt;=Overview!$B$5,"REVIEW","OK")))</f>
        <v>OK</v>
      </c>
      <c r="S1020" s="33">
        <f t="shared" si="79"/>
        <v>6817.0010199999997</v>
      </c>
    </row>
    <row r="1021" spans="1:19" x14ac:dyDescent="0.2">
      <c r="A1021" s="17">
        <v>1019</v>
      </c>
      <c r="B1021" s="17" t="s">
        <v>171</v>
      </c>
      <c r="C1021" s="17" t="s">
        <v>338</v>
      </c>
      <c r="D1021" s="17" t="s">
        <v>56</v>
      </c>
      <c r="E1021" s="17" t="s">
        <v>124</v>
      </c>
      <c r="F1021" s="17" t="s">
        <v>339</v>
      </c>
      <c r="G1021" s="17" t="s">
        <v>392</v>
      </c>
      <c r="H1021" s="30">
        <v>15231</v>
      </c>
      <c r="I1021" s="30">
        <v>4961</v>
      </c>
      <c r="J1021" s="30">
        <v>0</v>
      </c>
      <c r="K1021" s="30">
        <v>0</v>
      </c>
      <c r="L1021" s="30">
        <v>0</v>
      </c>
      <c r="M1021" s="31">
        <f t="shared" si="75"/>
        <v>-4961</v>
      </c>
      <c r="N1021" s="32">
        <f t="shared" si="76"/>
        <v>-1</v>
      </c>
      <c r="O1021" s="6" t="str">
        <f>IF(ABS(M1021)&lt;Overview!$B$6,"OK",IF(I1021=0,"REVIEW (zero base)",IF(ABS(M1021/ABS(I1021))&gt;=Overview!$B$5,"REVIEW","OK")))</f>
        <v>OK</v>
      </c>
      <c r="P1021" s="31">
        <f t="shared" si="77"/>
        <v>0</v>
      </c>
      <c r="Q1021" s="32" t="str">
        <f t="shared" si="78"/>
        <v>n/a</v>
      </c>
      <c r="R1021" s="6" t="str">
        <f>IF(ABS(P1021)&lt;Overview!$B$6,"OK",IF(J1021=0,"REVIEW (zero base)",IF(ABS(P1021/ABS(J1021))&gt;=Overview!$B$5,"REVIEW","OK")))</f>
        <v>OK</v>
      </c>
      <c r="S1021" s="33">
        <f t="shared" si="79"/>
        <v>4961.001021</v>
      </c>
    </row>
    <row r="1022" spans="1:19" x14ac:dyDescent="0.2">
      <c r="A1022" s="17">
        <v>1020</v>
      </c>
      <c r="B1022" s="17" t="s">
        <v>171</v>
      </c>
      <c r="C1022" s="17" t="s">
        <v>338</v>
      </c>
      <c r="D1022" s="17" t="s">
        <v>56</v>
      </c>
      <c r="E1022" s="17" t="s">
        <v>124</v>
      </c>
      <c r="F1022" s="17" t="s">
        <v>339</v>
      </c>
      <c r="G1022" s="17" t="s">
        <v>394</v>
      </c>
      <c r="H1022" s="30">
        <v>13378</v>
      </c>
      <c r="I1022" s="30">
        <v>6749</v>
      </c>
      <c r="J1022" s="30">
        <v>0</v>
      </c>
      <c r="K1022" s="30">
        <v>0</v>
      </c>
      <c r="L1022" s="30">
        <v>0</v>
      </c>
      <c r="M1022" s="31">
        <f t="shared" si="75"/>
        <v>-6749</v>
      </c>
      <c r="N1022" s="32">
        <f t="shared" si="76"/>
        <v>-1</v>
      </c>
      <c r="O1022" s="6" t="str">
        <f>IF(ABS(M1022)&lt;Overview!$B$6,"OK",IF(I1022=0,"REVIEW (zero base)",IF(ABS(M1022/ABS(I1022))&gt;=Overview!$B$5,"REVIEW","OK")))</f>
        <v>OK</v>
      </c>
      <c r="P1022" s="31">
        <f t="shared" si="77"/>
        <v>0</v>
      </c>
      <c r="Q1022" s="32" t="str">
        <f t="shared" si="78"/>
        <v>n/a</v>
      </c>
      <c r="R1022" s="6" t="str">
        <f>IF(ABS(P1022)&lt;Overview!$B$6,"OK",IF(J1022=0,"REVIEW (zero base)",IF(ABS(P1022/ABS(J1022))&gt;=Overview!$B$5,"REVIEW","OK")))</f>
        <v>OK</v>
      </c>
      <c r="S1022" s="33">
        <f t="shared" si="79"/>
        <v>6749.0010220000004</v>
      </c>
    </row>
    <row r="1023" spans="1:19" x14ac:dyDescent="0.2">
      <c r="A1023" s="17">
        <v>1021</v>
      </c>
      <c r="B1023" s="17" t="s">
        <v>171</v>
      </c>
      <c r="C1023" s="17" t="s">
        <v>338</v>
      </c>
      <c r="D1023" s="17" t="s">
        <v>56</v>
      </c>
      <c r="E1023" s="17" t="s">
        <v>124</v>
      </c>
      <c r="F1023" s="17" t="s">
        <v>339</v>
      </c>
      <c r="G1023" s="17" t="s">
        <v>395</v>
      </c>
      <c r="H1023" s="30">
        <v>7625</v>
      </c>
      <c r="I1023" s="30">
        <v>6309</v>
      </c>
      <c r="J1023" s="30">
        <v>0</v>
      </c>
      <c r="K1023" s="30">
        <v>0</v>
      </c>
      <c r="L1023" s="30">
        <v>0</v>
      </c>
      <c r="M1023" s="31">
        <f t="shared" si="75"/>
        <v>-6309</v>
      </c>
      <c r="N1023" s="32">
        <f t="shared" si="76"/>
        <v>-1</v>
      </c>
      <c r="O1023" s="6" t="str">
        <f>IF(ABS(M1023)&lt;Overview!$B$6,"OK",IF(I1023=0,"REVIEW (zero base)",IF(ABS(M1023/ABS(I1023))&gt;=Overview!$B$5,"REVIEW","OK")))</f>
        <v>OK</v>
      </c>
      <c r="P1023" s="31">
        <f t="shared" si="77"/>
        <v>0</v>
      </c>
      <c r="Q1023" s="32" t="str">
        <f t="shared" si="78"/>
        <v>n/a</v>
      </c>
      <c r="R1023" s="6" t="str">
        <f>IF(ABS(P1023)&lt;Overview!$B$6,"OK",IF(J1023=0,"REVIEW (zero base)",IF(ABS(P1023/ABS(J1023))&gt;=Overview!$B$5,"REVIEW","OK")))</f>
        <v>OK</v>
      </c>
      <c r="S1023" s="33">
        <f t="shared" si="79"/>
        <v>6309.0010229999998</v>
      </c>
    </row>
    <row r="1024" spans="1:19" x14ac:dyDescent="0.2">
      <c r="A1024" s="17">
        <v>1022</v>
      </c>
      <c r="B1024" s="17" t="s">
        <v>171</v>
      </c>
      <c r="C1024" s="17" t="s">
        <v>338</v>
      </c>
      <c r="D1024" s="17" t="s">
        <v>56</v>
      </c>
      <c r="E1024" s="17" t="s">
        <v>124</v>
      </c>
      <c r="F1024" s="17" t="s">
        <v>341</v>
      </c>
      <c r="G1024" s="17" t="s">
        <v>342</v>
      </c>
      <c r="H1024" s="30">
        <v>4795</v>
      </c>
      <c r="I1024" s="30">
        <v>2358</v>
      </c>
      <c r="J1024" s="30">
        <v>4656</v>
      </c>
      <c r="K1024" s="30">
        <v>4656</v>
      </c>
      <c r="L1024" s="30">
        <v>4656</v>
      </c>
      <c r="M1024" s="31">
        <f t="shared" si="75"/>
        <v>2298</v>
      </c>
      <c r="N1024" s="32">
        <f t="shared" si="76"/>
        <v>0.97455470737913485</v>
      </c>
      <c r="O1024" s="6" t="str">
        <f>IF(ABS(M1024)&lt;Overview!$B$6,"OK",IF(I1024=0,"REVIEW (zero base)",IF(ABS(M1024/ABS(I1024))&gt;=Overview!$B$5,"REVIEW","OK")))</f>
        <v>OK</v>
      </c>
      <c r="P1024" s="31">
        <f t="shared" si="77"/>
        <v>0</v>
      </c>
      <c r="Q1024" s="32">
        <f t="shared" si="78"/>
        <v>0</v>
      </c>
      <c r="R1024" s="6" t="str">
        <f>IF(ABS(P1024)&lt;Overview!$B$6,"OK",IF(J1024=0,"REVIEW (zero base)",IF(ABS(P1024/ABS(J1024))&gt;=Overview!$B$5,"REVIEW","OK")))</f>
        <v>OK</v>
      </c>
      <c r="S1024" s="33">
        <f t="shared" si="79"/>
        <v>2298.0010240000001</v>
      </c>
    </row>
    <row r="1025" spans="1:19" x14ac:dyDescent="0.2">
      <c r="A1025" s="17">
        <v>1023</v>
      </c>
      <c r="B1025" s="17" t="s">
        <v>171</v>
      </c>
      <c r="C1025" s="17" t="s">
        <v>338</v>
      </c>
      <c r="D1025" s="17" t="s">
        <v>56</v>
      </c>
      <c r="E1025" s="17" t="s">
        <v>124</v>
      </c>
      <c r="F1025" s="17" t="s">
        <v>341</v>
      </c>
      <c r="G1025" s="17" t="s">
        <v>375</v>
      </c>
      <c r="H1025" s="30">
        <v>14891</v>
      </c>
      <c r="I1025" s="30">
        <v>9067</v>
      </c>
      <c r="J1025" s="30">
        <v>15600</v>
      </c>
      <c r="K1025" s="30">
        <v>15600</v>
      </c>
      <c r="L1025" s="30">
        <v>15600</v>
      </c>
      <c r="M1025" s="31">
        <f t="shared" si="75"/>
        <v>6533</v>
      </c>
      <c r="N1025" s="32">
        <f t="shared" si="76"/>
        <v>0.72052498069923898</v>
      </c>
      <c r="O1025" s="6" t="str">
        <f>IF(ABS(M1025)&lt;Overview!$B$6,"OK",IF(I1025=0,"REVIEW (zero base)",IF(ABS(M1025/ABS(I1025))&gt;=Overview!$B$5,"REVIEW","OK")))</f>
        <v>OK</v>
      </c>
      <c r="P1025" s="31">
        <f t="shared" si="77"/>
        <v>0</v>
      </c>
      <c r="Q1025" s="32">
        <f t="shared" si="78"/>
        <v>0</v>
      </c>
      <c r="R1025" s="6" t="str">
        <f>IF(ABS(P1025)&lt;Overview!$B$6,"OK",IF(J1025=0,"REVIEW (zero base)",IF(ABS(P1025/ABS(J1025))&gt;=Overview!$B$5,"REVIEW","OK")))</f>
        <v>OK</v>
      </c>
      <c r="S1025" s="33">
        <f t="shared" si="79"/>
        <v>6533.0010249999996</v>
      </c>
    </row>
    <row r="1026" spans="1:19" x14ac:dyDescent="0.2">
      <c r="A1026" s="17">
        <v>1024</v>
      </c>
      <c r="B1026" s="17" t="s">
        <v>171</v>
      </c>
      <c r="C1026" s="17" t="s">
        <v>338</v>
      </c>
      <c r="D1026" s="17" t="s">
        <v>56</v>
      </c>
      <c r="E1026" s="17" t="s">
        <v>124</v>
      </c>
      <c r="F1026" s="17" t="s">
        <v>341</v>
      </c>
      <c r="G1026" s="17" t="s">
        <v>376</v>
      </c>
      <c r="H1026" s="30">
        <v>62409</v>
      </c>
      <c r="I1026" s="30">
        <v>35947</v>
      </c>
      <c r="J1026" s="30">
        <v>55705</v>
      </c>
      <c r="K1026" s="30">
        <v>37452</v>
      </c>
      <c r="L1026" s="30">
        <v>39411</v>
      </c>
      <c r="M1026" s="31">
        <f t="shared" ref="M1026:M1089" si="80">J1026-I1026</f>
        <v>19758</v>
      </c>
      <c r="N1026" s="32">
        <f t="shared" ref="N1026:N1089" si="81">IF(I1026=0,"n/a",M1026/ABS(I1026))</f>
        <v>0.54964252927921664</v>
      </c>
      <c r="O1026" s="6" t="str">
        <f>IF(ABS(M1026)&lt;Overview!$B$6,"OK",IF(I1026=0,"REVIEW (zero base)",IF(ABS(M1026/ABS(I1026))&gt;=Overview!$B$5,"REVIEW","OK")))</f>
        <v>OK</v>
      </c>
      <c r="P1026" s="31">
        <f t="shared" ref="P1026:P1089" si="82">K1026-J1026</f>
        <v>-18253</v>
      </c>
      <c r="Q1026" s="32">
        <f t="shared" ref="Q1026:Q1089" si="83">IF(J1026=0,"n/a",P1026/ABS(J1026))</f>
        <v>-0.32767256081141727</v>
      </c>
      <c r="R1026" s="6" t="str">
        <f>IF(ABS(P1026)&lt;Overview!$B$6,"OK",IF(J1026=0,"REVIEW (zero base)",IF(ABS(P1026/ABS(J1026))&gt;=Overview!$B$5,"REVIEW","OK")))</f>
        <v>OK</v>
      </c>
      <c r="S1026" s="33">
        <f t="shared" ref="S1026:S1089" si="84">IF(C1026="EXPENSES",ABS(M1026)+ROW()/1000000,0)</f>
        <v>19758.001026000002</v>
      </c>
    </row>
    <row r="1027" spans="1:19" x14ac:dyDescent="0.2">
      <c r="A1027" s="17">
        <v>1025</v>
      </c>
      <c r="B1027" s="17" t="s">
        <v>171</v>
      </c>
      <c r="C1027" s="17" t="s">
        <v>338</v>
      </c>
      <c r="D1027" s="17" t="s">
        <v>56</v>
      </c>
      <c r="E1027" s="17" t="s">
        <v>124</v>
      </c>
      <c r="F1027" s="17" t="s">
        <v>341</v>
      </c>
      <c r="G1027" s="17" t="s">
        <v>343</v>
      </c>
      <c r="H1027" s="30">
        <v>17257</v>
      </c>
      <c r="I1027" s="30">
        <v>9342</v>
      </c>
      <c r="J1027" s="30">
        <v>17492</v>
      </c>
      <c r="K1027" s="30">
        <v>17364</v>
      </c>
      <c r="L1027" s="30">
        <v>17538</v>
      </c>
      <c r="M1027" s="31">
        <f t="shared" si="80"/>
        <v>8150</v>
      </c>
      <c r="N1027" s="32">
        <f t="shared" si="81"/>
        <v>0.87240419610361808</v>
      </c>
      <c r="O1027" s="6" t="str">
        <f>IF(ABS(M1027)&lt;Overview!$B$6,"OK",IF(I1027=0,"REVIEW (zero base)",IF(ABS(M1027/ABS(I1027))&gt;=Overview!$B$5,"REVIEW","OK")))</f>
        <v>OK</v>
      </c>
      <c r="P1027" s="31">
        <f t="shared" si="82"/>
        <v>-128</v>
      </c>
      <c r="Q1027" s="32">
        <f t="shared" si="83"/>
        <v>-7.3176309169906244E-3</v>
      </c>
      <c r="R1027" s="6" t="str">
        <f>IF(ABS(P1027)&lt;Overview!$B$6,"OK",IF(J1027=0,"REVIEW (zero base)",IF(ABS(P1027/ABS(J1027))&gt;=Overview!$B$5,"REVIEW","OK")))</f>
        <v>OK</v>
      </c>
      <c r="S1027" s="33">
        <f t="shared" si="84"/>
        <v>8150.0010270000002</v>
      </c>
    </row>
    <row r="1028" spans="1:19" x14ac:dyDescent="0.2">
      <c r="A1028" s="17">
        <v>1026</v>
      </c>
      <c r="B1028" s="17" t="s">
        <v>171</v>
      </c>
      <c r="C1028" s="17" t="s">
        <v>338</v>
      </c>
      <c r="D1028" s="17" t="s">
        <v>56</v>
      </c>
      <c r="E1028" s="17" t="s">
        <v>124</v>
      </c>
      <c r="F1028" s="17" t="s">
        <v>341</v>
      </c>
      <c r="G1028" s="17" t="s">
        <v>378</v>
      </c>
      <c r="H1028" s="30">
        <v>11659</v>
      </c>
      <c r="I1028" s="30">
        <v>8122</v>
      </c>
      <c r="J1028" s="30">
        <v>11792</v>
      </c>
      <c r="K1028" s="30">
        <v>12480</v>
      </c>
      <c r="L1028" s="30">
        <v>13033</v>
      </c>
      <c r="M1028" s="31">
        <f t="shared" si="80"/>
        <v>3670</v>
      </c>
      <c r="N1028" s="32">
        <f t="shared" si="81"/>
        <v>0.45185914799310517</v>
      </c>
      <c r="O1028" s="6" t="str">
        <f>IF(ABS(M1028)&lt;Overview!$B$6,"OK",IF(I1028=0,"REVIEW (zero base)",IF(ABS(M1028/ABS(I1028))&gt;=Overview!$B$5,"REVIEW","OK")))</f>
        <v>OK</v>
      </c>
      <c r="P1028" s="31">
        <f t="shared" si="82"/>
        <v>688</v>
      </c>
      <c r="Q1028" s="32">
        <f t="shared" si="83"/>
        <v>5.8344640434192671E-2</v>
      </c>
      <c r="R1028" s="6" t="str">
        <f>IF(ABS(P1028)&lt;Overview!$B$6,"OK",IF(J1028=0,"REVIEW (zero base)",IF(ABS(P1028/ABS(J1028))&gt;=Overview!$B$5,"REVIEW","OK")))</f>
        <v>OK</v>
      </c>
      <c r="S1028" s="33">
        <f t="shared" si="84"/>
        <v>3670.0010280000001</v>
      </c>
    </row>
    <row r="1029" spans="1:19" x14ac:dyDescent="0.2">
      <c r="A1029" s="17">
        <v>1027</v>
      </c>
      <c r="B1029" s="17" t="s">
        <v>171</v>
      </c>
      <c r="C1029" s="17" t="s">
        <v>338</v>
      </c>
      <c r="D1029" s="17" t="s">
        <v>56</v>
      </c>
      <c r="E1029" s="17" t="s">
        <v>124</v>
      </c>
      <c r="F1029" s="17" t="s">
        <v>341</v>
      </c>
      <c r="G1029" s="17" t="s">
        <v>344</v>
      </c>
      <c r="H1029" s="30">
        <v>66837</v>
      </c>
      <c r="I1029" s="30">
        <v>29784</v>
      </c>
      <c r="J1029" s="30">
        <v>41697</v>
      </c>
      <c r="K1029" s="30">
        <v>43800</v>
      </c>
      <c r="L1029" s="30">
        <v>44676</v>
      </c>
      <c r="M1029" s="31">
        <f t="shared" si="80"/>
        <v>11913</v>
      </c>
      <c r="N1029" s="32">
        <f t="shared" si="81"/>
        <v>0.39997985495568089</v>
      </c>
      <c r="O1029" s="6" t="str">
        <f>IF(ABS(M1029)&lt;Overview!$B$6,"OK",IF(I1029=0,"REVIEW (zero base)",IF(ABS(M1029/ABS(I1029))&gt;=Overview!$B$5,"REVIEW","OK")))</f>
        <v>OK</v>
      </c>
      <c r="P1029" s="31">
        <f t="shared" si="82"/>
        <v>2103</v>
      </c>
      <c r="Q1029" s="32">
        <f t="shared" si="83"/>
        <v>5.0435283113893087E-2</v>
      </c>
      <c r="R1029" s="6" t="str">
        <f>IF(ABS(P1029)&lt;Overview!$B$6,"OK",IF(J1029=0,"REVIEW (zero base)",IF(ABS(P1029/ABS(J1029))&gt;=Overview!$B$5,"REVIEW","OK")))</f>
        <v>OK</v>
      </c>
      <c r="S1029" s="33">
        <f t="shared" si="84"/>
        <v>11913.001028999999</v>
      </c>
    </row>
    <row r="1030" spans="1:19" x14ac:dyDescent="0.2">
      <c r="A1030" s="17">
        <v>1028</v>
      </c>
      <c r="B1030" s="17" t="s">
        <v>171</v>
      </c>
      <c r="C1030" s="17" t="s">
        <v>338</v>
      </c>
      <c r="D1030" s="17" t="s">
        <v>56</v>
      </c>
      <c r="E1030" s="17" t="s">
        <v>124</v>
      </c>
      <c r="F1030" s="17" t="s">
        <v>402</v>
      </c>
      <c r="G1030" s="17" t="s">
        <v>403</v>
      </c>
      <c r="H1030" s="30">
        <v>44380</v>
      </c>
      <c r="I1030" s="30">
        <v>43019</v>
      </c>
      <c r="J1030" s="30">
        <v>50000</v>
      </c>
      <c r="K1030" s="30">
        <v>50000</v>
      </c>
      <c r="L1030" s="30">
        <v>50350</v>
      </c>
      <c r="M1030" s="31">
        <f t="shared" si="80"/>
        <v>6981</v>
      </c>
      <c r="N1030" s="32">
        <f t="shared" si="81"/>
        <v>0.16227713335967828</v>
      </c>
      <c r="O1030" s="6" t="str">
        <f>IF(ABS(M1030)&lt;Overview!$B$6,"OK",IF(I1030=0,"REVIEW (zero base)",IF(ABS(M1030/ABS(I1030))&gt;=Overview!$B$5,"REVIEW","OK")))</f>
        <v>OK</v>
      </c>
      <c r="P1030" s="31">
        <f t="shared" si="82"/>
        <v>0</v>
      </c>
      <c r="Q1030" s="32">
        <f t="shared" si="83"/>
        <v>0</v>
      </c>
      <c r="R1030" s="6" t="str">
        <f>IF(ABS(P1030)&lt;Overview!$B$6,"OK",IF(J1030=0,"REVIEW (zero base)",IF(ABS(P1030/ABS(J1030))&gt;=Overview!$B$5,"REVIEW","OK")))</f>
        <v>OK</v>
      </c>
      <c r="S1030" s="33">
        <f t="shared" si="84"/>
        <v>6981.0010300000004</v>
      </c>
    </row>
    <row r="1031" spans="1:19" x14ac:dyDescent="0.2">
      <c r="A1031" s="17">
        <v>1029</v>
      </c>
      <c r="B1031" s="17" t="s">
        <v>171</v>
      </c>
      <c r="C1031" s="17" t="s">
        <v>338</v>
      </c>
      <c r="D1031" s="17" t="s">
        <v>56</v>
      </c>
      <c r="E1031" s="17" t="s">
        <v>124</v>
      </c>
      <c r="F1031" s="17" t="s">
        <v>409</v>
      </c>
      <c r="G1031" s="17" t="s">
        <v>410</v>
      </c>
      <c r="H1031" s="30">
        <v>374934</v>
      </c>
      <c r="I1031" s="30">
        <v>306320</v>
      </c>
      <c r="J1031" s="30">
        <v>375000</v>
      </c>
      <c r="K1031" s="30">
        <v>273510</v>
      </c>
      <c r="L1031" s="30">
        <v>275425</v>
      </c>
      <c r="M1031" s="31">
        <f t="shared" si="80"/>
        <v>68680</v>
      </c>
      <c r="N1031" s="32">
        <f t="shared" si="81"/>
        <v>0.22420997649516844</v>
      </c>
      <c r="O1031" s="6" t="str">
        <f>IF(ABS(M1031)&lt;Overview!$B$6,"OK",IF(I1031=0,"REVIEW (zero base)",IF(ABS(M1031/ABS(I1031))&gt;=Overview!$B$5,"REVIEW","OK")))</f>
        <v>OK</v>
      </c>
      <c r="P1031" s="31">
        <f t="shared" si="82"/>
        <v>-101490</v>
      </c>
      <c r="Q1031" s="32">
        <f t="shared" si="83"/>
        <v>-0.27063999999999999</v>
      </c>
      <c r="R1031" s="6" t="str">
        <f>IF(ABS(P1031)&lt;Overview!$B$6,"OK",IF(J1031=0,"REVIEW (zero base)",IF(ABS(P1031/ABS(J1031))&gt;=Overview!$B$5,"REVIEW","OK")))</f>
        <v>OK</v>
      </c>
      <c r="S1031" s="33">
        <f t="shared" si="84"/>
        <v>68680.001031000007</v>
      </c>
    </row>
    <row r="1032" spans="1:19" x14ac:dyDescent="0.2">
      <c r="A1032" s="17">
        <v>1030</v>
      </c>
      <c r="B1032" s="17" t="s">
        <v>171</v>
      </c>
      <c r="C1032" s="17" t="s">
        <v>338</v>
      </c>
      <c r="D1032" s="17" t="s">
        <v>71</v>
      </c>
      <c r="E1032" s="17" t="s">
        <v>100</v>
      </c>
      <c r="F1032" s="17" t="s">
        <v>339</v>
      </c>
      <c r="G1032" s="17" t="s">
        <v>340</v>
      </c>
      <c r="H1032" s="30">
        <v>352809</v>
      </c>
      <c r="I1032" s="30">
        <v>366401</v>
      </c>
      <c r="J1032" s="30">
        <v>292114</v>
      </c>
      <c r="K1032" s="30">
        <v>378540</v>
      </c>
      <c r="L1032" s="30">
        <v>382325</v>
      </c>
      <c r="M1032" s="31">
        <f t="shared" si="80"/>
        <v>-74287</v>
      </c>
      <c r="N1032" s="32">
        <f t="shared" si="81"/>
        <v>-0.20274780909440748</v>
      </c>
      <c r="O1032" s="6" t="str">
        <f>IF(ABS(M1032)&lt;Overview!$B$6,"OK",IF(I1032=0,"REVIEW (zero base)",IF(ABS(M1032/ABS(I1032))&gt;=Overview!$B$5,"REVIEW","OK")))</f>
        <v>OK</v>
      </c>
      <c r="P1032" s="31">
        <f t="shared" si="82"/>
        <v>86426</v>
      </c>
      <c r="Q1032" s="32">
        <f t="shared" si="83"/>
        <v>0.29586394352889628</v>
      </c>
      <c r="R1032" s="6" t="str">
        <f>IF(ABS(P1032)&lt;Overview!$B$6,"OK",IF(J1032=0,"REVIEW (zero base)",IF(ABS(P1032/ABS(J1032))&gt;=Overview!$B$5,"REVIEW","OK")))</f>
        <v>OK</v>
      </c>
      <c r="S1032" s="33">
        <f t="shared" si="84"/>
        <v>74287.001032</v>
      </c>
    </row>
    <row r="1033" spans="1:19" x14ac:dyDescent="0.2">
      <c r="A1033" s="17">
        <v>1031</v>
      </c>
      <c r="B1033" s="17" t="s">
        <v>171</v>
      </c>
      <c r="C1033" s="17" t="s">
        <v>338</v>
      </c>
      <c r="D1033" s="17" t="s">
        <v>71</v>
      </c>
      <c r="E1033" s="17" t="s">
        <v>100</v>
      </c>
      <c r="F1033" s="17" t="s">
        <v>339</v>
      </c>
      <c r="G1033" s="17" t="s">
        <v>389</v>
      </c>
      <c r="H1033" s="30">
        <v>99221</v>
      </c>
      <c r="I1033" s="30">
        <v>98753</v>
      </c>
      <c r="J1033" s="30">
        <v>94500</v>
      </c>
      <c r="K1033" s="30">
        <v>94500</v>
      </c>
      <c r="L1033" s="30">
        <v>94500</v>
      </c>
      <c r="M1033" s="31">
        <f t="shared" si="80"/>
        <v>-4253</v>
      </c>
      <c r="N1033" s="32">
        <f t="shared" si="81"/>
        <v>-4.306704606442336E-2</v>
      </c>
      <c r="O1033" s="6" t="str">
        <f>IF(ABS(M1033)&lt;Overview!$B$6,"OK",IF(I1033=0,"REVIEW (zero base)",IF(ABS(M1033/ABS(I1033))&gt;=Overview!$B$5,"REVIEW","OK")))</f>
        <v>OK</v>
      </c>
      <c r="P1033" s="31">
        <f t="shared" si="82"/>
        <v>0</v>
      </c>
      <c r="Q1033" s="32">
        <f t="shared" si="83"/>
        <v>0</v>
      </c>
      <c r="R1033" s="6" t="str">
        <f>IF(ABS(P1033)&lt;Overview!$B$6,"OK",IF(J1033=0,"REVIEW (zero base)",IF(ABS(P1033/ABS(J1033))&gt;=Overview!$B$5,"REVIEW","OK")))</f>
        <v>OK</v>
      </c>
      <c r="S1033" s="33">
        <f t="shared" si="84"/>
        <v>4253.0010329999996</v>
      </c>
    </row>
    <row r="1034" spans="1:19" x14ac:dyDescent="0.2">
      <c r="A1034" s="17">
        <v>1032</v>
      </c>
      <c r="B1034" s="17" t="s">
        <v>171</v>
      </c>
      <c r="C1034" s="17" t="s">
        <v>338</v>
      </c>
      <c r="D1034" s="17" t="s">
        <v>71</v>
      </c>
      <c r="E1034" s="17" t="s">
        <v>100</v>
      </c>
      <c r="F1034" s="17" t="s">
        <v>339</v>
      </c>
      <c r="G1034" s="17" t="s">
        <v>391</v>
      </c>
      <c r="H1034" s="30">
        <v>18193</v>
      </c>
      <c r="I1034" s="30">
        <v>11736</v>
      </c>
      <c r="J1034" s="30">
        <v>0</v>
      </c>
      <c r="K1034" s="30">
        <v>0</v>
      </c>
      <c r="L1034" s="30">
        <v>0</v>
      </c>
      <c r="M1034" s="31">
        <f t="shared" si="80"/>
        <v>-11736</v>
      </c>
      <c r="N1034" s="32">
        <f t="shared" si="81"/>
        <v>-1</v>
      </c>
      <c r="O1034" s="6" t="str">
        <f>IF(ABS(M1034)&lt;Overview!$B$6,"OK",IF(I1034=0,"REVIEW (zero base)",IF(ABS(M1034/ABS(I1034))&gt;=Overview!$B$5,"REVIEW","OK")))</f>
        <v>OK</v>
      </c>
      <c r="P1034" s="31">
        <f t="shared" si="82"/>
        <v>0</v>
      </c>
      <c r="Q1034" s="32" t="str">
        <f t="shared" si="83"/>
        <v>n/a</v>
      </c>
      <c r="R1034" s="6" t="str">
        <f>IF(ABS(P1034)&lt;Overview!$B$6,"OK",IF(J1034=0,"REVIEW (zero base)",IF(ABS(P1034/ABS(J1034))&gt;=Overview!$B$5,"REVIEW","OK")))</f>
        <v>OK</v>
      </c>
      <c r="S1034" s="33">
        <f t="shared" si="84"/>
        <v>11736.001034000001</v>
      </c>
    </row>
    <row r="1035" spans="1:19" x14ac:dyDescent="0.2">
      <c r="A1035" s="17">
        <v>1033</v>
      </c>
      <c r="B1035" s="17" t="s">
        <v>171</v>
      </c>
      <c r="C1035" s="17" t="s">
        <v>338</v>
      </c>
      <c r="D1035" s="17" t="s">
        <v>71</v>
      </c>
      <c r="E1035" s="17" t="s">
        <v>100</v>
      </c>
      <c r="F1035" s="17" t="s">
        <v>339</v>
      </c>
      <c r="G1035" s="17" t="s">
        <v>392</v>
      </c>
      <c r="H1035" s="30">
        <v>27011</v>
      </c>
      <c r="I1035" s="30">
        <v>16994</v>
      </c>
      <c r="J1035" s="30">
        <v>0</v>
      </c>
      <c r="K1035" s="30">
        <v>0</v>
      </c>
      <c r="L1035" s="30">
        <v>0</v>
      </c>
      <c r="M1035" s="31">
        <f t="shared" si="80"/>
        <v>-16994</v>
      </c>
      <c r="N1035" s="32">
        <f t="shared" si="81"/>
        <v>-1</v>
      </c>
      <c r="O1035" s="6" t="str">
        <f>IF(ABS(M1035)&lt;Overview!$B$6,"OK",IF(I1035=0,"REVIEW (zero base)",IF(ABS(M1035/ABS(I1035))&gt;=Overview!$B$5,"REVIEW","OK")))</f>
        <v>OK</v>
      </c>
      <c r="P1035" s="31">
        <f t="shared" si="82"/>
        <v>0</v>
      </c>
      <c r="Q1035" s="32" t="str">
        <f t="shared" si="83"/>
        <v>n/a</v>
      </c>
      <c r="R1035" s="6" t="str">
        <f>IF(ABS(P1035)&lt;Overview!$B$6,"OK",IF(J1035=0,"REVIEW (zero base)",IF(ABS(P1035/ABS(J1035))&gt;=Overview!$B$5,"REVIEW","OK")))</f>
        <v>OK</v>
      </c>
      <c r="S1035" s="33">
        <f t="shared" si="84"/>
        <v>16994.001035000001</v>
      </c>
    </row>
    <row r="1036" spans="1:19" x14ac:dyDescent="0.2">
      <c r="A1036" s="17">
        <v>1034</v>
      </c>
      <c r="B1036" s="17" t="s">
        <v>171</v>
      </c>
      <c r="C1036" s="17" t="s">
        <v>338</v>
      </c>
      <c r="D1036" s="17" t="s">
        <v>71</v>
      </c>
      <c r="E1036" s="17" t="s">
        <v>100</v>
      </c>
      <c r="F1036" s="17" t="s">
        <v>339</v>
      </c>
      <c r="G1036" s="17" t="s">
        <v>394</v>
      </c>
      <c r="H1036" s="30">
        <v>24864</v>
      </c>
      <c r="I1036" s="30">
        <v>22092</v>
      </c>
      <c r="J1036" s="30">
        <v>0</v>
      </c>
      <c r="K1036" s="30">
        <v>0</v>
      </c>
      <c r="L1036" s="30">
        <v>0</v>
      </c>
      <c r="M1036" s="31">
        <f t="shared" si="80"/>
        <v>-22092</v>
      </c>
      <c r="N1036" s="32">
        <f t="shared" si="81"/>
        <v>-1</v>
      </c>
      <c r="O1036" s="6" t="str">
        <f>IF(ABS(M1036)&lt;Overview!$B$6,"OK",IF(I1036=0,"REVIEW (zero base)",IF(ABS(M1036/ABS(I1036))&gt;=Overview!$B$5,"REVIEW","OK")))</f>
        <v>OK</v>
      </c>
      <c r="P1036" s="31">
        <f t="shared" si="82"/>
        <v>0</v>
      </c>
      <c r="Q1036" s="32" t="str">
        <f t="shared" si="83"/>
        <v>n/a</v>
      </c>
      <c r="R1036" s="6" t="str">
        <f>IF(ABS(P1036)&lt;Overview!$B$6,"OK",IF(J1036=0,"REVIEW (zero base)",IF(ABS(P1036/ABS(J1036))&gt;=Overview!$B$5,"REVIEW","OK")))</f>
        <v>OK</v>
      </c>
      <c r="S1036" s="33">
        <f t="shared" si="84"/>
        <v>22092.001036000001</v>
      </c>
    </row>
    <row r="1037" spans="1:19" x14ac:dyDescent="0.2">
      <c r="A1037" s="17">
        <v>1035</v>
      </c>
      <c r="B1037" s="17" t="s">
        <v>171</v>
      </c>
      <c r="C1037" s="17" t="s">
        <v>338</v>
      </c>
      <c r="D1037" s="17" t="s">
        <v>71</v>
      </c>
      <c r="E1037" s="17" t="s">
        <v>100</v>
      </c>
      <c r="F1037" s="17" t="s">
        <v>339</v>
      </c>
      <c r="G1037" s="17" t="s">
        <v>395</v>
      </c>
      <c r="H1037" s="30">
        <v>8317</v>
      </c>
      <c r="I1037" s="30">
        <v>8378</v>
      </c>
      <c r="J1037" s="30">
        <v>8576</v>
      </c>
      <c r="K1037" s="30">
        <v>8568</v>
      </c>
      <c r="L1037" s="30">
        <v>8654</v>
      </c>
      <c r="M1037" s="31">
        <f t="shared" si="80"/>
        <v>198</v>
      </c>
      <c r="N1037" s="32">
        <f t="shared" si="81"/>
        <v>2.3633325375984723E-2</v>
      </c>
      <c r="O1037" s="6" t="str">
        <f>IF(ABS(M1037)&lt;Overview!$B$6,"OK",IF(I1037=0,"REVIEW (zero base)",IF(ABS(M1037/ABS(I1037))&gt;=Overview!$B$5,"REVIEW","OK")))</f>
        <v>OK</v>
      </c>
      <c r="P1037" s="31">
        <f t="shared" si="82"/>
        <v>-8</v>
      </c>
      <c r="Q1037" s="32">
        <f t="shared" si="83"/>
        <v>-9.3283582089552237E-4</v>
      </c>
      <c r="R1037" s="6" t="str">
        <f>IF(ABS(P1037)&lt;Overview!$B$6,"OK",IF(J1037=0,"REVIEW (zero base)",IF(ABS(P1037/ABS(J1037))&gt;=Overview!$B$5,"REVIEW","OK")))</f>
        <v>OK</v>
      </c>
      <c r="S1037" s="33">
        <f t="shared" si="84"/>
        <v>198.001037</v>
      </c>
    </row>
    <row r="1038" spans="1:19" x14ac:dyDescent="0.2">
      <c r="A1038" s="17">
        <v>1036</v>
      </c>
      <c r="B1038" s="17" t="s">
        <v>171</v>
      </c>
      <c r="C1038" s="17" t="s">
        <v>338</v>
      </c>
      <c r="D1038" s="17" t="s">
        <v>71</v>
      </c>
      <c r="E1038" s="17" t="s">
        <v>100</v>
      </c>
      <c r="F1038" s="17" t="s">
        <v>341</v>
      </c>
      <c r="G1038" s="17" t="s">
        <v>342</v>
      </c>
      <c r="H1038" s="30">
        <v>3566</v>
      </c>
      <c r="I1038" s="30">
        <v>2917</v>
      </c>
      <c r="J1038" s="30">
        <v>3456</v>
      </c>
      <c r="K1038" s="30">
        <v>3456</v>
      </c>
      <c r="L1038" s="30">
        <v>3456</v>
      </c>
      <c r="M1038" s="31">
        <f t="shared" si="80"/>
        <v>539</v>
      </c>
      <c r="N1038" s="32">
        <f t="shared" si="81"/>
        <v>0.18477888241343846</v>
      </c>
      <c r="O1038" s="6" t="str">
        <f>IF(ABS(M1038)&lt;Overview!$B$6,"OK",IF(I1038=0,"REVIEW (zero base)",IF(ABS(M1038/ABS(I1038))&gt;=Overview!$B$5,"REVIEW","OK")))</f>
        <v>OK</v>
      </c>
      <c r="P1038" s="31">
        <f t="shared" si="82"/>
        <v>0</v>
      </c>
      <c r="Q1038" s="32">
        <f t="shared" si="83"/>
        <v>0</v>
      </c>
      <c r="R1038" s="6" t="str">
        <f>IF(ABS(P1038)&lt;Overview!$B$6,"OK",IF(J1038=0,"REVIEW (zero base)",IF(ABS(P1038/ABS(J1038))&gt;=Overview!$B$5,"REVIEW","OK")))</f>
        <v>OK</v>
      </c>
      <c r="S1038" s="33">
        <f t="shared" si="84"/>
        <v>539.00103799999999</v>
      </c>
    </row>
    <row r="1039" spans="1:19" x14ac:dyDescent="0.2">
      <c r="A1039" s="17">
        <v>1037</v>
      </c>
      <c r="B1039" s="17" t="s">
        <v>171</v>
      </c>
      <c r="C1039" s="17" t="s">
        <v>338</v>
      </c>
      <c r="D1039" s="17" t="s">
        <v>71</v>
      </c>
      <c r="E1039" s="17" t="s">
        <v>100</v>
      </c>
      <c r="F1039" s="17" t="s">
        <v>341</v>
      </c>
      <c r="G1039" s="17" t="s">
        <v>406</v>
      </c>
      <c r="H1039" s="30">
        <v>2500</v>
      </c>
      <c r="I1039" s="30">
        <v>1750</v>
      </c>
      <c r="J1039" s="30">
        <v>1750</v>
      </c>
      <c r="K1039" s="30">
        <v>0</v>
      </c>
      <c r="L1039" s="30">
        <v>0</v>
      </c>
      <c r="M1039" s="31">
        <f t="shared" si="80"/>
        <v>0</v>
      </c>
      <c r="N1039" s="32">
        <f t="shared" si="81"/>
        <v>0</v>
      </c>
      <c r="O1039" s="6" t="str">
        <f>IF(ABS(M1039)&lt;Overview!$B$6,"OK",IF(I1039=0,"REVIEW (zero base)",IF(ABS(M1039/ABS(I1039))&gt;=Overview!$B$5,"REVIEW","OK")))</f>
        <v>OK</v>
      </c>
      <c r="P1039" s="31">
        <f t="shared" si="82"/>
        <v>-1750</v>
      </c>
      <c r="Q1039" s="32">
        <f t="shared" si="83"/>
        <v>-1</v>
      </c>
      <c r="R1039" s="6" t="str">
        <f>IF(ABS(P1039)&lt;Overview!$B$6,"OK",IF(J1039=0,"REVIEW (zero base)",IF(ABS(P1039/ABS(J1039))&gt;=Overview!$B$5,"REVIEW","OK")))</f>
        <v>OK</v>
      </c>
      <c r="S1039" s="33">
        <f t="shared" si="84"/>
        <v>1.039E-3</v>
      </c>
    </row>
    <row r="1040" spans="1:19" x14ac:dyDescent="0.2">
      <c r="A1040" s="17">
        <v>1038</v>
      </c>
      <c r="B1040" s="17" t="s">
        <v>171</v>
      </c>
      <c r="C1040" s="17" t="s">
        <v>338</v>
      </c>
      <c r="D1040" s="17" t="s">
        <v>71</v>
      </c>
      <c r="E1040" s="17" t="s">
        <v>100</v>
      </c>
      <c r="F1040" s="17" t="s">
        <v>341</v>
      </c>
      <c r="G1040" s="17" t="s">
        <v>375</v>
      </c>
      <c r="H1040" s="30">
        <v>9089</v>
      </c>
      <c r="I1040" s="30">
        <v>9973</v>
      </c>
      <c r="J1040" s="30">
        <v>13650</v>
      </c>
      <c r="K1040" s="30">
        <v>13650</v>
      </c>
      <c r="L1040" s="30">
        <v>13650</v>
      </c>
      <c r="M1040" s="31">
        <f t="shared" si="80"/>
        <v>3677</v>
      </c>
      <c r="N1040" s="32">
        <f t="shared" si="81"/>
        <v>0.36869547779003309</v>
      </c>
      <c r="O1040" s="6" t="str">
        <f>IF(ABS(M1040)&lt;Overview!$B$6,"OK",IF(I1040=0,"REVIEW (zero base)",IF(ABS(M1040/ABS(I1040))&gt;=Overview!$B$5,"REVIEW","OK")))</f>
        <v>OK</v>
      </c>
      <c r="P1040" s="31">
        <f t="shared" si="82"/>
        <v>0</v>
      </c>
      <c r="Q1040" s="32">
        <f t="shared" si="83"/>
        <v>0</v>
      </c>
      <c r="R1040" s="6" t="str">
        <f>IF(ABS(P1040)&lt;Overview!$B$6,"OK",IF(J1040=0,"REVIEW (zero base)",IF(ABS(P1040/ABS(J1040))&gt;=Overview!$B$5,"REVIEW","OK")))</f>
        <v>OK</v>
      </c>
      <c r="S1040" s="33">
        <f t="shared" si="84"/>
        <v>3677.0010400000001</v>
      </c>
    </row>
    <row r="1041" spans="1:19" x14ac:dyDescent="0.2">
      <c r="A1041" s="17">
        <v>1039</v>
      </c>
      <c r="B1041" s="17" t="s">
        <v>171</v>
      </c>
      <c r="C1041" s="17" t="s">
        <v>338</v>
      </c>
      <c r="D1041" s="17" t="s">
        <v>71</v>
      </c>
      <c r="E1041" s="17" t="s">
        <v>100</v>
      </c>
      <c r="F1041" s="17" t="s">
        <v>341</v>
      </c>
      <c r="G1041" s="17" t="s">
        <v>376</v>
      </c>
      <c r="H1041" s="30">
        <v>117652</v>
      </c>
      <c r="I1041" s="30">
        <v>115150</v>
      </c>
      <c r="J1041" s="30">
        <v>88266</v>
      </c>
      <c r="K1041" s="30">
        <v>119988</v>
      </c>
      <c r="L1041" s="30">
        <v>126263</v>
      </c>
      <c r="M1041" s="31">
        <f t="shared" si="80"/>
        <v>-26884</v>
      </c>
      <c r="N1041" s="32">
        <f t="shared" si="81"/>
        <v>-0.23346938775510204</v>
      </c>
      <c r="O1041" s="6" t="str">
        <f>IF(ABS(M1041)&lt;Overview!$B$6,"OK",IF(I1041=0,"REVIEW (zero base)",IF(ABS(M1041/ABS(I1041))&gt;=Overview!$B$5,"REVIEW","OK")))</f>
        <v>OK</v>
      </c>
      <c r="P1041" s="31">
        <f t="shared" si="82"/>
        <v>31722</v>
      </c>
      <c r="Q1041" s="32">
        <f t="shared" si="83"/>
        <v>0.35939093195567945</v>
      </c>
      <c r="R1041" s="6" t="str">
        <f>IF(ABS(P1041)&lt;Overview!$B$6,"OK",IF(J1041=0,"REVIEW (zero base)",IF(ABS(P1041/ABS(J1041))&gt;=Overview!$B$5,"REVIEW","OK")))</f>
        <v>OK</v>
      </c>
      <c r="S1041" s="33">
        <f t="shared" si="84"/>
        <v>26884.001041</v>
      </c>
    </row>
    <row r="1042" spans="1:19" x14ac:dyDescent="0.2">
      <c r="A1042" s="17">
        <v>1040</v>
      </c>
      <c r="B1042" s="17" t="s">
        <v>171</v>
      </c>
      <c r="C1042" s="17" t="s">
        <v>338</v>
      </c>
      <c r="D1042" s="17" t="s">
        <v>71</v>
      </c>
      <c r="E1042" s="17" t="s">
        <v>100</v>
      </c>
      <c r="F1042" s="17" t="s">
        <v>341</v>
      </c>
      <c r="G1042" s="17" t="s">
        <v>343</v>
      </c>
      <c r="H1042" s="30">
        <v>40462</v>
      </c>
      <c r="I1042" s="30">
        <v>39233</v>
      </c>
      <c r="J1042" s="30">
        <v>38994</v>
      </c>
      <c r="K1042" s="30">
        <v>39521</v>
      </c>
      <c r="L1042" s="30">
        <v>39916</v>
      </c>
      <c r="M1042" s="31">
        <f t="shared" si="80"/>
        <v>-239</v>
      </c>
      <c r="N1042" s="32">
        <f t="shared" si="81"/>
        <v>-6.0918104656794026E-3</v>
      </c>
      <c r="O1042" s="6" t="str">
        <f>IF(ABS(M1042)&lt;Overview!$B$6,"OK",IF(I1042=0,"REVIEW (zero base)",IF(ABS(M1042/ABS(I1042))&gt;=Overview!$B$5,"REVIEW","OK")))</f>
        <v>OK</v>
      </c>
      <c r="P1042" s="31">
        <f t="shared" si="82"/>
        <v>527</v>
      </c>
      <c r="Q1042" s="32">
        <f t="shared" si="83"/>
        <v>1.3514899728163308E-2</v>
      </c>
      <c r="R1042" s="6" t="str">
        <f>IF(ABS(P1042)&lt;Overview!$B$6,"OK",IF(J1042=0,"REVIEW (zero base)",IF(ABS(P1042/ABS(J1042))&gt;=Overview!$B$5,"REVIEW","OK")))</f>
        <v>OK</v>
      </c>
      <c r="S1042" s="33">
        <f t="shared" si="84"/>
        <v>239.00104200000001</v>
      </c>
    </row>
    <row r="1043" spans="1:19" x14ac:dyDescent="0.2">
      <c r="A1043" s="17">
        <v>1041</v>
      </c>
      <c r="B1043" s="17" t="s">
        <v>171</v>
      </c>
      <c r="C1043" s="17" t="s">
        <v>338</v>
      </c>
      <c r="D1043" s="17" t="s">
        <v>71</v>
      </c>
      <c r="E1043" s="17" t="s">
        <v>100</v>
      </c>
      <c r="F1043" s="17" t="s">
        <v>341</v>
      </c>
      <c r="G1043" s="17" t="s">
        <v>378</v>
      </c>
      <c r="H1043" s="30">
        <v>7481</v>
      </c>
      <c r="I1043" s="30">
        <v>7528</v>
      </c>
      <c r="J1043" s="30">
        <v>10322</v>
      </c>
      <c r="K1043" s="30">
        <v>10920</v>
      </c>
      <c r="L1043" s="30">
        <v>11404</v>
      </c>
      <c r="M1043" s="31">
        <f t="shared" si="80"/>
        <v>2794</v>
      </c>
      <c r="N1043" s="32">
        <f t="shared" si="81"/>
        <v>0.37114771519659934</v>
      </c>
      <c r="O1043" s="6" t="str">
        <f>IF(ABS(M1043)&lt;Overview!$B$6,"OK",IF(I1043=0,"REVIEW (zero base)",IF(ABS(M1043/ABS(I1043))&gt;=Overview!$B$5,"REVIEW","OK")))</f>
        <v>OK</v>
      </c>
      <c r="P1043" s="31">
        <f t="shared" si="82"/>
        <v>598</v>
      </c>
      <c r="Q1043" s="32">
        <f t="shared" si="83"/>
        <v>5.793450881612091E-2</v>
      </c>
      <c r="R1043" s="6" t="str">
        <f>IF(ABS(P1043)&lt;Overview!$B$6,"OK",IF(J1043=0,"REVIEW (zero base)",IF(ABS(P1043/ABS(J1043))&gt;=Overview!$B$5,"REVIEW","OK")))</f>
        <v>OK</v>
      </c>
      <c r="S1043" s="33">
        <f t="shared" si="84"/>
        <v>2794.0010430000002</v>
      </c>
    </row>
    <row r="1044" spans="1:19" x14ac:dyDescent="0.2">
      <c r="A1044" s="17">
        <v>1042</v>
      </c>
      <c r="B1044" s="17" t="s">
        <v>171</v>
      </c>
      <c r="C1044" s="17" t="s">
        <v>338</v>
      </c>
      <c r="D1044" s="17" t="s">
        <v>71</v>
      </c>
      <c r="E1044" s="17" t="s">
        <v>100</v>
      </c>
      <c r="F1044" s="17" t="s">
        <v>341</v>
      </c>
      <c r="G1044" s="17" t="s">
        <v>344</v>
      </c>
      <c r="H1044" s="30">
        <v>32231</v>
      </c>
      <c r="I1044" s="30">
        <v>22973</v>
      </c>
      <c r="J1044" s="30">
        <v>29189</v>
      </c>
      <c r="K1044" s="30">
        <v>33792</v>
      </c>
      <c r="L1044" s="30">
        <v>34468</v>
      </c>
      <c r="M1044" s="31">
        <f t="shared" si="80"/>
        <v>6216</v>
      </c>
      <c r="N1044" s="32">
        <f t="shared" si="81"/>
        <v>0.27057850520175858</v>
      </c>
      <c r="O1044" s="6" t="str">
        <f>IF(ABS(M1044)&lt;Overview!$B$6,"OK",IF(I1044=0,"REVIEW (zero base)",IF(ABS(M1044/ABS(I1044))&gt;=Overview!$B$5,"REVIEW","OK")))</f>
        <v>OK</v>
      </c>
      <c r="P1044" s="31">
        <f t="shared" si="82"/>
        <v>4603</v>
      </c>
      <c r="Q1044" s="32">
        <f t="shared" si="83"/>
        <v>0.1576963924766179</v>
      </c>
      <c r="R1044" s="6" t="str">
        <f>IF(ABS(P1044)&lt;Overview!$B$6,"OK",IF(J1044=0,"REVIEW (zero base)",IF(ABS(P1044/ABS(J1044))&gt;=Overview!$B$5,"REVIEW","OK")))</f>
        <v>OK</v>
      </c>
      <c r="S1044" s="33">
        <f t="shared" si="84"/>
        <v>6216.0010439999996</v>
      </c>
    </row>
    <row r="1045" spans="1:19" x14ac:dyDescent="0.2">
      <c r="A1045" s="17">
        <v>1043</v>
      </c>
      <c r="B1045" s="17" t="s">
        <v>171</v>
      </c>
      <c r="C1045" s="17" t="s">
        <v>338</v>
      </c>
      <c r="D1045" s="17" t="s">
        <v>71</v>
      </c>
      <c r="E1045" s="17" t="s">
        <v>100</v>
      </c>
      <c r="F1045" s="17" t="s">
        <v>364</v>
      </c>
      <c r="G1045" s="17" t="s">
        <v>379</v>
      </c>
      <c r="H1045" s="30">
        <v>876570</v>
      </c>
      <c r="I1045" s="30">
        <v>813278</v>
      </c>
      <c r="J1045" s="30">
        <v>960000</v>
      </c>
      <c r="K1045" s="30">
        <v>960000</v>
      </c>
      <c r="L1045" s="30">
        <v>966720</v>
      </c>
      <c r="M1045" s="31">
        <f t="shared" si="80"/>
        <v>146722</v>
      </c>
      <c r="N1045" s="32">
        <f t="shared" si="81"/>
        <v>0.18040817531028749</v>
      </c>
      <c r="O1045" s="6" t="str">
        <f>IF(ABS(M1045)&lt;Overview!$B$6,"OK",IF(I1045=0,"REVIEW (zero base)",IF(ABS(M1045/ABS(I1045))&gt;=Overview!$B$5,"REVIEW","OK")))</f>
        <v>OK</v>
      </c>
      <c r="P1045" s="31">
        <f t="shared" si="82"/>
        <v>0</v>
      </c>
      <c r="Q1045" s="32">
        <f t="shared" si="83"/>
        <v>0</v>
      </c>
      <c r="R1045" s="6" t="str">
        <f>IF(ABS(P1045)&lt;Overview!$B$6,"OK",IF(J1045=0,"REVIEW (zero base)",IF(ABS(P1045/ABS(J1045))&gt;=Overview!$B$5,"REVIEW","OK")))</f>
        <v>OK</v>
      </c>
      <c r="S1045" s="33">
        <f t="shared" si="84"/>
        <v>146722.00104500001</v>
      </c>
    </row>
    <row r="1046" spans="1:19" x14ac:dyDescent="0.2">
      <c r="A1046" s="17">
        <v>1044</v>
      </c>
      <c r="B1046" s="17" t="s">
        <v>171</v>
      </c>
      <c r="C1046" s="17" t="s">
        <v>338</v>
      </c>
      <c r="D1046" s="17" t="s">
        <v>71</v>
      </c>
      <c r="E1046" s="17" t="s">
        <v>100</v>
      </c>
      <c r="F1046" s="17" t="s">
        <v>407</v>
      </c>
      <c r="G1046" s="17" t="s">
        <v>408</v>
      </c>
      <c r="H1046" s="30">
        <v>86</v>
      </c>
      <c r="I1046" s="30">
        <v>0</v>
      </c>
      <c r="J1046" s="30">
        <v>3000</v>
      </c>
      <c r="K1046" s="30">
        <v>3000</v>
      </c>
      <c r="L1046" s="30">
        <v>3000</v>
      </c>
      <c r="M1046" s="31">
        <f t="shared" si="80"/>
        <v>3000</v>
      </c>
      <c r="N1046" s="32" t="str">
        <f t="shared" si="81"/>
        <v>n/a</v>
      </c>
      <c r="O1046" s="6" t="str">
        <f>IF(ABS(M1046)&lt;Overview!$B$6,"OK",IF(I1046=0,"REVIEW (zero base)",IF(ABS(M1046/ABS(I1046))&gt;=Overview!$B$5,"REVIEW","OK")))</f>
        <v>OK</v>
      </c>
      <c r="P1046" s="31">
        <f t="shared" si="82"/>
        <v>0</v>
      </c>
      <c r="Q1046" s="32">
        <f t="shared" si="83"/>
        <v>0</v>
      </c>
      <c r="R1046" s="6" t="str">
        <f>IF(ABS(P1046)&lt;Overview!$B$6,"OK",IF(J1046=0,"REVIEW (zero base)",IF(ABS(P1046/ABS(J1046))&gt;=Overview!$B$5,"REVIEW","OK")))</f>
        <v>OK</v>
      </c>
      <c r="S1046" s="33">
        <f t="shared" si="84"/>
        <v>3000.0010459999999</v>
      </c>
    </row>
    <row r="1047" spans="1:19" x14ac:dyDescent="0.2">
      <c r="A1047" s="17">
        <v>1045</v>
      </c>
      <c r="B1047" s="17" t="s">
        <v>171</v>
      </c>
      <c r="C1047" s="17" t="s">
        <v>338</v>
      </c>
      <c r="D1047" s="17" t="s">
        <v>71</v>
      </c>
      <c r="E1047" s="17" t="s">
        <v>100</v>
      </c>
      <c r="F1047" s="17" t="s">
        <v>384</v>
      </c>
      <c r="G1047" s="17" t="s">
        <v>478</v>
      </c>
      <c r="H1047" s="30">
        <v>0</v>
      </c>
      <c r="I1047" s="30">
        <v>0</v>
      </c>
      <c r="J1047" s="30">
        <v>3500</v>
      </c>
      <c r="K1047" s="30">
        <v>3500</v>
      </c>
      <c r="L1047" s="30">
        <v>3525</v>
      </c>
      <c r="M1047" s="31">
        <f t="shared" si="80"/>
        <v>3500</v>
      </c>
      <c r="N1047" s="32" t="str">
        <f t="shared" si="81"/>
        <v>n/a</v>
      </c>
      <c r="O1047" s="6" t="str">
        <f>IF(ABS(M1047)&lt;Overview!$B$6,"OK",IF(I1047=0,"REVIEW (zero base)",IF(ABS(M1047/ABS(I1047))&gt;=Overview!$B$5,"REVIEW","OK")))</f>
        <v>OK</v>
      </c>
      <c r="P1047" s="31">
        <f t="shared" si="82"/>
        <v>0</v>
      </c>
      <c r="Q1047" s="32">
        <f t="shared" si="83"/>
        <v>0</v>
      </c>
      <c r="R1047" s="6" t="str">
        <f>IF(ABS(P1047)&lt;Overview!$B$6,"OK",IF(J1047=0,"REVIEW (zero base)",IF(ABS(P1047/ABS(J1047))&gt;=Overview!$B$5,"REVIEW","OK")))</f>
        <v>OK</v>
      </c>
      <c r="S1047" s="33">
        <f t="shared" si="84"/>
        <v>3500.0010470000002</v>
      </c>
    </row>
    <row r="1048" spans="1:19" x14ac:dyDescent="0.2">
      <c r="A1048" s="17">
        <v>1046</v>
      </c>
      <c r="B1048" s="17" t="s">
        <v>171</v>
      </c>
      <c r="C1048" s="17" t="s">
        <v>338</v>
      </c>
      <c r="D1048" s="17" t="s">
        <v>71</v>
      </c>
      <c r="E1048" s="17" t="s">
        <v>100</v>
      </c>
      <c r="F1048" s="17" t="s">
        <v>347</v>
      </c>
      <c r="G1048" s="17" t="s">
        <v>348</v>
      </c>
      <c r="H1048" s="30">
        <v>1882</v>
      </c>
      <c r="I1048" s="30">
        <v>0</v>
      </c>
      <c r="J1048" s="30">
        <v>3500</v>
      </c>
      <c r="K1048" s="30">
        <v>3500</v>
      </c>
      <c r="L1048" s="30">
        <v>3525</v>
      </c>
      <c r="M1048" s="31">
        <f t="shared" si="80"/>
        <v>3500</v>
      </c>
      <c r="N1048" s="32" t="str">
        <f t="shared" si="81"/>
        <v>n/a</v>
      </c>
      <c r="O1048" s="6" t="str">
        <f>IF(ABS(M1048)&lt;Overview!$B$6,"OK",IF(I1048=0,"REVIEW (zero base)",IF(ABS(M1048/ABS(I1048))&gt;=Overview!$B$5,"REVIEW","OK")))</f>
        <v>OK</v>
      </c>
      <c r="P1048" s="31">
        <f t="shared" si="82"/>
        <v>0</v>
      </c>
      <c r="Q1048" s="32">
        <f t="shared" si="83"/>
        <v>0</v>
      </c>
      <c r="R1048" s="6" t="str">
        <f>IF(ABS(P1048)&lt;Overview!$B$6,"OK",IF(J1048=0,"REVIEW (zero base)",IF(ABS(P1048/ABS(J1048))&gt;=Overview!$B$5,"REVIEW","OK")))</f>
        <v>OK</v>
      </c>
      <c r="S1048" s="33">
        <f t="shared" si="84"/>
        <v>3500.0010480000001</v>
      </c>
    </row>
    <row r="1049" spans="1:19" x14ac:dyDescent="0.2">
      <c r="A1049" s="17">
        <v>1047</v>
      </c>
      <c r="B1049" s="17" t="s">
        <v>171</v>
      </c>
      <c r="C1049" s="17" t="s">
        <v>338</v>
      </c>
      <c r="D1049" s="17" t="s">
        <v>71</v>
      </c>
      <c r="E1049" s="17" t="s">
        <v>100</v>
      </c>
      <c r="F1049" s="17" t="s">
        <v>386</v>
      </c>
      <c r="G1049" s="17" t="s">
        <v>413</v>
      </c>
      <c r="H1049" s="30">
        <v>0</v>
      </c>
      <c r="I1049" s="30">
        <v>0</v>
      </c>
      <c r="J1049" s="30">
        <v>0</v>
      </c>
      <c r="K1049" s="30">
        <v>1000</v>
      </c>
      <c r="L1049" s="30">
        <v>1007</v>
      </c>
      <c r="M1049" s="31">
        <f t="shared" si="80"/>
        <v>0</v>
      </c>
      <c r="N1049" s="32" t="str">
        <f t="shared" si="81"/>
        <v>n/a</v>
      </c>
      <c r="O1049" s="6" t="str">
        <f>IF(ABS(M1049)&lt;Overview!$B$6,"OK",IF(I1049=0,"REVIEW (zero base)",IF(ABS(M1049/ABS(I1049))&gt;=Overview!$B$5,"REVIEW","OK")))</f>
        <v>OK</v>
      </c>
      <c r="P1049" s="31">
        <f t="shared" si="82"/>
        <v>1000</v>
      </c>
      <c r="Q1049" s="32" t="str">
        <f t="shared" si="83"/>
        <v>n/a</v>
      </c>
      <c r="R1049" s="6" t="str">
        <f>IF(ABS(P1049)&lt;Overview!$B$6,"OK",IF(J1049=0,"REVIEW (zero base)",IF(ABS(P1049/ABS(J1049))&gt;=Overview!$B$5,"REVIEW","OK")))</f>
        <v>OK</v>
      </c>
      <c r="S1049" s="33">
        <f t="shared" si="84"/>
        <v>1.049E-3</v>
      </c>
    </row>
    <row r="1050" spans="1:19" x14ac:dyDescent="0.2">
      <c r="A1050" s="17">
        <v>1048</v>
      </c>
      <c r="B1050" s="17" t="s">
        <v>171</v>
      </c>
      <c r="C1050" s="17" t="s">
        <v>338</v>
      </c>
      <c r="D1050" s="17" t="s">
        <v>71</v>
      </c>
      <c r="E1050" s="17" t="s">
        <v>100</v>
      </c>
      <c r="F1050" s="17" t="s">
        <v>349</v>
      </c>
      <c r="G1050" s="17" t="s">
        <v>362</v>
      </c>
      <c r="H1050" s="30">
        <v>157500</v>
      </c>
      <c r="I1050" s="30">
        <v>141923</v>
      </c>
      <c r="J1050" s="30">
        <v>250000</v>
      </c>
      <c r="K1050" s="30">
        <v>250000</v>
      </c>
      <c r="L1050" s="30">
        <v>250000</v>
      </c>
      <c r="M1050" s="31">
        <f t="shared" si="80"/>
        <v>108077</v>
      </c>
      <c r="N1050" s="32">
        <f t="shared" si="81"/>
        <v>0.76151856992876421</v>
      </c>
      <c r="O1050" s="6" t="str">
        <f>IF(ABS(M1050)&lt;Overview!$B$6,"OK",IF(I1050=0,"REVIEW (zero base)",IF(ABS(M1050/ABS(I1050))&gt;=Overview!$B$5,"REVIEW","OK")))</f>
        <v>OK</v>
      </c>
      <c r="P1050" s="31">
        <f t="shared" si="82"/>
        <v>0</v>
      </c>
      <c r="Q1050" s="32">
        <f t="shared" si="83"/>
        <v>0</v>
      </c>
      <c r="R1050" s="6" t="str">
        <f>IF(ABS(P1050)&lt;Overview!$B$6,"OK",IF(J1050=0,"REVIEW (zero base)",IF(ABS(P1050/ABS(J1050))&gt;=Overview!$B$5,"REVIEW","OK")))</f>
        <v>OK</v>
      </c>
      <c r="S1050" s="33">
        <f t="shared" si="84"/>
        <v>108077.00105000001</v>
      </c>
    </row>
    <row r="1051" spans="1:19" x14ac:dyDescent="0.2">
      <c r="A1051" s="17">
        <v>1049</v>
      </c>
      <c r="B1051" s="17" t="s">
        <v>171</v>
      </c>
      <c r="C1051" s="17" t="s">
        <v>338</v>
      </c>
      <c r="D1051" s="17" t="s">
        <v>65</v>
      </c>
      <c r="E1051" s="17" t="s">
        <v>91</v>
      </c>
      <c r="F1051" s="17" t="s">
        <v>339</v>
      </c>
      <c r="G1051" s="17" t="s">
        <v>340</v>
      </c>
      <c r="H1051" s="30">
        <v>1397929</v>
      </c>
      <c r="I1051" s="30">
        <v>1508409</v>
      </c>
      <c r="J1051" s="30">
        <v>1519895</v>
      </c>
      <c r="K1051" s="30">
        <v>1839233</v>
      </c>
      <c r="L1051" s="30">
        <v>1857625</v>
      </c>
      <c r="M1051" s="31">
        <f t="shared" si="80"/>
        <v>11486</v>
      </c>
      <c r="N1051" s="32">
        <f t="shared" si="81"/>
        <v>7.6146456299319345E-3</v>
      </c>
      <c r="O1051" s="6" t="str">
        <f>IF(ABS(M1051)&lt;Overview!$B$6,"OK",IF(I1051=0,"REVIEW (zero base)",IF(ABS(M1051/ABS(I1051))&gt;=Overview!$B$5,"REVIEW","OK")))</f>
        <v>OK</v>
      </c>
      <c r="P1051" s="31">
        <f t="shared" si="82"/>
        <v>319338</v>
      </c>
      <c r="Q1051" s="32">
        <f t="shared" si="83"/>
        <v>0.21010530332687455</v>
      </c>
      <c r="R1051" s="6" t="str">
        <f>IF(ABS(P1051)&lt;Overview!$B$6,"OK",IF(J1051=0,"REVIEW (zero base)",IF(ABS(P1051/ABS(J1051))&gt;=Overview!$B$5,"REVIEW","OK")))</f>
        <v>REVIEW</v>
      </c>
      <c r="S1051" s="33">
        <f t="shared" si="84"/>
        <v>11486.001050999999</v>
      </c>
    </row>
    <row r="1052" spans="1:19" x14ac:dyDescent="0.2">
      <c r="A1052" s="17">
        <v>1050</v>
      </c>
      <c r="B1052" s="17" t="s">
        <v>171</v>
      </c>
      <c r="C1052" s="17" t="s">
        <v>338</v>
      </c>
      <c r="D1052" s="17" t="s">
        <v>65</v>
      </c>
      <c r="E1052" s="17" t="s">
        <v>91</v>
      </c>
      <c r="F1052" s="17" t="s">
        <v>339</v>
      </c>
      <c r="G1052" s="17" t="s">
        <v>390</v>
      </c>
      <c r="H1052" s="30">
        <v>4496</v>
      </c>
      <c r="I1052" s="30">
        <v>8238</v>
      </c>
      <c r="J1052" s="30">
        <v>9200</v>
      </c>
      <c r="K1052" s="30">
        <v>0</v>
      </c>
      <c r="L1052" s="30">
        <v>0</v>
      </c>
      <c r="M1052" s="31">
        <f t="shared" si="80"/>
        <v>962</v>
      </c>
      <c r="N1052" s="32">
        <f t="shared" si="81"/>
        <v>0.11677591648458363</v>
      </c>
      <c r="O1052" s="6" t="str">
        <f>IF(ABS(M1052)&lt;Overview!$B$6,"OK",IF(I1052=0,"REVIEW (zero base)",IF(ABS(M1052/ABS(I1052))&gt;=Overview!$B$5,"REVIEW","OK")))</f>
        <v>OK</v>
      </c>
      <c r="P1052" s="31">
        <f t="shared" si="82"/>
        <v>-9200</v>
      </c>
      <c r="Q1052" s="32">
        <f t="shared" si="83"/>
        <v>-1</v>
      </c>
      <c r="R1052" s="6" t="str">
        <f>IF(ABS(P1052)&lt;Overview!$B$6,"OK",IF(J1052=0,"REVIEW (zero base)",IF(ABS(P1052/ABS(J1052))&gt;=Overview!$B$5,"REVIEW","OK")))</f>
        <v>OK</v>
      </c>
      <c r="S1052" s="33">
        <f t="shared" si="84"/>
        <v>962.00105199999996</v>
      </c>
    </row>
    <row r="1053" spans="1:19" x14ac:dyDescent="0.2">
      <c r="A1053" s="17">
        <v>1051</v>
      </c>
      <c r="B1053" s="17" t="s">
        <v>171</v>
      </c>
      <c r="C1053" s="17" t="s">
        <v>338</v>
      </c>
      <c r="D1053" s="17" t="s">
        <v>65</v>
      </c>
      <c r="E1053" s="17" t="s">
        <v>91</v>
      </c>
      <c r="F1053" s="17" t="s">
        <v>339</v>
      </c>
      <c r="G1053" s="17" t="s">
        <v>391</v>
      </c>
      <c r="H1053" s="30">
        <v>50067</v>
      </c>
      <c r="I1053" s="30">
        <v>74090</v>
      </c>
      <c r="J1053" s="30">
        <v>0</v>
      </c>
      <c r="K1053" s="30">
        <v>0</v>
      </c>
      <c r="L1053" s="30">
        <v>0</v>
      </c>
      <c r="M1053" s="31">
        <f t="shared" si="80"/>
        <v>-74090</v>
      </c>
      <c r="N1053" s="32">
        <f t="shared" si="81"/>
        <v>-1</v>
      </c>
      <c r="O1053" s="6" t="str">
        <f>IF(ABS(M1053)&lt;Overview!$B$6,"OK",IF(I1053=0,"REVIEW (zero base)",IF(ABS(M1053/ABS(I1053))&gt;=Overview!$B$5,"REVIEW","OK")))</f>
        <v>OK</v>
      </c>
      <c r="P1053" s="31">
        <f t="shared" si="82"/>
        <v>0</v>
      </c>
      <c r="Q1053" s="32" t="str">
        <f t="shared" si="83"/>
        <v>n/a</v>
      </c>
      <c r="R1053" s="6" t="str">
        <f>IF(ABS(P1053)&lt;Overview!$B$6,"OK",IF(J1053=0,"REVIEW (zero base)",IF(ABS(P1053/ABS(J1053))&gt;=Overview!$B$5,"REVIEW","OK")))</f>
        <v>OK</v>
      </c>
      <c r="S1053" s="33">
        <f t="shared" si="84"/>
        <v>74090.001053</v>
      </c>
    </row>
    <row r="1054" spans="1:19" x14ac:dyDescent="0.2">
      <c r="A1054" s="17">
        <v>1052</v>
      </c>
      <c r="B1054" s="17" t="s">
        <v>171</v>
      </c>
      <c r="C1054" s="17" t="s">
        <v>338</v>
      </c>
      <c r="D1054" s="17" t="s">
        <v>65</v>
      </c>
      <c r="E1054" s="17" t="s">
        <v>91</v>
      </c>
      <c r="F1054" s="17" t="s">
        <v>339</v>
      </c>
      <c r="G1054" s="17" t="s">
        <v>392</v>
      </c>
      <c r="H1054" s="30">
        <v>106199</v>
      </c>
      <c r="I1054" s="30">
        <v>90104</v>
      </c>
      <c r="J1054" s="30">
        <v>0</v>
      </c>
      <c r="K1054" s="30">
        <v>0</v>
      </c>
      <c r="L1054" s="30">
        <v>0</v>
      </c>
      <c r="M1054" s="31">
        <f t="shared" si="80"/>
        <v>-90104</v>
      </c>
      <c r="N1054" s="32">
        <f t="shared" si="81"/>
        <v>-1</v>
      </c>
      <c r="O1054" s="6" t="str">
        <f>IF(ABS(M1054)&lt;Overview!$B$6,"OK",IF(I1054=0,"REVIEW (zero base)",IF(ABS(M1054/ABS(I1054))&gt;=Overview!$B$5,"REVIEW","OK")))</f>
        <v>OK</v>
      </c>
      <c r="P1054" s="31">
        <f t="shared" si="82"/>
        <v>0</v>
      </c>
      <c r="Q1054" s="32" t="str">
        <f t="shared" si="83"/>
        <v>n/a</v>
      </c>
      <c r="R1054" s="6" t="str">
        <f>IF(ABS(P1054)&lt;Overview!$B$6,"OK",IF(J1054=0,"REVIEW (zero base)",IF(ABS(P1054/ABS(J1054))&gt;=Overview!$B$5,"REVIEW","OK")))</f>
        <v>OK</v>
      </c>
      <c r="S1054" s="33">
        <f t="shared" si="84"/>
        <v>90104.001053999993</v>
      </c>
    </row>
    <row r="1055" spans="1:19" x14ac:dyDescent="0.2">
      <c r="A1055" s="17">
        <v>1053</v>
      </c>
      <c r="B1055" s="17" t="s">
        <v>171</v>
      </c>
      <c r="C1055" s="17" t="s">
        <v>338</v>
      </c>
      <c r="D1055" s="17" t="s">
        <v>65</v>
      </c>
      <c r="E1055" s="17" t="s">
        <v>91</v>
      </c>
      <c r="F1055" s="17" t="s">
        <v>339</v>
      </c>
      <c r="G1055" s="17" t="s">
        <v>394</v>
      </c>
      <c r="H1055" s="30">
        <v>105321</v>
      </c>
      <c r="I1055" s="30">
        <v>114898</v>
      </c>
      <c r="J1055" s="30">
        <v>0</v>
      </c>
      <c r="K1055" s="30">
        <v>0</v>
      </c>
      <c r="L1055" s="30">
        <v>0</v>
      </c>
      <c r="M1055" s="31">
        <f t="shared" si="80"/>
        <v>-114898</v>
      </c>
      <c r="N1055" s="32">
        <f t="shared" si="81"/>
        <v>-1</v>
      </c>
      <c r="O1055" s="6" t="str">
        <f>IF(ABS(M1055)&lt;Overview!$B$6,"OK",IF(I1055=0,"REVIEW (zero base)",IF(ABS(M1055/ABS(I1055))&gt;=Overview!$B$5,"REVIEW","OK")))</f>
        <v>OK</v>
      </c>
      <c r="P1055" s="31">
        <f t="shared" si="82"/>
        <v>0</v>
      </c>
      <c r="Q1055" s="32" t="str">
        <f t="shared" si="83"/>
        <v>n/a</v>
      </c>
      <c r="R1055" s="6" t="str">
        <f>IF(ABS(P1055)&lt;Overview!$B$6,"OK",IF(J1055=0,"REVIEW (zero base)",IF(ABS(P1055/ABS(J1055))&gt;=Overview!$B$5,"REVIEW","OK")))</f>
        <v>OK</v>
      </c>
      <c r="S1055" s="33">
        <f t="shared" si="84"/>
        <v>114898.001055</v>
      </c>
    </row>
    <row r="1056" spans="1:19" x14ac:dyDescent="0.2">
      <c r="A1056" s="17">
        <v>1054</v>
      </c>
      <c r="B1056" s="17" t="s">
        <v>171</v>
      </c>
      <c r="C1056" s="17" t="s">
        <v>338</v>
      </c>
      <c r="D1056" s="17" t="s">
        <v>65</v>
      </c>
      <c r="E1056" s="17" t="s">
        <v>91</v>
      </c>
      <c r="F1056" s="17" t="s">
        <v>339</v>
      </c>
      <c r="G1056" s="17" t="s">
        <v>395</v>
      </c>
      <c r="H1056" s="30">
        <v>50538</v>
      </c>
      <c r="I1056" s="30">
        <v>54268</v>
      </c>
      <c r="J1056" s="30">
        <v>50747</v>
      </c>
      <c r="K1056" s="30">
        <v>46476</v>
      </c>
      <c r="L1056" s="30">
        <v>46941</v>
      </c>
      <c r="M1056" s="31">
        <f t="shared" si="80"/>
        <v>-3521</v>
      </c>
      <c r="N1056" s="32">
        <f t="shared" si="81"/>
        <v>-6.4881698238372518E-2</v>
      </c>
      <c r="O1056" s="6" t="str">
        <f>IF(ABS(M1056)&lt;Overview!$B$6,"OK",IF(I1056=0,"REVIEW (zero base)",IF(ABS(M1056/ABS(I1056))&gt;=Overview!$B$5,"REVIEW","OK")))</f>
        <v>OK</v>
      </c>
      <c r="P1056" s="31">
        <f t="shared" si="82"/>
        <v>-4271</v>
      </c>
      <c r="Q1056" s="32">
        <f t="shared" si="83"/>
        <v>-8.4162610597670801E-2</v>
      </c>
      <c r="R1056" s="6" t="str">
        <f>IF(ABS(P1056)&lt;Overview!$B$6,"OK",IF(J1056=0,"REVIEW (zero base)",IF(ABS(P1056/ABS(J1056))&gt;=Overview!$B$5,"REVIEW","OK")))</f>
        <v>OK</v>
      </c>
      <c r="S1056" s="33">
        <f t="shared" si="84"/>
        <v>3521.0010560000001</v>
      </c>
    </row>
    <row r="1057" spans="1:19" x14ac:dyDescent="0.2">
      <c r="A1057" s="17">
        <v>1055</v>
      </c>
      <c r="B1057" s="17" t="s">
        <v>171</v>
      </c>
      <c r="C1057" s="17" t="s">
        <v>338</v>
      </c>
      <c r="D1057" s="17" t="s">
        <v>65</v>
      </c>
      <c r="E1057" s="17" t="s">
        <v>91</v>
      </c>
      <c r="F1057" s="17" t="s">
        <v>341</v>
      </c>
      <c r="G1057" s="17" t="s">
        <v>342</v>
      </c>
      <c r="H1057" s="30">
        <v>25053</v>
      </c>
      <c r="I1057" s="30">
        <v>26317</v>
      </c>
      <c r="J1057" s="30">
        <v>27432</v>
      </c>
      <c r="K1057" s="30">
        <v>27432</v>
      </c>
      <c r="L1057" s="30">
        <v>27432</v>
      </c>
      <c r="M1057" s="31">
        <f t="shared" si="80"/>
        <v>1115</v>
      </c>
      <c r="N1057" s="32">
        <f t="shared" si="81"/>
        <v>4.2368051069650796E-2</v>
      </c>
      <c r="O1057" s="6" t="str">
        <f>IF(ABS(M1057)&lt;Overview!$B$6,"OK",IF(I1057=0,"REVIEW (zero base)",IF(ABS(M1057/ABS(I1057))&gt;=Overview!$B$5,"REVIEW","OK")))</f>
        <v>OK</v>
      </c>
      <c r="P1057" s="31">
        <f t="shared" si="82"/>
        <v>0</v>
      </c>
      <c r="Q1057" s="32">
        <f t="shared" si="83"/>
        <v>0</v>
      </c>
      <c r="R1057" s="6" t="str">
        <f>IF(ABS(P1057)&lt;Overview!$B$6,"OK",IF(J1057=0,"REVIEW (zero base)",IF(ABS(P1057/ABS(J1057))&gt;=Overview!$B$5,"REVIEW","OK")))</f>
        <v>OK</v>
      </c>
      <c r="S1057" s="33">
        <f t="shared" si="84"/>
        <v>1115.0010569999999</v>
      </c>
    </row>
    <row r="1058" spans="1:19" x14ac:dyDescent="0.2">
      <c r="A1058" s="17">
        <v>1056</v>
      </c>
      <c r="B1058" s="17" t="s">
        <v>171</v>
      </c>
      <c r="C1058" s="17" t="s">
        <v>338</v>
      </c>
      <c r="D1058" s="17" t="s">
        <v>65</v>
      </c>
      <c r="E1058" s="17" t="s">
        <v>91</v>
      </c>
      <c r="F1058" s="17" t="s">
        <v>341</v>
      </c>
      <c r="G1058" s="17" t="s">
        <v>375</v>
      </c>
      <c r="H1058" s="30">
        <v>84353</v>
      </c>
      <c r="I1058" s="30">
        <v>94434</v>
      </c>
      <c r="J1058" s="30">
        <v>106470</v>
      </c>
      <c r="K1058" s="30">
        <v>106470</v>
      </c>
      <c r="L1058" s="30">
        <v>106470</v>
      </c>
      <c r="M1058" s="31">
        <f t="shared" si="80"/>
        <v>12036</v>
      </c>
      <c r="N1058" s="32">
        <f t="shared" si="81"/>
        <v>0.12745409492343859</v>
      </c>
      <c r="O1058" s="6" t="str">
        <f>IF(ABS(M1058)&lt;Overview!$B$6,"OK",IF(I1058=0,"REVIEW (zero base)",IF(ABS(M1058/ABS(I1058))&gt;=Overview!$B$5,"REVIEW","OK")))</f>
        <v>OK</v>
      </c>
      <c r="P1058" s="31">
        <f t="shared" si="82"/>
        <v>0</v>
      </c>
      <c r="Q1058" s="32">
        <f t="shared" si="83"/>
        <v>0</v>
      </c>
      <c r="R1058" s="6" t="str">
        <f>IF(ABS(P1058)&lt;Overview!$B$6,"OK",IF(J1058=0,"REVIEW (zero base)",IF(ABS(P1058/ABS(J1058))&gt;=Overview!$B$5,"REVIEW","OK")))</f>
        <v>OK</v>
      </c>
      <c r="S1058" s="33">
        <f t="shared" si="84"/>
        <v>12036.001058</v>
      </c>
    </row>
    <row r="1059" spans="1:19" x14ac:dyDescent="0.2">
      <c r="A1059" s="17">
        <v>1057</v>
      </c>
      <c r="B1059" s="17" t="s">
        <v>171</v>
      </c>
      <c r="C1059" s="17" t="s">
        <v>338</v>
      </c>
      <c r="D1059" s="17" t="s">
        <v>65</v>
      </c>
      <c r="E1059" s="17" t="s">
        <v>91</v>
      </c>
      <c r="F1059" s="17" t="s">
        <v>341</v>
      </c>
      <c r="G1059" s="17" t="s">
        <v>376</v>
      </c>
      <c r="H1059" s="30">
        <v>490139</v>
      </c>
      <c r="I1059" s="30">
        <v>538291</v>
      </c>
      <c r="J1059" s="30">
        <v>451121</v>
      </c>
      <c r="K1059" s="30">
        <v>560892</v>
      </c>
      <c r="L1059" s="30">
        <v>590227</v>
      </c>
      <c r="M1059" s="31">
        <f t="shared" si="80"/>
        <v>-87170</v>
      </c>
      <c r="N1059" s="32">
        <f t="shared" si="81"/>
        <v>-0.16193843107166941</v>
      </c>
      <c r="O1059" s="6" t="str">
        <f>IF(ABS(M1059)&lt;Overview!$B$6,"OK",IF(I1059=0,"REVIEW (zero base)",IF(ABS(M1059/ABS(I1059))&gt;=Overview!$B$5,"REVIEW","OK")))</f>
        <v>OK</v>
      </c>
      <c r="P1059" s="31">
        <f t="shared" si="82"/>
        <v>109771</v>
      </c>
      <c r="Q1059" s="32">
        <f t="shared" si="83"/>
        <v>0.24332939499602102</v>
      </c>
      <c r="R1059" s="6" t="str">
        <f>IF(ABS(P1059)&lt;Overview!$B$6,"OK",IF(J1059=0,"REVIEW (zero base)",IF(ABS(P1059/ABS(J1059))&gt;=Overview!$B$5,"REVIEW","OK")))</f>
        <v>OK</v>
      </c>
      <c r="S1059" s="33">
        <f t="shared" si="84"/>
        <v>87170.001059000002</v>
      </c>
    </row>
    <row r="1060" spans="1:19" x14ac:dyDescent="0.2">
      <c r="A1060" s="17">
        <v>1058</v>
      </c>
      <c r="B1060" s="17" t="s">
        <v>171</v>
      </c>
      <c r="C1060" s="17" t="s">
        <v>338</v>
      </c>
      <c r="D1060" s="17" t="s">
        <v>65</v>
      </c>
      <c r="E1060" s="17" t="s">
        <v>91</v>
      </c>
      <c r="F1060" s="17" t="s">
        <v>341</v>
      </c>
      <c r="G1060" s="17" t="s">
        <v>343</v>
      </c>
      <c r="H1060" s="30">
        <v>128390</v>
      </c>
      <c r="I1060" s="30">
        <v>137451</v>
      </c>
      <c r="J1060" s="30">
        <v>146987</v>
      </c>
      <c r="K1060" s="30">
        <v>150749</v>
      </c>
      <c r="L1060" s="30">
        <v>152256</v>
      </c>
      <c r="M1060" s="31">
        <f t="shared" si="80"/>
        <v>9536</v>
      </c>
      <c r="N1060" s="32">
        <f t="shared" si="81"/>
        <v>6.9377450873402163E-2</v>
      </c>
      <c r="O1060" s="6" t="str">
        <f>IF(ABS(M1060)&lt;Overview!$B$6,"OK",IF(I1060=0,"REVIEW (zero base)",IF(ABS(M1060/ABS(I1060))&gt;=Overview!$B$5,"REVIEW","OK")))</f>
        <v>OK</v>
      </c>
      <c r="P1060" s="31">
        <f t="shared" si="82"/>
        <v>3762</v>
      </c>
      <c r="Q1060" s="32">
        <f t="shared" si="83"/>
        <v>2.559410015851742E-2</v>
      </c>
      <c r="R1060" s="6" t="str">
        <f>IF(ABS(P1060)&lt;Overview!$B$6,"OK",IF(J1060=0,"REVIEW (zero base)",IF(ABS(P1060/ABS(J1060))&gt;=Overview!$B$5,"REVIEW","OK")))</f>
        <v>OK</v>
      </c>
      <c r="S1060" s="33">
        <f t="shared" si="84"/>
        <v>9536.0010600000005</v>
      </c>
    </row>
    <row r="1061" spans="1:19" x14ac:dyDescent="0.2">
      <c r="A1061" s="17">
        <v>1059</v>
      </c>
      <c r="B1061" s="17" t="s">
        <v>171</v>
      </c>
      <c r="C1061" s="17" t="s">
        <v>338</v>
      </c>
      <c r="D1061" s="17" t="s">
        <v>65</v>
      </c>
      <c r="E1061" s="17" t="s">
        <v>91</v>
      </c>
      <c r="F1061" s="17" t="s">
        <v>341</v>
      </c>
      <c r="G1061" s="17" t="s">
        <v>439</v>
      </c>
      <c r="H1061" s="30">
        <v>9167</v>
      </c>
      <c r="I1061" s="30">
        <v>10000</v>
      </c>
      <c r="J1061" s="30">
        <v>0</v>
      </c>
      <c r="K1061" s="30">
        <v>10000</v>
      </c>
      <c r="L1061" s="30">
        <v>10000</v>
      </c>
      <c r="M1061" s="31">
        <f t="shared" si="80"/>
        <v>-10000</v>
      </c>
      <c r="N1061" s="32">
        <f t="shared" si="81"/>
        <v>-1</v>
      </c>
      <c r="O1061" s="6" t="str">
        <f>IF(ABS(M1061)&lt;Overview!$B$6,"OK",IF(I1061=0,"REVIEW (zero base)",IF(ABS(M1061/ABS(I1061))&gt;=Overview!$B$5,"REVIEW","OK")))</f>
        <v>OK</v>
      </c>
      <c r="P1061" s="31">
        <f t="shared" si="82"/>
        <v>10000</v>
      </c>
      <c r="Q1061" s="32" t="str">
        <f t="shared" si="83"/>
        <v>n/a</v>
      </c>
      <c r="R1061" s="6" t="str">
        <f>IF(ABS(P1061)&lt;Overview!$B$6,"OK",IF(J1061=0,"REVIEW (zero base)",IF(ABS(P1061/ABS(J1061))&gt;=Overview!$B$5,"REVIEW","OK")))</f>
        <v>OK</v>
      </c>
      <c r="S1061" s="33">
        <f t="shared" si="84"/>
        <v>10000.001061000001</v>
      </c>
    </row>
    <row r="1062" spans="1:19" x14ac:dyDescent="0.2">
      <c r="A1062" s="17">
        <v>1060</v>
      </c>
      <c r="B1062" s="17" t="s">
        <v>171</v>
      </c>
      <c r="C1062" s="17" t="s">
        <v>338</v>
      </c>
      <c r="D1062" s="17" t="s">
        <v>65</v>
      </c>
      <c r="E1062" s="17" t="s">
        <v>91</v>
      </c>
      <c r="F1062" s="17" t="s">
        <v>341</v>
      </c>
      <c r="G1062" s="17" t="s">
        <v>396</v>
      </c>
      <c r="H1062" s="30">
        <v>15777</v>
      </c>
      <c r="I1062" s="30">
        <v>475</v>
      </c>
      <c r="J1062" s="30">
        <v>0</v>
      </c>
      <c r="K1062" s="30">
        <v>0</v>
      </c>
      <c r="L1062" s="30">
        <v>0</v>
      </c>
      <c r="M1062" s="31">
        <f t="shared" si="80"/>
        <v>-475</v>
      </c>
      <c r="N1062" s="32">
        <f t="shared" si="81"/>
        <v>-1</v>
      </c>
      <c r="O1062" s="6" t="str">
        <f>IF(ABS(M1062)&lt;Overview!$B$6,"OK",IF(I1062=0,"REVIEW (zero base)",IF(ABS(M1062/ABS(I1062))&gt;=Overview!$B$5,"REVIEW","OK")))</f>
        <v>OK</v>
      </c>
      <c r="P1062" s="31">
        <f t="shared" si="82"/>
        <v>0</v>
      </c>
      <c r="Q1062" s="32" t="str">
        <f t="shared" si="83"/>
        <v>n/a</v>
      </c>
      <c r="R1062" s="6" t="str">
        <f>IF(ABS(P1062)&lt;Overview!$B$6,"OK",IF(J1062=0,"REVIEW (zero base)",IF(ABS(P1062/ABS(J1062))&gt;=Overview!$B$5,"REVIEW","OK")))</f>
        <v>OK</v>
      </c>
      <c r="S1062" s="33">
        <f t="shared" si="84"/>
        <v>475.00106199999999</v>
      </c>
    </row>
    <row r="1063" spans="1:19" x14ac:dyDescent="0.2">
      <c r="A1063" s="17">
        <v>1061</v>
      </c>
      <c r="B1063" s="17" t="s">
        <v>171</v>
      </c>
      <c r="C1063" s="17" t="s">
        <v>338</v>
      </c>
      <c r="D1063" s="17" t="s">
        <v>65</v>
      </c>
      <c r="E1063" s="17" t="s">
        <v>91</v>
      </c>
      <c r="F1063" s="17" t="s">
        <v>341</v>
      </c>
      <c r="G1063" s="17" t="s">
        <v>378</v>
      </c>
      <c r="H1063" s="30">
        <v>69260</v>
      </c>
      <c r="I1063" s="30">
        <v>72090</v>
      </c>
      <c r="J1063" s="30">
        <v>98382</v>
      </c>
      <c r="K1063" s="30">
        <v>85176</v>
      </c>
      <c r="L1063" s="30">
        <v>88949</v>
      </c>
      <c r="M1063" s="31">
        <f t="shared" si="80"/>
        <v>26292</v>
      </c>
      <c r="N1063" s="32">
        <f t="shared" si="81"/>
        <v>0.36471077819392428</v>
      </c>
      <c r="O1063" s="6" t="str">
        <f>IF(ABS(M1063)&lt;Overview!$B$6,"OK",IF(I1063=0,"REVIEW (zero base)",IF(ABS(M1063/ABS(I1063))&gt;=Overview!$B$5,"REVIEW","OK")))</f>
        <v>OK</v>
      </c>
      <c r="P1063" s="31">
        <f t="shared" si="82"/>
        <v>-13206</v>
      </c>
      <c r="Q1063" s="32">
        <f t="shared" si="83"/>
        <v>-0.13423187168384459</v>
      </c>
      <c r="R1063" s="6" t="str">
        <f>IF(ABS(P1063)&lt;Overview!$B$6,"OK",IF(J1063=0,"REVIEW (zero base)",IF(ABS(P1063/ABS(J1063))&gt;=Overview!$B$5,"REVIEW","OK")))</f>
        <v>OK</v>
      </c>
      <c r="S1063" s="33">
        <f t="shared" si="84"/>
        <v>26292.001063</v>
      </c>
    </row>
    <row r="1064" spans="1:19" x14ac:dyDescent="0.2">
      <c r="A1064" s="17">
        <v>1062</v>
      </c>
      <c r="B1064" s="17" t="s">
        <v>171</v>
      </c>
      <c r="C1064" s="17" t="s">
        <v>338</v>
      </c>
      <c r="D1064" s="17" t="s">
        <v>65</v>
      </c>
      <c r="E1064" s="17" t="s">
        <v>91</v>
      </c>
      <c r="F1064" s="17" t="s">
        <v>341</v>
      </c>
      <c r="G1064" s="17" t="s">
        <v>344</v>
      </c>
      <c r="H1064" s="30">
        <v>301916</v>
      </c>
      <c r="I1064" s="30">
        <v>316549</v>
      </c>
      <c r="J1064" s="30">
        <v>421933</v>
      </c>
      <c r="K1064" s="30">
        <v>465576</v>
      </c>
      <c r="L1064" s="30">
        <v>474888</v>
      </c>
      <c r="M1064" s="31">
        <f t="shared" si="80"/>
        <v>105384</v>
      </c>
      <c r="N1064" s="32">
        <f t="shared" si="81"/>
        <v>0.33291528325788422</v>
      </c>
      <c r="O1064" s="6" t="str">
        <f>IF(ABS(M1064)&lt;Overview!$B$6,"OK",IF(I1064=0,"REVIEW (zero base)",IF(ABS(M1064/ABS(I1064))&gt;=Overview!$B$5,"REVIEW","OK")))</f>
        <v>OK</v>
      </c>
      <c r="P1064" s="31">
        <f t="shared" si="82"/>
        <v>43643</v>
      </c>
      <c r="Q1064" s="32">
        <f t="shared" si="83"/>
        <v>0.10343585355968839</v>
      </c>
      <c r="R1064" s="6" t="str">
        <f>IF(ABS(P1064)&lt;Overview!$B$6,"OK",IF(J1064=0,"REVIEW (zero base)",IF(ABS(P1064/ABS(J1064))&gt;=Overview!$B$5,"REVIEW","OK")))</f>
        <v>OK</v>
      </c>
      <c r="S1064" s="33">
        <f t="shared" si="84"/>
        <v>105384.001064</v>
      </c>
    </row>
    <row r="1065" spans="1:19" x14ac:dyDescent="0.2">
      <c r="A1065" s="17">
        <v>1063</v>
      </c>
      <c r="B1065" s="17" t="s">
        <v>171</v>
      </c>
      <c r="C1065" s="17" t="s">
        <v>338</v>
      </c>
      <c r="D1065" s="17" t="s">
        <v>65</v>
      </c>
      <c r="E1065" s="17" t="s">
        <v>91</v>
      </c>
      <c r="F1065" s="17" t="s">
        <v>364</v>
      </c>
      <c r="G1065" s="17" t="s">
        <v>496</v>
      </c>
      <c r="H1065" s="30">
        <v>10361</v>
      </c>
      <c r="I1065" s="30">
        <v>2837</v>
      </c>
      <c r="J1065" s="30">
        <v>15500</v>
      </c>
      <c r="K1065" s="30">
        <v>15000</v>
      </c>
      <c r="L1065" s="30">
        <v>15105</v>
      </c>
      <c r="M1065" s="31">
        <f t="shared" si="80"/>
        <v>12663</v>
      </c>
      <c r="N1065" s="32">
        <f t="shared" si="81"/>
        <v>4.463517800493479</v>
      </c>
      <c r="O1065" s="6" t="str">
        <f>IF(ABS(M1065)&lt;Overview!$B$6,"OK",IF(I1065=0,"REVIEW (zero base)",IF(ABS(M1065/ABS(I1065))&gt;=Overview!$B$5,"REVIEW","OK")))</f>
        <v>OK</v>
      </c>
      <c r="P1065" s="31">
        <f t="shared" si="82"/>
        <v>-500</v>
      </c>
      <c r="Q1065" s="32">
        <f t="shared" si="83"/>
        <v>-3.2258064516129031E-2</v>
      </c>
      <c r="R1065" s="6" t="str">
        <f>IF(ABS(P1065)&lt;Overview!$B$6,"OK",IF(J1065=0,"REVIEW (zero base)",IF(ABS(P1065/ABS(J1065))&gt;=Overview!$B$5,"REVIEW","OK")))</f>
        <v>OK</v>
      </c>
      <c r="S1065" s="33">
        <f t="shared" si="84"/>
        <v>12663.001065</v>
      </c>
    </row>
    <row r="1066" spans="1:19" x14ac:dyDescent="0.2">
      <c r="A1066" s="17">
        <v>1064</v>
      </c>
      <c r="B1066" s="17" t="s">
        <v>171</v>
      </c>
      <c r="C1066" s="17" t="s">
        <v>338</v>
      </c>
      <c r="D1066" s="17" t="s">
        <v>65</v>
      </c>
      <c r="E1066" s="17" t="s">
        <v>91</v>
      </c>
      <c r="F1066" s="17" t="s">
        <v>364</v>
      </c>
      <c r="G1066" s="17" t="s">
        <v>383</v>
      </c>
      <c r="H1066" s="30">
        <v>5132</v>
      </c>
      <c r="I1066" s="30">
        <v>4000</v>
      </c>
      <c r="J1066" s="30">
        <v>5800</v>
      </c>
      <c r="K1066" s="30">
        <v>5800</v>
      </c>
      <c r="L1066" s="30">
        <v>5800</v>
      </c>
      <c r="M1066" s="31">
        <f t="shared" si="80"/>
        <v>1800</v>
      </c>
      <c r="N1066" s="32">
        <f t="shared" si="81"/>
        <v>0.45</v>
      </c>
      <c r="O1066" s="6" t="str">
        <f>IF(ABS(M1066)&lt;Overview!$B$6,"OK",IF(I1066=0,"REVIEW (zero base)",IF(ABS(M1066/ABS(I1066))&gt;=Overview!$B$5,"REVIEW","OK")))</f>
        <v>OK</v>
      </c>
      <c r="P1066" s="31">
        <f t="shared" si="82"/>
        <v>0</v>
      </c>
      <c r="Q1066" s="32">
        <f t="shared" si="83"/>
        <v>0</v>
      </c>
      <c r="R1066" s="6" t="str">
        <f>IF(ABS(P1066)&lt;Overview!$B$6,"OK",IF(J1066=0,"REVIEW (zero base)",IF(ABS(P1066/ABS(J1066))&gt;=Overview!$B$5,"REVIEW","OK")))</f>
        <v>OK</v>
      </c>
      <c r="S1066" s="33">
        <f t="shared" si="84"/>
        <v>1800.001066</v>
      </c>
    </row>
    <row r="1067" spans="1:19" x14ac:dyDescent="0.2">
      <c r="A1067" s="17">
        <v>1065</v>
      </c>
      <c r="B1067" s="17" t="s">
        <v>171</v>
      </c>
      <c r="C1067" s="17" t="s">
        <v>338</v>
      </c>
      <c r="D1067" s="17" t="s">
        <v>65</v>
      </c>
      <c r="E1067" s="17" t="s">
        <v>91</v>
      </c>
      <c r="F1067" s="17" t="s">
        <v>364</v>
      </c>
      <c r="G1067" s="17" t="s">
        <v>397</v>
      </c>
      <c r="H1067" s="30">
        <v>8257</v>
      </c>
      <c r="I1067" s="30">
        <v>7000</v>
      </c>
      <c r="J1067" s="30">
        <v>10000</v>
      </c>
      <c r="K1067" s="30">
        <v>8000</v>
      </c>
      <c r="L1067" s="30">
        <v>8056</v>
      </c>
      <c r="M1067" s="31">
        <f t="shared" si="80"/>
        <v>3000</v>
      </c>
      <c r="N1067" s="32">
        <f t="shared" si="81"/>
        <v>0.42857142857142855</v>
      </c>
      <c r="O1067" s="6" t="str">
        <f>IF(ABS(M1067)&lt;Overview!$B$6,"OK",IF(I1067=0,"REVIEW (zero base)",IF(ABS(M1067/ABS(I1067))&gt;=Overview!$B$5,"REVIEW","OK")))</f>
        <v>OK</v>
      </c>
      <c r="P1067" s="31">
        <f t="shared" si="82"/>
        <v>-2000</v>
      </c>
      <c r="Q1067" s="32">
        <f t="shared" si="83"/>
        <v>-0.2</v>
      </c>
      <c r="R1067" s="6" t="str">
        <f>IF(ABS(P1067)&lt;Overview!$B$6,"OK",IF(J1067=0,"REVIEW (zero base)",IF(ABS(P1067/ABS(J1067))&gt;=Overview!$B$5,"REVIEW","OK")))</f>
        <v>OK</v>
      </c>
      <c r="S1067" s="33">
        <f t="shared" si="84"/>
        <v>3000.0010670000001</v>
      </c>
    </row>
    <row r="1068" spans="1:19" x14ac:dyDescent="0.2">
      <c r="A1068" s="17">
        <v>1066</v>
      </c>
      <c r="B1068" s="17" t="s">
        <v>171</v>
      </c>
      <c r="C1068" s="17" t="s">
        <v>338</v>
      </c>
      <c r="D1068" s="17" t="s">
        <v>65</v>
      </c>
      <c r="E1068" s="17" t="s">
        <v>91</v>
      </c>
      <c r="F1068" s="17" t="s">
        <v>364</v>
      </c>
      <c r="G1068" s="17" t="s">
        <v>398</v>
      </c>
      <c r="H1068" s="30">
        <v>3202</v>
      </c>
      <c r="I1068" s="30">
        <v>3920</v>
      </c>
      <c r="J1068" s="30">
        <v>3500</v>
      </c>
      <c r="K1068" s="30">
        <v>3500</v>
      </c>
      <c r="L1068" s="30">
        <v>3525</v>
      </c>
      <c r="M1068" s="31">
        <f t="shared" si="80"/>
        <v>-420</v>
      </c>
      <c r="N1068" s="32">
        <f t="shared" si="81"/>
        <v>-0.10714285714285714</v>
      </c>
      <c r="O1068" s="6" t="str">
        <f>IF(ABS(M1068)&lt;Overview!$B$6,"OK",IF(I1068=0,"REVIEW (zero base)",IF(ABS(M1068/ABS(I1068))&gt;=Overview!$B$5,"REVIEW","OK")))</f>
        <v>OK</v>
      </c>
      <c r="P1068" s="31">
        <f t="shared" si="82"/>
        <v>0</v>
      </c>
      <c r="Q1068" s="32">
        <f t="shared" si="83"/>
        <v>0</v>
      </c>
      <c r="R1068" s="6" t="str">
        <f>IF(ABS(P1068)&lt;Overview!$B$6,"OK",IF(J1068=0,"REVIEW (zero base)",IF(ABS(P1068/ABS(J1068))&gt;=Overview!$B$5,"REVIEW","OK")))</f>
        <v>OK</v>
      </c>
      <c r="S1068" s="33">
        <f t="shared" si="84"/>
        <v>420.00106799999998</v>
      </c>
    </row>
    <row r="1069" spans="1:19" x14ac:dyDescent="0.2">
      <c r="A1069" s="17">
        <v>1067</v>
      </c>
      <c r="B1069" s="17" t="s">
        <v>171</v>
      </c>
      <c r="C1069" s="17" t="s">
        <v>338</v>
      </c>
      <c r="D1069" s="17" t="s">
        <v>65</v>
      </c>
      <c r="E1069" s="17" t="s">
        <v>91</v>
      </c>
      <c r="F1069" s="17" t="s">
        <v>364</v>
      </c>
      <c r="G1069" s="17" t="s">
        <v>399</v>
      </c>
      <c r="H1069" s="30">
        <v>1370</v>
      </c>
      <c r="I1069" s="30">
        <v>3475</v>
      </c>
      <c r="J1069" s="30">
        <v>2500</v>
      </c>
      <c r="K1069" s="30">
        <v>2500</v>
      </c>
      <c r="L1069" s="30">
        <v>2518</v>
      </c>
      <c r="M1069" s="31">
        <f t="shared" si="80"/>
        <v>-975</v>
      </c>
      <c r="N1069" s="32">
        <f t="shared" si="81"/>
        <v>-0.2805755395683453</v>
      </c>
      <c r="O1069" s="6" t="str">
        <f>IF(ABS(M1069)&lt;Overview!$B$6,"OK",IF(I1069=0,"REVIEW (zero base)",IF(ABS(M1069/ABS(I1069))&gt;=Overview!$B$5,"REVIEW","OK")))</f>
        <v>OK</v>
      </c>
      <c r="P1069" s="31">
        <f t="shared" si="82"/>
        <v>0</v>
      </c>
      <c r="Q1069" s="32">
        <f t="shared" si="83"/>
        <v>0</v>
      </c>
      <c r="R1069" s="6" t="str">
        <f>IF(ABS(P1069)&lt;Overview!$B$6,"OK",IF(J1069=0,"REVIEW (zero base)",IF(ABS(P1069/ABS(J1069))&gt;=Overview!$B$5,"REVIEW","OK")))</f>
        <v>OK</v>
      </c>
      <c r="S1069" s="33">
        <f t="shared" si="84"/>
        <v>975.00106900000003</v>
      </c>
    </row>
    <row r="1070" spans="1:19" x14ac:dyDescent="0.2">
      <c r="A1070" s="17">
        <v>1068</v>
      </c>
      <c r="B1070" s="17" t="s">
        <v>171</v>
      </c>
      <c r="C1070" s="17" t="s">
        <v>338</v>
      </c>
      <c r="D1070" s="17" t="s">
        <v>65</v>
      </c>
      <c r="E1070" s="17" t="s">
        <v>91</v>
      </c>
      <c r="F1070" s="17" t="s">
        <v>404</v>
      </c>
      <c r="G1070" s="17" t="s">
        <v>405</v>
      </c>
      <c r="H1070" s="30">
        <v>0</v>
      </c>
      <c r="I1070" s="30">
        <v>1365</v>
      </c>
      <c r="J1070" s="30">
        <v>3500</v>
      </c>
      <c r="K1070" s="30">
        <v>1500</v>
      </c>
      <c r="L1070" s="30">
        <v>1511</v>
      </c>
      <c r="M1070" s="31">
        <f t="shared" si="80"/>
        <v>2135</v>
      </c>
      <c r="N1070" s="32">
        <f t="shared" si="81"/>
        <v>1.5641025641025641</v>
      </c>
      <c r="O1070" s="6" t="str">
        <f>IF(ABS(M1070)&lt;Overview!$B$6,"OK",IF(I1070=0,"REVIEW (zero base)",IF(ABS(M1070/ABS(I1070))&gt;=Overview!$B$5,"REVIEW","OK")))</f>
        <v>OK</v>
      </c>
      <c r="P1070" s="31">
        <f t="shared" si="82"/>
        <v>-2000</v>
      </c>
      <c r="Q1070" s="32">
        <f t="shared" si="83"/>
        <v>-0.5714285714285714</v>
      </c>
      <c r="R1070" s="6" t="str">
        <f>IF(ABS(P1070)&lt;Overview!$B$6,"OK",IF(J1070=0,"REVIEW (zero base)",IF(ABS(P1070/ABS(J1070))&gt;=Overview!$B$5,"REVIEW","OK")))</f>
        <v>OK</v>
      </c>
      <c r="S1070" s="33">
        <f t="shared" si="84"/>
        <v>2135.0010699999998</v>
      </c>
    </row>
    <row r="1071" spans="1:19" x14ac:dyDescent="0.2">
      <c r="A1071" s="17">
        <v>1069</v>
      </c>
      <c r="B1071" s="17" t="s">
        <v>171</v>
      </c>
      <c r="C1071" s="17" t="s">
        <v>338</v>
      </c>
      <c r="D1071" s="17" t="s">
        <v>65</v>
      </c>
      <c r="E1071" s="17" t="s">
        <v>91</v>
      </c>
      <c r="F1071" s="17" t="s">
        <v>420</v>
      </c>
      <c r="G1071" s="17" t="s">
        <v>421</v>
      </c>
      <c r="H1071" s="30">
        <v>258985</v>
      </c>
      <c r="I1071" s="30">
        <v>314818</v>
      </c>
      <c r="J1071" s="30">
        <v>329643</v>
      </c>
      <c r="K1071" s="30">
        <v>338708</v>
      </c>
      <c r="L1071" s="30">
        <v>341079</v>
      </c>
      <c r="M1071" s="31">
        <f t="shared" si="80"/>
        <v>14825</v>
      </c>
      <c r="N1071" s="32">
        <f t="shared" si="81"/>
        <v>4.7090700023505641E-2</v>
      </c>
      <c r="O1071" s="6" t="str">
        <f>IF(ABS(M1071)&lt;Overview!$B$6,"OK",IF(I1071=0,"REVIEW (zero base)",IF(ABS(M1071/ABS(I1071))&gt;=Overview!$B$5,"REVIEW","OK")))</f>
        <v>OK</v>
      </c>
      <c r="P1071" s="31">
        <f t="shared" si="82"/>
        <v>9065</v>
      </c>
      <c r="Q1071" s="32">
        <f t="shared" si="83"/>
        <v>2.7499446370770803E-2</v>
      </c>
      <c r="R1071" s="6" t="str">
        <f>IF(ABS(P1071)&lt;Overview!$B$6,"OK",IF(J1071=0,"REVIEW (zero base)",IF(ABS(P1071/ABS(J1071))&gt;=Overview!$B$5,"REVIEW","OK")))</f>
        <v>OK</v>
      </c>
      <c r="S1071" s="33">
        <f t="shared" si="84"/>
        <v>14825.001071000001</v>
      </c>
    </row>
    <row r="1072" spans="1:19" x14ac:dyDescent="0.2">
      <c r="A1072" s="17">
        <v>1070</v>
      </c>
      <c r="B1072" s="17" t="s">
        <v>171</v>
      </c>
      <c r="C1072" s="17" t="s">
        <v>338</v>
      </c>
      <c r="D1072" s="17" t="s">
        <v>65</v>
      </c>
      <c r="E1072" s="17" t="s">
        <v>91</v>
      </c>
      <c r="F1072" s="17" t="s">
        <v>422</v>
      </c>
      <c r="G1072" s="17" t="s">
        <v>423</v>
      </c>
      <c r="H1072" s="30">
        <v>21805</v>
      </c>
      <c r="I1072" s="30">
        <v>16039</v>
      </c>
      <c r="J1072" s="30">
        <v>18000</v>
      </c>
      <c r="K1072" s="30">
        <v>18000</v>
      </c>
      <c r="L1072" s="30">
        <v>18126</v>
      </c>
      <c r="M1072" s="31">
        <f t="shared" si="80"/>
        <v>1961</v>
      </c>
      <c r="N1072" s="32">
        <f t="shared" si="81"/>
        <v>0.12226448032919758</v>
      </c>
      <c r="O1072" s="6" t="str">
        <f>IF(ABS(M1072)&lt;Overview!$B$6,"OK",IF(I1072=0,"REVIEW (zero base)",IF(ABS(M1072/ABS(I1072))&gt;=Overview!$B$5,"REVIEW","OK")))</f>
        <v>OK</v>
      </c>
      <c r="P1072" s="31">
        <f t="shared" si="82"/>
        <v>0</v>
      </c>
      <c r="Q1072" s="32">
        <f t="shared" si="83"/>
        <v>0</v>
      </c>
      <c r="R1072" s="6" t="str">
        <f>IF(ABS(P1072)&lt;Overview!$B$6,"OK",IF(J1072=0,"REVIEW (zero base)",IF(ABS(P1072/ABS(J1072))&gt;=Overview!$B$5,"REVIEW","OK")))</f>
        <v>OK</v>
      </c>
      <c r="S1072" s="33">
        <f t="shared" si="84"/>
        <v>1961.001072</v>
      </c>
    </row>
    <row r="1073" spans="1:19" x14ac:dyDescent="0.2">
      <c r="A1073" s="17">
        <v>1071</v>
      </c>
      <c r="B1073" s="17" t="s">
        <v>171</v>
      </c>
      <c r="C1073" s="17" t="s">
        <v>338</v>
      </c>
      <c r="D1073" s="17" t="s">
        <v>65</v>
      </c>
      <c r="E1073" s="17" t="s">
        <v>91</v>
      </c>
      <c r="F1073" s="17" t="s">
        <v>407</v>
      </c>
      <c r="G1073" s="17" t="s">
        <v>427</v>
      </c>
      <c r="H1073" s="30">
        <v>6821</v>
      </c>
      <c r="I1073" s="30">
        <v>1012</v>
      </c>
      <c r="J1073" s="30">
        <v>14000</v>
      </c>
      <c r="K1073" s="30">
        <v>14000</v>
      </c>
      <c r="L1073" s="30">
        <v>14000</v>
      </c>
      <c r="M1073" s="31">
        <f t="shared" si="80"/>
        <v>12988</v>
      </c>
      <c r="N1073" s="32">
        <f t="shared" si="81"/>
        <v>12.83399209486166</v>
      </c>
      <c r="O1073" s="6" t="str">
        <f>IF(ABS(M1073)&lt;Overview!$B$6,"OK",IF(I1073=0,"REVIEW (zero base)",IF(ABS(M1073/ABS(I1073))&gt;=Overview!$B$5,"REVIEW","OK")))</f>
        <v>OK</v>
      </c>
      <c r="P1073" s="31">
        <f t="shared" si="82"/>
        <v>0</v>
      </c>
      <c r="Q1073" s="32">
        <f t="shared" si="83"/>
        <v>0</v>
      </c>
      <c r="R1073" s="6" t="str">
        <f>IF(ABS(P1073)&lt;Overview!$B$6,"OK",IF(J1073=0,"REVIEW (zero base)",IF(ABS(P1073/ABS(J1073))&gt;=Overview!$B$5,"REVIEW","OK")))</f>
        <v>OK</v>
      </c>
      <c r="S1073" s="33">
        <f t="shared" si="84"/>
        <v>12988.001072999999</v>
      </c>
    </row>
    <row r="1074" spans="1:19" x14ac:dyDescent="0.2">
      <c r="A1074" s="17">
        <v>1072</v>
      </c>
      <c r="B1074" s="17" t="s">
        <v>171</v>
      </c>
      <c r="C1074" s="17" t="s">
        <v>338</v>
      </c>
      <c r="D1074" s="17" t="s">
        <v>65</v>
      </c>
      <c r="E1074" s="17" t="s">
        <v>91</v>
      </c>
      <c r="F1074" s="17" t="s">
        <v>384</v>
      </c>
      <c r="G1074" s="17" t="s">
        <v>478</v>
      </c>
      <c r="H1074" s="30">
        <v>164219</v>
      </c>
      <c r="I1074" s="30">
        <v>85876</v>
      </c>
      <c r="J1074" s="30">
        <v>155000</v>
      </c>
      <c r="K1074" s="30">
        <v>155000</v>
      </c>
      <c r="L1074" s="30">
        <v>156085</v>
      </c>
      <c r="M1074" s="31">
        <f t="shared" si="80"/>
        <v>69124</v>
      </c>
      <c r="N1074" s="32">
        <f t="shared" si="81"/>
        <v>0.80492803577250915</v>
      </c>
      <c r="O1074" s="6" t="str">
        <f>IF(ABS(M1074)&lt;Overview!$B$6,"OK",IF(I1074=0,"REVIEW (zero base)",IF(ABS(M1074/ABS(I1074))&gt;=Overview!$B$5,"REVIEW","OK")))</f>
        <v>OK</v>
      </c>
      <c r="P1074" s="31">
        <f t="shared" si="82"/>
        <v>0</v>
      </c>
      <c r="Q1074" s="32">
        <f t="shared" si="83"/>
        <v>0</v>
      </c>
      <c r="R1074" s="6" t="str">
        <f>IF(ABS(P1074)&lt;Overview!$B$6,"OK",IF(J1074=0,"REVIEW (zero base)",IF(ABS(P1074/ABS(J1074))&gt;=Overview!$B$5,"REVIEW","OK")))</f>
        <v>OK</v>
      </c>
      <c r="S1074" s="33">
        <f t="shared" si="84"/>
        <v>69124.001074</v>
      </c>
    </row>
    <row r="1075" spans="1:19" x14ac:dyDescent="0.2">
      <c r="A1075" s="17">
        <v>1073</v>
      </c>
      <c r="B1075" s="17" t="s">
        <v>171</v>
      </c>
      <c r="C1075" s="17" t="s">
        <v>338</v>
      </c>
      <c r="D1075" s="17" t="s">
        <v>65</v>
      </c>
      <c r="E1075" s="17" t="s">
        <v>91</v>
      </c>
      <c r="F1075" s="17" t="s">
        <v>347</v>
      </c>
      <c r="G1075" s="17" t="s">
        <v>348</v>
      </c>
      <c r="H1075" s="30">
        <v>3594</v>
      </c>
      <c r="I1075" s="30">
        <v>25350</v>
      </c>
      <c r="J1075" s="30">
        <v>7500</v>
      </c>
      <c r="K1075" s="30">
        <v>5000</v>
      </c>
      <c r="L1075" s="30">
        <v>5035</v>
      </c>
      <c r="M1075" s="31">
        <f t="shared" si="80"/>
        <v>-17850</v>
      </c>
      <c r="N1075" s="32">
        <f t="shared" si="81"/>
        <v>-0.70414201183431957</v>
      </c>
      <c r="O1075" s="6" t="str">
        <f>IF(ABS(M1075)&lt;Overview!$B$6,"OK",IF(I1075=0,"REVIEW (zero base)",IF(ABS(M1075/ABS(I1075))&gt;=Overview!$B$5,"REVIEW","OK")))</f>
        <v>OK</v>
      </c>
      <c r="P1075" s="31">
        <f t="shared" si="82"/>
        <v>-2500</v>
      </c>
      <c r="Q1075" s="32">
        <f t="shared" si="83"/>
        <v>-0.33333333333333331</v>
      </c>
      <c r="R1075" s="6" t="str">
        <f>IF(ABS(P1075)&lt;Overview!$B$6,"OK",IF(J1075=0,"REVIEW (zero base)",IF(ABS(P1075/ABS(J1075))&gt;=Overview!$B$5,"REVIEW","OK")))</f>
        <v>OK</v>
      </c>
      <c r="S1075" s="33">
        <f t="shared" si="84"/>
        <v>17850.001075</v>
      </c>
    </row>
    <row r="1076" spans="1:19" x14ac:dyDescent="0.2">
      <c r="A1076" s="17">
        <v>1074</v>
      </c>
      <c r="B1076" s="17" t="s">
        <v>171</v>
      </c>
      <c r="C1076" s="17" t="s">
        <v>338</v>
      </c>
      <c r="D1076" s="17" t="s">
        <v>65</v>
      </c>
      <c r="E1076" s="17" t="s">
        <v>91</v>
      </c>
      <c r="F1076" s="17" t="s">
        <v>386</v>
      </c>
      <c r="G1076" s="17" t="s">
        <v>413</v>
      </c>
      <c r="H1076" s="30">
        <v>6244</v>
      </c>
      <c r="I1076" s="30">
        <v>6966</v>
      </c>
      <c r="J1076" s="30">
        <v>10300</v>
      </c>
      <c r="K1076" s="30">
        <v>7000</v>
      </c>
      <c r="L1076" s="30">
        <v>7049</v>
      </c>
      <c r="M1076" s="31">
        <f t="shared" si="80"/>
        <v>3334</v>
      </c>
      <c r="N1076" s="32">
        <f t="shared" si="81"/>
        <v>0.47861039333907551</v>
      </c>
      <c r="O1076" s="6" t="str">
        <f>IF(ABS(M1076)&lt;Overview!$B$6,"OK",IF(I1076=0,"REVIEW (zero base)",IF(ABS(M1076/ABS(I1076))&gt;=Overview!$B$5,"REVIEW","OK")))</f>
        <v>OK</v>
      </c>
      <c r="P1076" s="31">
        <f t="shared" si="82"/>
        <v>-3300</v>
      </c>
      <c r="Q1076" s="32">
        <f t="shared" si="83"/>
        <v>-0.32038834951456313</v>
      </c>
      <c r="R1076" s="6" t="str">
        <f>IF(ABS(P1076)&lt;Overview!$B$6,"OK",IF(J1076=0,"REVIEW (zero base)",IF(ABS(P1076/ABS(J1076))&gt;=Overview!$B$5,"REVIEW","OK")))</f>
        <v>OK</v>
      </c>
      <c r="S1076" s="33">
        <f t="shared" si="84"/>
        <v>3334.001076</v>
      </c>
    </row>
    <row r="1077" spans="1:19" x14ac:dyDescent="0.2">
      <c r="A1077" s="17">
        <v>1075</v>
      </c>
      <c r="B1077" s="17" t="s">
        <v>171</v>
      </c>
      <c r="C1077" s="17" t="s">
        <v>338</v>
      </c>
      <c r="D1077" s="17" t="s">
        <v>65</v>
      </c>
      <c r="E1077" s="17" t="s">
        <v>91</v>
      </c>
      <c r="F1077" s="17" t="s">
        <v>349</v>
      </c>
      <c r="G1077" s="17" t="s">
        <v>497</v>
      </c>
      <c r="H1077" s="30">
        <v>225000</v>
      </c>
      <c r="I1077" s="30">
        <v>113000</v>
      </c>
      <c r="J1077" s="30">
        <v>100000</v>
      </c>
      <c r="K1077" s="30">
        <v>75000</v>
      </c>
      <c r="L1077" s="30">
        <v>75000</v>
      </c>
      <c r="M1077" s="31">
        <f t="shared" si="80"/>
        <v>-13000</v>
      </c>
      <c r="N1077" s="32">
        <f t="shared" si="81"/>
        <v>-0.11504424778761062</v>
      </c>
      <c r="O1077" s="6" t="str">
        <f>IF(ABS(M1077)&lt;Overview!$B$6,"OK",IF(I1077=0,"REVIEW (zero base)",IF(ABS(M1077/ABS(I1077))&gt;=Overview!$B$5,"REVIEW","OK")))</f>
        <v>OK</v>
      </c>
      <c r="P1077" s="31">
        <f t="shared" si="82"/>
        <v>-25000</v>
      </c>
      <c r="Q1077" s="32">
        <f t="shared" si="83"/>
        <v>-0.25</v>
      </c>
      <c r="R1077" s="6" t="str">
        <f>IF(ABS(P1077)&lt;Overview!$B$6,"OK",IF(J1077=0,"REVIEW (zero base)",IF(ABS(P1077/ABS(J1077))&gt;=Overview!$B$5,"REVIEW","OK")))</f>
        <v>OK</v>
      </c>
      <c r="S1077" s="33">
        <f t="shared" si="84"/>
        <v>13000.001077000001</v>
      </c>
    </row>
    <row r="1078" spans="1:19" x14ac:dyDescent="0.2">
      <c r="A1078" s="17">
        <v>1076</v>
      </c>
      <c r="B1078" s="17" t="s">
        <v>171</v>
      </c>
      <c r="C1078" s="17" t="s">
        <v>338</v>
      </c>
      <c r="D1078" s="17" t="s">
        <v>55</v>
      </c>
      <c r="E1078" s="17" t="s">
        <v>99</v>
      </c>
      <c r="F1078" s="17" t="s">
        <v>339</v>
      </c>
      <c r="G1078" s="17" t="s">
        <v>340</v>
      </c>
      <c r="H1078" s="30">
        <v>598494</v>
      </c>
      <c r="I1078" s="30">
        <v>398470</v>
      </c>
      <c r="J1078" s="30">
        <v>702416</v>
      </c>
      <c r="K1078" s="30">
        <v>735584</v>
      </c>
      <c r="L1078" s="30">
        <v>742940</v>
      </c>
      <c r="M1078" s="31">
        <f t="shared" si="80"/>
        <v>303946</v>
      </c>
      <c r="N1078" s="32">
        <f t="shared" si="81"/>
        <v>0.76278264361181525</v>
      </c>
      <c r="O1078" s="6" t="str">
        <f>IF(ABS(M1078)&lt;Overview!$B$6,"OK",IF(I1078=0,"REVIEW (zero base)",IF(ABS(M1078/ABS(I1078))&gt;=Overview!$B$5,"REVIEW","OK")))</f>
        <v>REVIEW</v>
      </c>
      <c r="P1078" s="31">
        <f t="shared" si="82"/>
        <v>33168</v>
      </c>
      <c r="Q1078" s="32">
        <f t="shared" si="83"/>
        <v>4.7219881096102596E-2</v>
      </c>
      <c r="R1078" s="6" t="str">
        <f>IF(ABS(P1078)&lt;Overview!$B$6,"OK",IF(J1078=0,"REVIEW (zero base)",IF(ABS(P1078/ABS(J1078))&gt;=Overview!$B$5,"REVIEW","OK")))</f>
        <v>OK</v>
      </c>
      <c r="S1078" s="33">
        <f t="shared" si="84"/>
        <v>303946.001078</v>
      </c>
    </row>
    <row r="1079" spans="1:19" x14ac:dyDescent="0.2">
      <c r="A1079" s="17">
        <v>1077</v>
      </c>
      <c r="B1079" s="17" t="s">
        <v>171</v>
      </c>
      <c r="C1079" s="17" t="s">
        <v>338</v>
      </c>
      <c r="D1079" s="17" t="s">
        <v>55</v>
      </c>
      <c r="E1079" s="17" t="s">
        <v>99</v>
      </c>
      <c r="F1079" s="17" t="s">
        <v>339</v>
      </c>
      <c r="G1079" s="17" t="s">
        <v>389</v>
      </c>
      <c r="H1079" s="30">
        <v>0</v>
      </c>
      <c r="I1079" s="30">
        <v>0</v>
      </c>
      <c r="J1079" s="30">
        <v>0</v>
      </c>
      <c r="K1079" s="30">
        <v>0</v>
      </c>
      <c r="L1079" s="30">
        <v>0</v>
      </c>
      <c r="M1079" s="31">
        <f t="shared" si="80"/>
        <v>0</v>
      </c>
      <c r="N1079" s="32" t="str">
        <f t="shared" si="81"/>
        <v>n/a</v>
      </c>
      <c r="O1079" s="6" t="str">
        <f>IF(ABS(M1079)&lt;Overview!$B$6,"OK",IF(I1079=0,"REVIEW (zero base)",IF(ABS(M1079/ABS(I1079))&gt;=Overview!$B$5,"REVIEW","OK")))</f>
        <v>OK</v>
      </c>
      <c r="P1079" s="31">
        <f t="shared" si="82"/>
        <v>0</v>
      </c>
      <c r="Q1079" s="32" t="str">
        <f t="shared" si="83"/>
        <v>n/a</v>
      </c>
      <c r="R1079" s="6" t="str">
        <f>IF(ABS(P1079)&lt;Overview!$B$6,"OK",IF(J1079=0,"REVIEW (zero base)",IF(ABS(P1079/ABS(J1079))&gt;=Overview!$B$5,"REVIEW","OK")))</f>
        <v>OK</v>
      </c>
      <c r="S1079" s="33">
        <f t="shared" si="84"/>
        <v>1.0790000000000001E-3</v>
      </c>
    </row>
    <row r="1080" spans="1:19" x14ac:dyDescent="0.2">
      <c r="A1080" s="17">
        <v>1078</v>
      </c>
      <c r="B1080" s="17" t="s">
        <v>171</v>
      </c>
      <c r="C1080" s="17" t="s">
        <v>338</v>
      </c>
      <c r="D1080" s="17" t="s">
        <v>55</v>
      </c>
      <c r="E1080" s="17" t="s">
        <v>99</v>
      </c>
      <c r="F1080" s="17" t="s">
        <v>339</v>
      </c>
      <c r="G1080" s="17" t="s">
        <v>390</v>
      </c>
      <c r="H1080" s="30">
        <v>7779</v>
      </c>
      <c r="I1080" s="30">
        <v>3358</v>
      </c>
      <c r="J1080" s="30">
        <v>7200</v>
      </c>
      <c r="K1080" s="30">
        <v>5000</v>
      </c>
      <c r="L1080" s="30">
        <v>5000</v>
      </c>
      <c r="M1080" s="31">
        <f t="shared" si="80"/>
        <v>3842</v>
      </c>
      <c r="N1080" s="32">
        <f t="shared" si="81"/>
        <v>1.1441334127456819</v>
      </c>
      <c r="O1080" s="6" t="str">
        <f>IF(ABS(M1080)&lt;Overview!$B$6,"OK",IF(I1080=0,"REVIEW (zero base)",IF(ABS(M1080/ABS(I1080))&gt;=Overview!$B$5,"REVIEW","OK")))</f>
        <v>OK</v>
      </c>
      <c r="P1080" s="31">
        <f t="shared" si="82"/>
        <v>-2200</v>
      </c>
      <c r="Q1080" s="32">
        <f t="shared" si="83"/>
        <v>-0.30555555555555558</v>
      </c>
      <c r="R1080" s="6" t="str">
        <f>IF(ABS(P1080)&lt;Overview!$B$6,"OK",IF(J1080=0,"REVIEW (zero base)",IF(ABS(P1080/ABS(J1080))&gt;=Overview!$B$5,"REVIEW","OK")))</f>
        <v>OK</v>
      </c>
      <c r="S1080" s="33">
        <f t="shared" si="84"/>
        <v>3842.00108</v>
      </c>
    </row>
    <row r="1081" spans="1:19" x14ac:dyDescent="0.2">
      <c r="A1081" s="17">
        <v>1079</v>
      </c>
      <c r="B1081" s="17" t="s">
        <v>171</v>
      </c>
      <c r="C1081" s="17" t="s">
        <v>338</v>
      </c>
      <c r="D1081" s="17" t="s">
        <v>55</v>
      </c>
      <c r="E1081" s="17" t="s">
        <v>99</v>
      </c>
      <c r="F1081" s="17" t="s">
        <v>339</v>
      </c>
      <c r="G1081" s="17" t="s">
        <v>391</v>
      </c>
      <c r="H1081" s="30">
        <v>24506</v>
      </c>
      <c r="I1081" s="30">
        <v>15530</v>
      </c>
      <c r="J1081" s="30">
        <v>0</v>
      </c>
      <c r="K1081" s="30">
        <v>0</v>
      </c>
      <c r="L1081" s="30">
        <v>0</v>
      </c>
      <c r="M1081" s="31">
        <f t="shared" si="80"/>
        <v>-15530</v>
      </c>
      <c r="N1081" s="32">
        <f t="shared" si="81"/>
        <v>-1</v>
      </c>
      <c r="O1081" s="6" t="str">
        <f>IF(ABS(M1081)&lt;Overview!$B$6,"OK",IF(I1081=0,"REVIEW (zero base)",IF(ABS(M1081/ABS(I1081))&gt;=Overview!$B$5,"REVIEW","OK")))</f>
        <v>OK</v>
      </c>
      <c r="P1081" s="31">
        <f t="shared" si="82"/>
        <v>0</v>
      </c>
      <c r="Q1081" s="32" t="str">
        <f t="shared" si="83"/>
        <v>n/a</v>
      </c>
      <c r="R1081" s="6" t="str">
        <f>IF(ABS(P1081)&lt;Overview!$B$6,"OK",IF(J1081=0,"REVIEW (zero base)",IF(ABS(P1081/ABS(J1081))&gt;=Overview!$B$5,"REVIEW","OK")))</f>
        <v>OK</v>
      </c>
      <c r="S1081" s="33">
        <f t="shared" si="84"/>
        <v>15530.001081</v>
      </c>
    </row>
    <row r="1082" spans="1:19" x14ac:dyDescent="0.2">
      <c r="A1082" s="17">
        <v>1080</v>
      </c>
      <c r="B1082" s="17" t="s">
        <v>171</v>
      </c>
      <c r="C1082" s="17" t="s">
        <v>338</v>
      </c>
      <c r="D1082" s="17" t="s">
        <v>55</v>
      </c>
      <c r="E1082" s="17" t="s">
        <v>99</v>
      </c>
      <c r="F1082" s="17" t="s">
        <v>339</v>
      </c>
      <c r="G1082" s="17" t="s">
        <v>392</v>
      </c>
      <c r="H1082" s="30">
        <v>69000</v>
      </c>
      <c r="I1082" s="30">
        <v>52499</v>
      </c>
      <c r="J1082" s="30">
        <v>0</v>
      </c>
      <c r="K1082" s="30">
        <v>0</v>
      </c>
      <c r="L1082" s="30">
        <v>0</v>
      </c>
      <c r="M1082" s="31">
        <f t="shared" si="80"/>
        <v>-52499</v>
      </c>
      <c r="N1082" s="32">
        <f t="shared" si="81"/>
        <v>-1</v>
      </c>
      <c r="O1082" s="6" t="str">
        <f>IF(ABS(M1082)&lt;Overview!$B$6,"OK",IF(I1082=0,"REVIEW (zero base)",IF(ABS(M1082/ABS(I1082))&gt;=Overview!$B$5,"REVIEW","OK")))</f>
        <v>OK</v>
      </c>
      <c r="P1082" s="31">
        <f t="shared" si="82"/>
        <v>0</v>
      </c>
      <c r="Q1082" s="32" t="str">
        <f t="shared" si="83"/>
        <v>n/a</v>
      </c>
      <c r="R1082" s="6" t="str">
        <f>IF(ABS(P1082)&lt;Overview!$B$6,"OK",IF(J1082=0,"REVIEW (zero base)",IF(ABS(P1082/ABS(J1082))&gt;=Overview!$B$5,"REVIEW","OK")))</f>
        <v>OK</v>
      </c>
      <c r="S1082" s="33">
        <f t="shared" si="84"/>
        <v>52499.001082000002</v>
      </c>
    </row>
    <row r="1083" spans="1:19" x14ac:dyDescent="0.2">
      <c r="A1083" s="17">
        <v>1081</v>
      </c>
      <c r="B1083" s="17" t="s">
        <v>171</v>
      </c>
      <c r="C1083" s="17" t="s">
        <v>338</v>
      </c>
      <c r="D1083" s="17" t="s">
        <v>55</v>
      </c>
      <c r="E1083" s="17" t="s">
        <v>99</v>
      </c>
      <c r="F1083" s="17" t="s">
        <v>339</v>
      </c>
      <c r="G1083" s="17" t="s">
        <v>393</v>
      </c>
      <c r="H1083" s="30">
        <v>6723</v>
      </c>
      <c r="I1083" s="30">
        <v>7518</v>
      </c>
      <c r="J1083" s="30">
        <v>7200</v>
      </c>
      <c r="K1083" s="30">
        <v>5000</v>
      </c>
      <c r="L1083" s="30">
        <v>5000</v>
      </c>
      <c r="M1083" s="31">
        <f t="shared" si="80"/>
        <v>-318</v>
      </c>
      <c r="N1083" s="32">
        <f t="shared" si="81"/>
        <v>-4.2298483639265763E-2</v>
      </c>
      <c r="O1083" s="6" t="str">
        <f>IF(ABS(M1083)&lt;Overview!$B$6,"OK",IF(I1083=0,"REVIEW (zero base)",IF(ABS(M1083/ABS(I1083))&gt;=Overview!$B$5,"REVIEW","OK")))</f>
        <v>OK</v>
      </c>
      <c r="P1083" s="31">
        <f t="shared" si="82"/>
        <v>-2200</v>
      </c>
      <c r="Q1083" s="32">
        <f t="shared" si="83"/>
        <v>-0.30555555555555558</v>
      </c>
      <c r="R1083" s="6" t="str">
        <f>IF(ABS(P1083)&lt;Overview!$B$6,"OK",IF(J1083=0,"REVIEW (zero base)",IF(ABS(P1083/ABS(J1083))&gt;=Overview!$B$5,"REVIEW","OK")))</f>
        <v>OK</v>
      </c>
      <c r="S1083" s="33">
        <f t="shared" si="84"/>
        <v>318.00108299999999</v>
      </c>
    </row>
    <row r="1084" spans="1:19" x14ac:dyDescent="0.2">
      <c r="A1084" s="17">
        <v>1082</v>
      </c>
      <c r="B1084" s="17" t="s">
        <v>171</v>
      </c>
      <c r="C1084" s="17" t="s">
        <v>338</v>
      </c>
      <c r="D1084" s="17" t="s">
        <v>55</v>
      </c>
      <c r="E1084" s="17" t="s">
        <v>99</v>
      </c>
      <c r="F1084" s="17" t="s">
        <v>339</v>
      </c>
      <c r="G1084" s="17" t="s">
        <v>394</v>
      </c>
      <c r="H1084" s="30">
        <v>45766</v>
      </c>
      <c r="I1084" s="30">
        <v>37007</v>
      </c>
      <c r="J1084" s="30">
        <v>0</v>
      </c>
      <c r="K1084" s="30">
        <v>0</v>
      </c>
      <c r="L1084" s="30">
        <v>0</v>
      </c>
      <c r="M1084" s="31">
        <f t="shared" si="80"/>
        <v>-37007</v>
      </c>
      <c r="N1084" s="32">
        <f t="shared" si="81"/>
        <v>-1</v>
      </c>
      <c r="O1084" s="6" t="str">
        <f>IF(ABS(M1084)&lt;Overview!$B$6,"OK",IF(I1084=0,"REVIEW (zero base)",IF(ABS(M1084/ABS(I1084))&gt;=Overview!$B$5,"REVIEW","OK")))</f>
        <v>OK</v>
      </c>
      <c r="P1084" s="31">
        <f t="shared" si="82"/>
        <v>0</v>
      </c>
      <c r="Q1084" s="32" t="str">
        <f t="shared" si="83"/>
        <v>n/a</v>
      </c>
      <c r="R1084" s="6" t="str">
        <f>IF(ABS(P1084)&lt;Overview!$B$6,"OK",IF(J1084=0,"REVIEW (zero base)",IF(ABS(P1084/ABS(J1084))&gt;=Overview!$B$5,"REVIEW","OK")))</f>
        <v>OK</v>
      </c>
      <c r="S1084" s="33">
        <f t="shared" si="84"/>
        <v>37007.001084000003</v>
      </c>
    </row>
    <row r="1085" spans="1:19" x14ac:dyDescent="0.2">
      <c r="A1085" s="17">
        <v>1083</v>
      </c>
      <c r="B1085" s="17" t="s">
        <v>171</v>
      </c>
      <c r="C1085" s="17" t="s">
        <v>338</v>
      </c>
      <c r="D1085" s="17" t="s">
        <v>55</v>
      </c>
      <c r="E1085" s="17" t="s">
        <v>99</v>
      </c>
      <c r="F1085" s="17" t="s">
        <v>339</v>
      </c>
      <c r="G1085" s="17" t="s">
        <v>395</v>
      </c>
      <c r="H1085" s="30">
        <v>30531</v>
      </c>
      <c r="I1085" s="30">
        <v>25845</v>
      </c>
      <c r="J1085" s="30">
        <v>20193</v>
      </c>
      <c r="K1085" s="30">
        <v>19057</v>
      </c>
      <c r="L1085" s="30">
        <v>19248</v>
      </c>
      <c r="M1085" s="31">
        <f t="shared" si="80"/>
        <v>-5652</v>
      </c>
      <c r="N1085" s="32">
        <f t="shared" si="81"/>
        <v>-0.21868833430063842</v>
      </c>
      <c r="O1085" s="6" t="str">
        <f>IF(ABS(M1085)&lt;Overview!$B$6,"OK",IF(I1085=0,"REVIEW (zero base)",IF(ABS(M1085/ABS(I1085))&gt;=Overview!$B$5,"REVIEW","OK")))</f>
        <v>OK</v>
      </c>
      <c r="P1085" s="31">
        <f t="shared" si="82"/>
        <v>-1136</v>
      </c>
      <c r="Q1085" s="32">
        <f t="shared" si="83"/>
        <v>-5.625711880354578E-2</v>
      </c>
      <c r="R1085" s="6" t="str">
        <f>IF(ABS(P1085)&lt;Overview!$B$6,"OK",IF(J1085=0,"REVIEW (zero base)",IF(ABS(P1085/ABS(J1085))&gt;=Overview!$B$5,"REVIEW","OK")))</f>
        <v>OK</v>
      </c>
      <c r="S1085" s="33">
        <f t="shared" si="84"/>
        <v>5652.0010849999999</v>
      </c>
    </row>
    <row r="1086" spans="1:19" x14ac:dyDescent="0.2">
      <c r="A1086" s="17">
        <v>1084</v>
      </c>
      <c r="B1086" s="17" t="s">
        <v>171</v>
      </c>
      <c r="C1086" s="17" t="s">
        <v>338</v>
      </c>
      <c r="D1086" s="17" t="s">
        <v>55</v>
      </c>
      <c r="E1086" s="17" t="s">
        <v>99</v>
      </c>
      <c r="F1086" s="17" t="s">
        <v>341</v>
      </c>
      <c r="G1086" s="17" t="s">
        <v>342</v>
      </c>
      <c r="H1086" s="30">
        <v>10089</v>
      </c>
      <c r="I1086" s="30">
        <v>8395</v>
      </c>
      <c r="J1086" s="30">
        <v>10032</v>
      </c>
      <c r="K1086" s="30">
        <v>10032</v>
      </c>
      <c r="L1086" s="30">
        <v>10032</v>
      </c>
      <c r="M1086" s="31">
        <f t="shared" si="80"/>
        <v>1637</v>
      </c>
      <c r="N1086" s="32">
        <f t="shared" si="81"/>
        <v>0.19499702203692673</v>
      </c>
      <c r="O1086" s="6" t="str">
        <f>IF(ABS(M1086)&lt;Overview!$B$6,"OK",IF(I1086=0,"REVIEW (zero base)",IF(ABS(M1086/ABS(I1086))&gt;=Overview!$B$5,"REVIEW","OK")))</f>
        <v>OK</v>
      </c>
      <c r="P1086" s="31">
        <f t="shared" si="82"/>
        <v>0</v>
      </c>
      <c r="Q1086" s="32">
        <f t="shared" si="83"/>
        <v>0</v>
      </c>
      <c r="R1086" s="6" t="str">
        <f>IF(ABS(P1086)&lt;Overview!$B$6,"OK",IF(J1086=0,"REVIEW (zero base)",IF(ABS(P1086/ABS(J1086))&gt;=Overview!$B$5,"REVIEW","OK")))</f>
        <v>OK</v>
      </c>
      <c r="S1086" s="33">
        <f t="shared" si="84"/>
        <v>1637.001086</v>
      </c>
    </row>
    <row r="1087" spans="1:19" x14ac:dyDescent="0.2">
      <c r="A1087" s="17">
        <v>1085</v>
      </c>
      <c r="B1087" s="17" t="s">
        <v>171</v>
      </c>
      <c r="C1087" s="17" t="s">
        <v>338</v>
      </c>
      <c r="D1087" s="17" t="s">
        <v>55</v>
      </c>
      <c r="E1087" s="17" t="s">
        <v>99</v>
      </c>
      <c r="F1087" s="17" t="s">
        <v>341</v>
      </c>
      <c r="G1087" s="17" t="s">
        <v>375</v>
      </c>
      <c r="H1087" s="30">
        <v>25901</v>
      </c>
      <c r="I1087" s="30">
        <v>25107</v>
      </c>
      <c r="J1087" s="30">
        <v>31850</v>
      </c>
      <c r="K1087" s="30">
        <v>31850</v>
      </c>
      <c r="L1087" s="30">
        <v>31850</v>
      </c>
      <c r="M1087" s="31">
        <f t="shared" si="80"/>
        <v>6743</v>
      </c>
      <c r="N1087" s="32">
        <f t="shared" si="81"/>
        <v>0.26857051818218025</v>
      </c>
      <c r="O1087" s="6" t="str">
        <f>IF(ABS(M1087)&lt;Overview!$B$6,"OK",IF(I1087=0,"REVIEW (zero base)",IF(ABS(M1087/ABS(I1087))&gt;=Overview!$B$5,"REVIEW","OK")))</f>
        <v>OK</v>
      </c>
      <c r="P1087" s="31">
        <f t="shared" si="82"/>
        <v>0</v>
      </c>
      <c r="Q1087" s="32">
        <f t="shared" si="83"/>
        <v>0</v>
      </c>
      <c r="R1087" s="6" t="str">
        <f>IF(ABS(P1087)&lt;Overview!$B$6,"OK",IF(J1087=0,"REVIEW (zero base)",IF(ABS(P1087/ABS(J1087))&gt;=Overview!$B$5,"REVIEW","OK")))</f>
        <v>OK</v>
      </c>
      <c r="S1087" s="33">
        <f t="shared" si="84"/>
        <v>6743.0010869999996</v>
      </c>
    </row>
    <row r="1088" spans="1:19" x14ac:dyDescent="0.2">
      <c r="A1088" s="17">
        <v>1086</v>
      </c>
      <c r="B1088" s="17" t="s">
        <v>171</v>
      </c>
      <c r="C1088" s="17" t="s">
        <v>338</v>
      </c>
      <c r="D1088" s="17" t="s">
        <v>55</v>
      </c>
      <c r="E1088" s="17" t="s">
        <v>99</v>
      </c>
      <c r="F1088" s="17" t="s">
        <v>341</v>
      </c>
      <c r="G1088" s="17" t="s">
        <v>376</v>
      </c>
      <c r="H1088" s="30">
        <v>219355</v>
      </c>
      <c r="I1088" s="30">
        <v>199333</v>
      </c>
      <c r="J1088" s="30">
        <v>201085</v>
      </c>
      <c r="K1088" s="30">
        <v>207708</v>
      </c>
      <c r="L1088" s="30">
        <v>218571</v>
      </c>
      <c r="M1088" s="31">
        <f t="shared" si="80"/>
        <v>1752</v>
      </c>
      <c r="N1088" s="32">
        <f t="shared" si="81"/>
        <v>8.7893123567096259E-3</v>
      </c>
      <c r="O1088" s="6" t="str">
        <f>IF(ABS(M1088)&lt;Overview!$B$6,"OK",IF(I1088=0,"REVIEW (zero base)",IF(ABS(M1088/ABS(I1088))&gt;=Overview!$B$5,"REVIEW","OK")))</f>
        <v>OK</v>
      </c>
      <c r="P1088" s="31">
        <f t="shared" si="82"/>
        <v>6623</v>
      </c>
      <c r="Q1088" s="32">
        <f t="shared" si="83"/>
        <v>3.2936320461496381E-2</v>
      </c>
      <c r="R1088" s="6" t="str">
        <f>IF(ABS(P1088)&lt;Overview!$B$6,"OK",IF(J1088=0,"REVIEW (zero base)",IF(ABS(P1088/ABS(J1088))&gt;=Overview!$B$5,"REVIEW","OK")))</f>
        <v>OK</v>
      </c>
      <c r="S1088" s="33">
        <f t="shared" si="84"/>
        <v>1752.001088</v>
      </c>
    </row>
    <row r="1089" spans="1:19" x14ac:dyDescent="0.2">
      <c r="A1089" s="17">
        <v>1087</v>
      </c>
      <c r="B1089" s="17" t="s">
        <v>171</v>
      </c>
      <c r="C1089" s="17" t="s">
        <v>338</v>
      </c>
      <c r="D1089" s="17" t="s">
        <v>55</v>
      </c>
      <c r="E1089" s="17" t="s">
        <v>99</v>
      </c>
      <c r="F1089" s="17" t="s">
        <v>341</v>
      </c>
      <c r="G1089" s="17" t="s">
        <v>343</v>
      </c>
      <c r="H1089" s="30">
        <v>56283</v>
      </c>
      <c r="I1089" s="30">
        <v>50829</v>
      </c>
      <c r="J1089" s="30">
        <v>62517</v>
      </c>
      <c r="K1089" s="30">
        <v>62703</v>
      </c>
      <c r="L1089" s="30">
        <v>63330</v>
      </c>
      <c r="M1089" s="31">
        <f t="shared" si="80"/>
        <v>11688</v>
      </c>
      <c r="N1089" s="32">
        <f t="shared" si="81"/>
        <v>0.22994747093194828</v>
      </c>
      <c r="O1089" s="6" t="str">
        <f>IF(ABS(M1089)&lt;Overview!$B$6,"OK",IF(I1089=0,"REVIEW (zero base)",IF(ABS(M1089/ABS(I1089))&gt;=Overview!$B$5,"REVIEW","OK")))</f>
        <v>OK</v>
      </c>
      <c r="P1089" s="31">
        <f t="shared" si="82"/>
        <v>186</v>
      </c>
      <c r="Q1089" s="32">
        <f t="shared" si="83"/>
        <v>2.9751907481165123E-3</v>
      </c>
      <c r="R1089" s="6" t="str">
        <f>IF(ABS(P1089)&lt;Overview!$B$6,"OK",IF(J1089=0,"REVIEW (zero base)",IF(ABS(P1089/ABS(J1089))&gt;=Overview!$B$5,"REVIEW","OK")))</f>
        <v>OK</v>
      </c>
      <c r="S1089" s="33">
        <f t="shared" si="84"/>
        <v>11688.001088999999</v>
      </c>
    </row>
    <row r="1090" spans="1:19" x14ac:dyDescent="0.2">
      <c r="A1090" s="17">
        <v>1088</v>
      </c>
      <c r="B1090" s="17" t="s">
        <v>171</v>
      </c>
      <c r="C1090" s="17" t="s">
        <v>338</v>
      </c>
      <c r="D1090" s="17" t="s">
        <v>55</v>
      </c>
      <c r="E1090" s="17" t="s">
        <v>99</v>
      </c>
      <c r="F1090" s="17" t="s">
        <v>341</v>
      </c>
      <c r="G1090" s="17" t="s">
        <v>378</v>
      </c>
      <c r="H1090" s="30">
        <v>21316</v>
      </c>
      <c r="I1090" s="30">
        <v>18424</v>
      </c>
      <c r="J1090" s="30">
        <v>24076</v>
      </c>
      <c r="K1090" s="30">
        <v>25480</v>
      </c>
      <c r="L1090" s="30">
        <v>26609</v>
      </c>
      <c r="M1090" s="31">
        <f t="shared" ref="M1090:M1153" si="85">J1090-I1090</f>
        <v>5652</v>
      </c>
      <c r="N1090" s="32">
        <f t="shared" ref="N1090:N1153" si="86">IF(I1090=0,"n/a",M1090/ABS(I1090))</f>
        <v>0.30677377333912287</v>
      </c>
      <c r="O1090" s="6" t="str">
        <f>IF(ABS(M1090)&lt;Overview!$B$6,"OK",IF(I1090=0,"REVIEW (zero base)",IF(ABS(M1090/ABS(I1090))&gt;=Overview!$B$5,"REVIEW","OK")))</f>
        <v>OK</v>
      </c>
      <c r="P1090" s="31">
        <f t="shared" ref="P1090:P1153" si="87">K1090-J1090</f>
        <v>1404</v>
      </c>
      <c r="Q1090" s="32">
        <f t="shared" ref="Q1090:Q1153" si="88">IF(J1090=0,"n/a",P1090/ABS(J1090))</f>
        <v>5.8315334773218146E-2</v>
      </c>
      <c r="R1090" s="6" t="str">
        <f>IF(ABS(P1090)&lt;Overview!$B$6,"OK",IF(J1090=0,"REVIEW (zero base)",IF(ABS(P1090/ABS(J1090))&gt;=Overview!$B$5,"REVIEW","OK")))</f>
        <v>OK</v>
      </c>
      <c r="S1090" s="33">
        <f t="shared" ref="S1090:S1153" si="89">IF(C1090="EXPENSES",ABS(M1090)+ROW()/1000000,0)</f>
        <v>5652.0010899999997</v>
      </c>
    </row>
    <row r="1091" spans="1:19" x14ac:dyDescent="0.2">
      <c r="A1091" s="17">
        <v>1089</v>
      </c>
      <c r="B1091" s="17" t="s">
        <v>171</v>
      </c>
      <c r="C1091" s="17" t="s">
        <v>338</v>
      </c>
      <c r="D1091" s="17" t="s">
        <v>55</v>
      </c>
      <c r="E1091" s="17" t="s">
        <v>99</v>
      </c>
      <c r="F1091" s="17" t="s">
        <v>341</v>
      </c>
      <c r="G1091" s="17" t="s">
        <v>344</v>
      </c>
      <c r="H1091" s="30">
        <v>99834</v>
      </c>
      <c r="I1091" s="30">
        <v>78767</v>
      </c>
      <c r="J1091" s="30">
        <v>101558</v>
      </c>
      <c r="K1091" s="30">
        <v>115848</v>
      </c>
      <c r="L1091" s="30">
        <v>118165</v>
      </c>
      <c r="M1091" s="31">
        <f t="shared" si="85"/>
        <v>22791</v>
      </c>
      <c r="N1091" s="32">
        <f t="shared" si="86"/>
        <v>0.28934706158670509</v>
      </c>
      <c r="O1091" s="6" t="str">
        <f>IF(ABS(M1091)&lt;Overview!$B$6,"OK",IF(I1091=0,"REVIEW (zero base)",IF(ABS(M1091/ABS(I1091))&gt;=Overview!$B$5,"REVIEW","OK")))</f>
        <v>OK</v>
      </c>
      <c r="P1091" s="31">
        <f t="shared" si="87"/>
        <v>14290</v>
      </c>
      <c r="Q1091" s="32">
        <f t="shared" si="88"/>
        <v>0.14070777289824535</v>
      </c>
      <c r="R1091" s="6" t="str">
        <f>IF(ABS(P1091)&lt;Overview!$B$6,"OK",IF(J1091=0,"REVIEW (zero base)",IF(ABS(P1091/ABS(J1091))&gt;=Overview!$B$5,"REVIEW","OK")))</f>
        <v>OK</v>
      </c>
      <c r="S1091" s="33">
        <f t="shared" si="89"/>
        <v>22791.001090999998</v>
      </c>
    </row>
    <row r="1092" spans="1:19" x14ac:dyDescent="0.2">
      <c r="A1092" s="17">
        <v>1090</v>
      </c>
      <c r="B1092" s="17" t="s">
        <v>171</v>
      </c>
      <c r="C1092" s="17" t="s">
        <v>338</v>
      </c>
      <c r="D1092" s="17" t="s">
        <v>55</v>
      </c>
      <c r="E1092" s="17" t="s">
        <v>99</v>
      </c>
      <c r="F1092" s="17" t="s">
        <v>364</v>
      </c>
      <c r="G1092" s="17" t="s">
        <v>379</v>
      </c>
      <c r="H1092" s="30">
        <v>1000</v>
      </c>
      <c r="I1092" s="30">
        <v>0</v>
      </c>
      <c r="J1092" s="30">
        <v>1000</v>
      </c>
      <c r="K1092" s="30">
        <v>0</v>
      </c>
      <c r="L1092" s="30">
        <v>0</v>
      </c>
      <c r="M1092" s="31">
        <f t="shared" si="85"/>
        <v>1000</v>
      </c>
      <c r="N1092" s="32" t="str">
        <f t="shared" si="86"/>
        <v>n/a</v>
      </c>
      <c r="O1092" s="6" t="str">
        <f>IF(ABS(M1092)&lt;Overview!$B$6,"OK",IF(I1092=0,"REVIEW (zero base)",IF(ABS(M1092/ABS(I1092))&gt;=Overview!$B$5,"REVIEW","OK")))</f>
        <v>OK</v>
      </c>
      <c r="P1092" s="31">
        <f t="shared" si="87"/>
        <v>-1000</v>
      </c>
      <c r="Q1092" s="32">
        <f t="shared" si="88"/>
        <v>-1</v>
      </c>
      <c r="R1092" s="6" t="str">
        <f>IF(ABS(P1092)&lt;Overview!$B$6,"OK",IF(J1092=0,"REVIEW (zero base)",IF(ABS(P1092/ABS(J1092))&gt;=Overview!$B$5,"REVIEW","OK")))</f>
        <v>OK</v>
      </c>
      <c r="S1092" s="33">
        <f t="shared" si="89"/>
        <v>1000.001092</v>
      </c>
    </row>
    <row r="1093" spans="1:19" x14ac:dyDescent="0.2">
      <c r="A1093" s="17">
        <v>1091</v>
      </c>
      <c r="B1093" s="17" t="s">
        <v>171</v>
      </c>
      <c r="C1093" s="17" t="s">
        <v>338</v>
      </c>
      <c r="D1093" s="17" t="s">
        <v>55</v>
      </c>
      <c r="E1093" s="17" t="s">
        <v>99</v>
      </c>
      <c r="F1093" s="17" t="s">
        <v>437</v>
      </c>
      <c r="G1093" s="17" t="s">
        <v>438</v>
      </c>
      <c r="H1093" s="30">
        <v>101581</v>
      </c>
      <c r="I1093" s="30">
        <v>8660</v>
      </c>
      <c r="J1093" s="30">
        <v>36547</v>
      </c>
      <c r="K1093" s="30">
        <v>249467</v>
      </c>
      <c r="L1093" s="30">
        <v>251213</v>
      </c>
      <c r="M1093" s="31">
        <f t="shared" si="85"/>
        <v>27887</v>
      </c>
      <c r="N1093" s="32">
        <f t="shared" si="86"/>
        <v>3.2202078521939952</v>
      </c>
      <c r="O1093" s="6" t="str">
        <f>IF(ABS(M1093)&lt;Overview!$B$6,"OK",IF(I1093=0,"REVIEW (zero base)",IF(ABS(M1093/ABS(I1093))&gt;=Overview!$B$5,"REVIEW","OK")))</f>
        <v>OK</v>
      </c>
      <c r="P1093" s="31">
        <f t="shared" si="87"/>
        <v>212920</v>
      </c>
      <c r="Q1093" s="32">
        <f t="shared" si="88"/>
        <v>5.8259227843598653</v>
      </c>
      <c r="R1093" s="6" t="str">
        <f>IF(ABS(P1093)&lt;Overview!$B$6,"OK",IF(J1093=0,"REVIEW (zero base)",IF(ABS(P1093/ABS(J1093))&gt;=Overview!$B$5,"REVIEW","OK")))</f>
        <v>OK</v>
      </c>
      <c r="S1093" s="33">
        <f t="shared" si="89"/>
        <v>27887.001092999999</v>
      </c>
    </row>
    <row r="1094" spans="1:19" x14ac:dyDescent="0.2">
      <c r="A1094" s="17">
        <v>1092</v>
      </c>
      <c r="B1094" s="17" t="s">
        <v>171</v>
      </c>
      <c r="C1094" s="17" t="s">
        <v>338</v>
      </c>
      <c r="D1094" s="17" t="s">
        <v>55</v>
      </c>
      <c r="E1094" s="17" t="s">
        <v>99</v>
      </c>
      <c r="F1094" s="17" t="s">
        <v>402</v>
      </c>
      <c r="G1094" s="17" t="s">
        <v>403</v>
      </c>
      <c r="H1094" s="30">
        <v>512871</v>
      </c>
      <c r="I1094" s="30">
        <v>590321</v>
      </c>
      <c r="J1094" s="30">
        <v>772119</v>
      </c>
      <c r="K1094" s="30">
        <v>750190</v>
      </c>
      <c r="L1094" s="30">
        <v>755441</v>
      </c>
      <c r="M1094" s="31">
        <f t="shared" si="85"/>
        <v>181798</v>
      </c>
      <c r="N1094" s="32">
        <f t="shared" si="86"/>
        <v>0.30796464974141186</v>
      </c>
      <c r="O1094" s="6" t="str">
        <f>IF(ABS(M1094)&lt;Overview!$B$6,"OK",IF(I1094=0,"REVIEW (zero base)",IF(ABS(M1094/ABS(I1094))&gt;=Overview!$B$5,"REVIEW","OK")))</f>
        <v>OK</v>
      </c>
      <c r="P1094" s="31">
        <f t="shared" si="87"/>
        <v>-21929</v>
      </c>
      <c r="Q1094" s="32">
        <f t="shared" si="88"/>
        <v>-2.840106253051667E-2</v>
      </c>
      <c r="R1094" s="6" t="str">
        <f>IF(ABS(P1094)&lt;Overview!$B$6,"OK",IF(J1094=0,"REVIEW (zero base)",IF(ABS(P1094/ABS(J1094))&gt;=Overview!$B$5,"REVIEW","OK")))</f>
        <v>OK</v>
      </c>
      <c r="S1094" s="33">
        <f t="shared" si="89"/>
        <v>181798.00109400001</v>
      </c>
    </row>
    <row r="1095" spans="1:19" x14ac:dyDescent="0.2">
      <c r="A1095" s="17">
        <v>1093</v>
      </c>
      <c r="B1095" s="17" t="s">
        <v>171</v>
      </c>
      <c r="C1095" s="17" t="s">
        <v>338</v>
      </c>
      <c r="D1095" s="17" t="s">
        <v>55</v>
      </c>
      <c r="E1095" s="17" t="s">
        <v>99</v>
      </c>
      <c r="F1095" s="17" t="s">
        <v>402</v>
      </c>
      <c r="G1095" s="17" t="s">
        <v>416</v>
      </c>
      <c r="H1095" s="30">
        <v>0</v>
      </c>
      <c r="I1095" s="30">
        <v>0</v>
      </c>
      <c r="J1095" s="30">
        <v>0</v>
      </c>
      <c r="K1095" s="30">
        <v>6572</v>
      </c>
      <c r="L1095" s="30">
        <v>6618</v>
      </c>
      <c r="M1095" s="31">
        <f t="shared" si="85"/>
        <v>0</v>
      </c>
      <c r="N1095" s="32" t="str">
        <f t="shared" si="86"/>
        <v>n/a</v>
      </c>
      <c r="O1095" s="6" t="str">
        <f>IF(ABS(M1095)&lt;Overview!$B$6,"OK",IF(I1095=0,"REVIEW (zero base)",IF(ABS(M1095/ABS(I1095))&gt;=Overview!$B$5,"REVIEW","OK")))</f>
        <v>OK</v>
      </c>
      <c r="P1095" s="31">
        <f t="shared" si="87"/>
        <v>6572</v>
      </c>
      <c r="Q1095" s="32" t="str">
        <f t="shared" si="88"/>
        <v>n/a</v>
      </c>
      <c r="R1095" s="6" t="str">
        <f>IF(ABS(P1095)&lt;Overview!$B$6,"OK",IF(J1095=0,"REVIEW (zero base)",IF(ABS(P1095/ABS(J1095))&gt;=Overview!$B$5,"REVIEW","OK")))</f>
        <v>OK</v>
      </c>
      <c r="S1095" s="33">
        <f t="shared" si="89"/>
        <v>1.0950000000000001E-3</v>
      </c>
    </row>
    <row r="1096" spans="1:19" x14ac:dyDescent="0.2">
      <c r="A1096" s="17">
        <v>1094</v>
      </c>
      <c r="B1096" s="17" t="s">
        <v>171</v>
      </c>
      <c r="C1096" s="17" t="s">
        <v>338</v>
      </c>
      <c r="D1096" s="17" t="s">
        <v>55</v>
      </c>
      <c r="E1096" s="17" t="s">
        <v>99</v>
      </c>
      <c r="F1096" s="17" t="s">
        <v>407</v>
      </c>
      <c r="G1096" s="17" t="s">
        <v>427</v>
      </c>
      <c r="H1096" s="30">
        <v>2739</v>
      </c>
      <c r="I1096" s="30">
        <v>3154</v>
      </c>
      <c r="J1096" s="30">
        <v>3400</v>
      </c>
      <c r="K1096" s="30">
        <v>3400</v>
      </c>
      <c r="L1096" s="30">
        <v>3400</v>
      </c>
      <c r="M1096" s="31">
        <f t="shared" si="85"/>
        <v>246</v>
      </c>
      <c r="N1096" s="32">
        <f t="shared" si="86"/>
        <v>7.7996195307545979E-2</v>
      </c>
      <c r="O1096" s="6" t="str">
        <f>IF(ABS(M1096)&lt;Overview!$B$6,"OK",IF(I1096=0,"REVIEW (zero base)",IF(ABS(M1096/ABS(I1096))&gt;=Overview!$B$5,"REVIEW","OK")))</f>
        <v>OK</v>
      </c>
      <c r="P1096" s="31">
        <f t="shared" si="87"/>
        <v>0</v>
      </c>
      <c r="Q1096" s="32">
        <f t="shared" si="88"/>
        <v>0</v>
      </c>
      <c r="R1096" s="6" t="str">
        <f>IF(ABS(P1096)&lt;Overview!$B$6,"OK",IF(J1096=0,"REVIEW (zero base)",IF(ABS(P1096/ABS(J1096))&gt;=Overview!$B$5,"REVIEW","OK")))</f>
        <v>OK</v>
      </c>
      <c r="S1096" s="33">
        <f t="shared" si="89"/>
        <v>246.00109599999999</v>
      </c>
    </row>
    <row r="1097" spans="1:19" x14ac:dyDescent="0.2">
      <c r="A1097" s="17">
        <v>1095</v>
      </c>
      <c r="B1097" s="17" t="s">
        <v>171</v>
      </c>
      <c r="C1097" s="17" t="s">
        <v>338</v>
      </c>
      <c r="D1097" s="17" t="s">
        <v>55</v>
      </c>
      <c r="E1097" s="17" t="s">
        <v>99</v>
      </c>
      <c r="F1097" s="17" t="s">
        <v>347</v>
      </c>
      <c r="G1097" s="17" t="s">
        <v>348</v>
      </c>
      <c r="H1097" s="30">
        <v>1588</v>
      </c>
      <c r="I1097" s="30">
        <v>1789</v>
      </c>
      <c r="J1097" s="30">
        <v>3000</v>
      </c>
      <c r="K1097" s="30">
        <v>1800</v>
      </c>
      <c r="L1097" s="30">
        <v>1813</v>
      </c>
      <c r="M1097" s="31">
        <f t="shared" si="85"/>
        <v>1211</v>
      </c>
      <c r="N1097" s="32">
        <f t="shared" si="86"/>
        <v>0.67691447736165455</v>
      </c>
      <c r="O1097" s="6" t="str">
        <f>IF(ABS(M1097)&lt;Overview!$B$6,"OK",IF(I1097=0,"REVIEW (zero base)",IF(ABS(M1097/ABS(I1097))&gt;=Overview!$B$5,"REVIEW","OK")))</f>
        <v>OK</v>
      </c>
      <c r="P1097" s="31">
        <f t="shared" si="87"/>
        <v>-1200</v>
      </c>
      <c r="Q1097" s="32">
        <f t="shared" si="88"/>
        <v>-0.4</v>
      </c>
      <c r="R1097" s="6" t="str">
        <f>IF(ABS(P1097)&lt;Overview!$B$6,"OK",IF(J1097=0,"REVIEW (zero base)",IF(ABS(P1097/ABS(J1097))&gt;=Overview!$B$5,"REVIEW","OK")))</f>
        <v>OK</v>
      </c>
      <c r="S1097" s="33">
        <f t="shared" si="89"/>
        <v>1211.0010970000001</v>
      </c>
    </row>
    <row r="1098" spans="1:19" x14ac:dyDescent="0.2">
      <c r="A1098" s="17">
        <v>1096</v>
      </c>
      <c r="B1098" s="17" t="s">
        <v>171</v>
      </c>
      <c r="C1098" s="17" t="s">
        <v>338</v>
      </c>
      <c r="D1098" s="17" t="s">
        <v>55</v>
      </c>
      <c r="E1098" s="17" t="s">
        <v>99</v>
      </c>
      <c r="F1098" s="17" t="s">
        <v>386</v>
      </c>
      <c r="G1098" s="17" t="s">
        <v>413</v>
      </c>
      <c r="H1098" s="30">
        <v>0</v>
      </c>
      <c r="I1098" s="30">
        <v>0</v>
      </c>
      <c r="J1098" s="30">
        <v>0</v>
      </c>
      <c r="K1098" s="30">
        <v>1800</v>
      </c>
      <c r="L1098" s="30">
        <v>1813</v>
      </c>
      <c r="M1098" s="31">
        <f t="shared" si="85"/>
        <v>0</v>
      </c>
      <c r="N1098" s="32" t="str">
        <f t="shared" si="86"/>
        <v>n/a</v>
      </c>
      <c r="O1098" s="6" t="str">
        <f>IF(ABS(M1098)&lt;Overview!$B$6,"OK",IF(I1098=0,"REVIEW (zero base)",IF(ABS(M1098/ABS(I1098))&gt;=Overview!$B$5,"REVIEW","OK")))</f>
        <v>OK</v>
      </c>
      <c r="P1098" s="31">
        <f t="shared" si="87"/>
        <v>1800</v>
      </c>
      <c r="Q1098" s="32" t="str">
        <f t="shared" si="88"/>
        <v>n/a</v>
      </c>
      <c r="R1098" s="6" t="str">
        <f>IF(ABS(P1098)&lt;Overview!$B$6,"OK",IF(J1098=0,"REVIEW (zero base)",IF(ABS(P1098/ABS(J1098))&gt;=Overview!$B$5,"REVIEW","OK")))</f>
        <v>OK</v>
      </c>
      <c r="S1098" s="33">
        <f t="shared" si="89"/>
        <v>1.098E-3</v>
      </c>
    </row>
    <row r="1099" spans="1:19" x14ac:dyDescent="0.2">
      <c r="A1099" s="17">
        <v>1097</v>
      </c>
      <c r="B1099" s="17" t="s">
        <v>171</v>
      </c>
      <c r="C1099" s="17" t="s">
        <v>338</v>
      </c>
      <c r="D1099" s="17" t="s">
        <v>55</v>
      </c>
      <c r="E1099" s="17" t="s">
        <v>99</v>
      </c>
      <c r="F1099" s="17" t="s">
        <v>386</v>
      </c>
      <c r="G1099" s="17" t="s">
        <v>387</v>
      </c>
      <c r="H1099" s="30">
        <v>3043</v>
      </c>
      <c r="I1099" s="30">
        <v>2293</v>
      </c>
      <c r="J1099" s="30">
        <v>2100</v>
      </c>
      <c r="K1099" s="30">
        <v>300</v>
      </c>
      <c r="L1099" s="30">
        <v>302</v>
      </c>
      <c r="M1099" s="31">
        <f t="shared" si="85"/>
        <v>-193</v>
      </c>
      <c r="N1099" s="32">
        <f t="shared" si="86"/>
        <v>-8.4169210641081557E-2</v>
      </c>
      <c r="O1099" s="6" t="str">
        <f>IF(ABS(M1099)&lt;Overview!$B$6,"OK",IF(I1099=0,"REVIEW (zero base)",IF(ABS(M1099/ABS(I1099))&gt;=Overview!$B$5,"REVIEW","OK")))</f>
        <v>OK</v>
      </c>
      <c r="P1099" s="31">
        <f t="shared" si="87"/>
        <v>-1800</v>
      </c>
      <c r="Q1099" s="32">
        <f t="shared" si="88"/>
        <v>-0.8571428571428571</v>
      </c>
      <c r="R1099" s="6" t="str">
        <f>IF(ABS(P1099)&lt;Overview!$B$6,"OK",IF(J1099=0,"REVIEW (zero base)",IF(ABS(P1099/ABS(J1099))&gt;=Overview!$B$5,"REVIEW","OK")))</f>
        <v>OK</v>
      </c>
      <c r="S1099" s="33">
        <f t="shared" si="89"/>
        <v>193.00109900000001</v>
      </c>
    </row>
    <row r="1100" spans="1:19" x14ac:dyDescent="0.2">
      <c r="A1100" s="17">
        <v>1098</v>
      </c>
      <c r="B1100" s="17" t="s">
        <v>171</v>
      </c>
      <c r="C1100" s="17" t="s">
        <v>338</v>
      </c>
      <c r="D1100" s="17" t="s">
        <v>55</v>
      </c>
      <c r="E1100" s="17" t="s">
        <v>99</v>
      </c>
      <c r="F1100" s="17" t="s">
        <v>411</v>
      </c>
      <c r="G1100" s="17" t="s">
        <v>412</v>
      </c>
      <c r="H1100" s="30">
        <v>1000</v>
      </c>
      <c r="I1100" s="30">
        <v>1625</v>
      </c>
      <c r="J1100" s="30">
        <v>1000</v>
      </c>
      <c r="K1100" s="30">
        <v>1500</v>
      </c>
      <c r="L1100" s="30">
        <v>1511</v>
      </c>
      <c r="M1100" s="31">
        <f t="shared" si="85"/>
        <v>-625</v>
      </c>
      <c r="N1100" s="32">
        <f t="shared" si="86"/>
        <v>-0.38461538461538464</v>
      </c>
      <c r="O1100" s="6" t="str">
        <f>IF(ABS(M1100)&lt;Overview!$B$6,"OK",IF(I1100=0,"REVIEW (zero base)",IF(ABS(M1100/ABS(I1100))&gt;=Overview!$B$5,"REVIEW","OK")))</f>
        <v>OK</v>
      </c>
      <c r="P1100" s="31">
        <f t="shared" si="87"/>
        <v>500</v>
      </c>
      <c r="Q1100" s="32">
        <f t="shared" si="88"/>
        <v>0.5</v>
      </c>
      <c r="R1100" s="6" t="str">
        <f>IF(ABS(P1100)&lt;Overview!$B$6,"OK",IF(J1100=0,"REVIEW (zero base)",IF(ABS(P1100/ABS(J1100))&gt;=Overview!$B$5,"REVIEW","OK")))</f>
        <v>OK</v>
      </c>
      <c r="S1100" s="33">
        <f t="shared" si="89"/>
        <v>625.00109999999995</v>
      </c>
    </row>
    <row r="1101" spans="1:19" x14ac:dyDescent="0.2">
      <c r="A1101" s="17">
        <v>1099</v>
      </c>
      <c r="B1101" s="17" t="s">
        <v>171</v>
      </c>
      <c r="C1101" s="17" t="s">
        <v>338</v>
      </c>
      <c r="D1101" s="17" t="s">
        <v>55</v>
      </c>
      <c r="E1101" s="17" t="s">
        <v>78</v>
      </c>
      <c r="F1101" s="17" t="s">
        <v>339</v>
      </c>
      <c r="G1101" s="17" t="s">
        <v>340</v>
      </c>
      <c r="H1101" s="30">
        <v>25737680</v>
      </c>
      <c r="I1101" s="30">
        <v>18995717</v>
      </c>
      <c r="J1101" s="30">
        <v>36519784</v>
      </c>
      <c r="K1101" s="30">
        <v>38765000</v>
      </c>
      <c r="L1101" s="30">
        <v>40509425</v>
      </c>
      <c r="M1101" s="31">
        <f t="shared" si="85"/>
        <v>17524067</v>
      </c>
      <c r="N1101" s="32">
        <f t="shared" si="86"/>
        <v>0.92252727285840275</v>
      </c>
      <c r="O1101" s="6" t="str">
        <f>IF(ABS(M1101)&lt;Overview!$B$6,"OK",IF(I1101=0,"REVIEW (zero base)",IF(ABS(M1101/ABS(I1101))&gt;=Overview!$B$5,"REVIEW","OK")))</f>
        <v>REVIEW</v>
      </c>
      <c r="P1101" s="31">
        <f t="shared" si="87"/>
        <v>2245216</v>
      </c>
      <c r="Q1101" s="32">
        <f t="shared" si="88"/>
        <v>6.147944358049872E-2</v>
      </c>
      <c r="R1101" s="6" t="str">
        <f>IF(ABS(P1101)&lt;Overview!$B$6,"OK",IF(J1101=0,"REVIEW (zero base)",IF(ABS(P1101/ABS(J1101))&gt;=Overview!$B$5,"REVIEW","OK")))</f>
        <v>OK</v>
      </c>
      <c r="S1101" s="33">
        <f t="shared" si="89"/>
        <v>17524067.001100998</v>
      </c>
    </row>
    <row r="1102" spans="1:19" x14ac:dyDescent="0.2">
      <c r="A1102" s="17">
        <v>1100</v>
      </c>
      <c r="B1102" s="17" t="s">
        <v>171</v>
      </c>
      <c r="C1102" s="17" t="s">
        <v>338</v>
      </c>
      <c r="D1102" s="17" t="s">
        <v>55</v>
      </c>
      <c r="E1102" s="17" t="s">
        <v>78</v>
      </c>
      <c r="F1102" s="17" t="s">
        <v>339</v>
      </c>
      <c r="G1102" s="17" t="s">
        <v>390</v>
      </c>
      <c r="H1102" s="30">
        <v>1641798</v>
      </c>
      <c r="I1102" s="30">
        <v>1627463</v>
      </c>
      <c r="J1102" s="30">
        <v>2095500</v>
      </c>
      <c r="K1102" s="30">
        <v>1960466</v>
      </c>
      <c r="L1102" s="30">
        <v>1960466</v>
      </c>
      <c r="M1102" s="31">
        <f t="shared" si="85"/>
        <v>468037</v>
      </c>
      <c r="N1102" s="32">
        <f t="shared" si="86"/>
        <v>0.28758687601500005</v>
      </c>
      <c r="O1102" s="6" t="str">
        <f>IF(ABS(M1102)&lt;Overview!$B$6,"OK",IF(I1102=0,"REVIEW (zero base)",IF(ABS(M1102/ABS(I1102))&gt;=Overview!$B$5,"REVIEW","OK")))</f>
        <v>REVIEW</v>
      </c>
      <c r="P1102" s="31">
        <f t="shared" si="87"/>
        <v>-135034</v>
      </c>
      <c r="Q1102" s="32">
        <f t="shared" si="88"/>
        <v>-6.4439990455738491E-2</v>
      </c>
      <c r="R1102" s="6" t="str">
        <f>IF(ABS(P1102)&lt;Overview!$B$6,"OK",IF(J1102=0,"REVIEW (zero base)",IF(ABS(P1102/ABS(J1102))&gt;=Overview!$B$5,"REVIEW","OK")))</f>
        <v>OK</v>
      </c>
      <c r="S1102" s="33">
        <f t="shared" si="89"/>
        <v>468037.00110200001</v>
      </c>
    </row>
    <row r="1103" spans="1:19" x14ac:dyDescent="0.2">
      <c r="A1103" s="17">
        <v>1101</v>
      </c>
      <c r="B1103" s="17" t="s">
        <v>171</v>
      </c>
      <c r="C1103" s="17" t="s">
        <v>338</v>
      </c>
      <c r="D1103" s="17" t="s">
        <v>55</v>
      </c>
      <c r="E1103" s="17" t="s">
        <v>78</v>
      </c>
      <c r="F1103" s="17" t="s">
        <v>339</v>
      </c>
      <c r="G1103" s="17" t="s">
        <v>498</v>
      </c>
      <c r="H1103" s="30">
        <v>313736</v>
      </c>
      <c r="I1103" s="30">
        <v>823945</v>
      </c>
      <c r="J1103" s="30">
        <v>260000</v>
      </c>
      <c r="K1103" s="30">
        <v>260000</v>
      </c>
      <c r="L1103" s="30">
        <v>260000</v>
      </c>
      <c r="M1103" s="31">
        <f t="shared" si="85"/>
        <v>-563945</v>
      </c>
      <c r="N1103" s="32">
        <f t="shared" si="86"/>
        <v>-0.6844449568842581</v>
      </c>
      <c r="O1103" s="6" t="str">
        <f>IF(ABS(M1103)&lt;Overview!$B$6,"OK",IF(I1103=0,"REVIEW (zero base)",IF(ABS(M1103/ABS(I1103))&gt;=Overview!$B$5,"REVIEW","OK")))</f>
        <v>REVIEW</v>
      </c>
      <c r="P1103" s="31">
        <f t="shared" si="87"/>
        <v>0</v>
      </c>
      <c r="Q1103" s="32">
        <f t="shared" si="88"/>
        <v>0</v>
      </c>
      <c r="R1103" s="6" t="str">
        <f>IF(ABS(P1103)&lt;Overview!$B$6,"OK",IF(J1103=0,"REVIEW (zero base)",IF(ABS(P1103/ABS(J1103))&gt;=Overview!$B$5,"REVIEW","OK")))</f>
        <v>OK</v>
      </c>
      <c r="S1103" s="33">
        <f t="shared" si="89"/>
        <v>563945.00110300002</v>
      </c>
    </row>
    <row r="1104" spans="1:19" x14ac:dyDescent="0.2">
      <c r="A1104" s="17">
        <v>1102</v>
      </c>
      <c r="B1104" s="17" t="s">
        <v>171</v>
      </c>
      <c r="C1104" s="17" t="s">
        <v>338</v>
      </c>
      <c r="D1104" s="17" t="s">
        <v>55</v>
      </c>
      <c r="E1104" s="17" t="s">
        <v>78</v>
      </c>
      <c r="F1104" s="17" t="s">
        <v>339</v>
      </c>
      <c r="G1104" s="17" t="s">
        <v>499</v>
      </c>
      <c r="H1104" s="30">
        <v>0</v>
      </c>
      <c r="I1104" s="30">
        <v>0</v>
      </c>
      <c r="J1104" s="30">
        <v>0</v>
      </c>
      <c r="K1104" s="30">
        <v>85000</v>
      </c>
      <c r="L1104" s="30">
        <v>85000</v>
      </c>
      <c r="M1104" s="31">
        <f t="shared" si="85"/>
        <v>0</v>
      </c>
      <c r="N1104" s="32" t="str">
        <f t="shared" si="86"/>
        <v>n/a</v>
      </c>
      <c r="O1104" s="6" t="str">
        <f>IF(ABS(M1104)&lt;Overview!$B$6,"OK",IF(I1104=0,"REVIEW (zero base)",IF(ABS(M1104/ABS(I1104))&gt;=Overview!$B$5,"REVIEW","OK")))</f>
        <v>OK</v>
      </c>
      <c r="P1104" s="31">
        <f t="shared" si="87"/>
        <v>85000</v>
      </c>
      <c r="Q1104" s="32" t="str">
        <f t="shared" si="88"/>
        <v>n/a</v>
      </c>
      <c r="R1104" s="6" t="str">
        <f>IF(ABS(P1104)&lt;Overview!$B$6,"OK",IF(J1104=0,"REVIEW (zero base)",IF(ABS(P1104/ABS(J1104))&gt;=Overview!$B$5,"REVIEW","OK")))</f>
        <v>OK</v>
      </c>
      <c r="S1104" s="33">
        <f t="shared" si="89"/>
        <v>1.1039999999999999E-3</v>
      </c>
    </row>
    <row r="1105" spans="1:19" x14ac:dyDescent="0.2">
      <c r="A1105" s="17">
        <v>1103</v>
      </c>
      <c r="B1105" s="17" t="s">
        <v>171</v>
      </c>
      <c r="C1105" s="17" t="s">
        <v>338</v>
      </c>
      <c r="D1105" s="17" t="s">
        <v>55</v>
      </c>
      <c r="E1105" s="17" t="s">
        <v>78</v>
      </c>
      <c r="F1105" s="17" t="s">
        <v>339</v>
      </c>
      <c r="G1105" s="17" t="s">
        <v>391</v>
      </c>
      <c r="H1105" s="30">
        <v>2169081</v>
      </c>
      <c r="I1105" s="30">
        <v>1415261</v>
      </c>
      <c r="J1105" s="30">
        <v>0</v>
      </c>
      <c r="K1105" s="30">
        <v>0</v>
      </c>
      <c r="L1105" s="30">
        <v>0</v>
      </c>
      <c r="M1105" s="31">
        <f t="shared" si="85"/>
        <v>-1415261</v>
      </c>
      <c r="N1105" s="32">
        <f t="shared" si="86"/>
        <v>-1</v>
      </c>
      <c r="O1105" s="6" t="str">
        <f>IF(ABS(M1105)&lt;Overview!$B$6,"OK",IF(I1105=0,"REVIEW (zero base)",IF(ABS(M1105/ABS(I1105))&gt;=Overview!$B$5,"REVIEW","OK")))</f>
        <v>REVIEW</v>
      </c>
      <c r="P1105" s="31">
        <f t="shared" si="87"/>
        <v>0</v>
      </c>
      <c r="Q1105" s="32" t="str">
        <f t="shared" si="88"/>
        <v>n/a</v>
      </c>
      <c r="R1105" s="6" t="str">
        <f>IF(ABS(P1105)&lt;Overview!$B$6,"OK",IF(J1105=0,"REVIEW (zero base)",IF(ABS(P1105/ABS(J1105))&gt;=Overview!$B$5,"REVIEW","OK")))</f>
        <v>OK</v>
      </c>
      <c r="S1105" s="33">
        <f t="shared" si="89"/>
        <v>1415261.001105</v>
      </c>
    </row>
    <row r="1106" spans="1:19" x14ac:dyDescent="0.2">
      <c r="A1106" s="17">
        <v>1104</v>
      </c>
      <c r="B1106" s="17" t="s">
        <v>171</v>
      </c>
      <c r="C1106" s="17" t="s">
        <v>338</v>
      </c>
      <c r="D1106" s="17" t="s">
        <v>55</v>
      </c>
      <c r="E1106" s="17" t="s">
        <v>78</v>
      </c>
      <c r="F1106" s="17" t="s">
        <v>339</v>
      </c>
      <c r="G1106" s="17" t="s">
        <v>500</v>
      </c>
      <c r="H1106" s="30">
        <v>15410</v>
      </c>
      <c r="I1106" s="30">
        <v>49805</v>
      </c>
      <c r="J1106" s="30">
        <v>0</v>
      </c>
      <c r="K1106" s="30">
        <v>0</v>
      </c>
      <c r="L1106" s="30">
        <v>0</v>
      </c>
      <c r="M1106" s="31">
        <f t="shared" si="85"/>
        <v>-49805</v>
      </c>
      <c r="N1106" s="32">
        <f t="shared" si="86"/>
        <v>-1</v>
      </c>
      <c r="O1106" s="6" t="str">
        <f>IF(ABS(M1106)&lt;Overview!$B$6,"OK",IF(I1106=0,"REVIEW (zero base)",IF(ABS(M1106/ABS(I1106))&gt;=Overview!$B$5,"REVIEW","OK")))</f>
        <v>OK</v>
      </c>
      <c r="P1106" s="31">
        <f t="shared" si="87"/>
        <v>0</v>
      </c>
      <c r="Q1106" s="32" t="str">
        <f t="shared" si="88"/>
        <v>n/a</v>
      </c>
      <c r="R1106" s="6" t="str">
        <f>IF(ABS(P1106)&lt;Overview!$B$6,"OK",IF(J1106=0,"REVIEW (zero base)",IF(ABS(P1106/ABS(J1106))&gt;=Overview!$B$5,"REVIEW","OK")))</f>
        <v>OK</v>
      </c>
      <c r="S1106" s="33">
        <f t="shared" si="89"/>
        <v>49805.001106000003</v>
      </c>
    </row>
    <row r="1107" spans="1:19" x14ac:dyDescent="0.2">
      <c r="A1107" s="17">
        <v>1105</v>
      </c>
      <c r="B1107" s="17" t="s">
        <v>171</v>
      </c>
      <c r="C1107" s="17" t="s">
        <v>338</v>
      </c>
      <c r="D1107" s="17" t="s">
        <v>55</v>
      </c>
      <c r="E1107" s="17" t="s">
        <v>78</v>
      </c>
      <c r="F1107" s="17" t="s">
        <v>339</v>
      </c>
      <c r="G1107" s="17" t="s">
        <v>392</v>
      </c>
      <c r="H1107" s="30">
        <v>3062426</v>
      </c>
      <c r="I1107" s="30">
        <v>2183873</v>
      </c>
      <c r="J1107" s="30">
        <v>0</v>
      </c>
      <c r="K1107" s="30">
        <v>0</v>
      </c>
      <c r="L1107" s="30">
        <v>0</v>
      </c>
      <c r="M1107" s="31">
        <f t="shared" si="85"/>
        <v>-2183873</v>
      </c>
      <c r="N1107" s="32">
        <f t="shared" si="86"/>
        <v>-1</v>
      </c>
      <c r="O1107" s="6" t="str">
        <f>IF(ABS(M1107)&lt;Overview!$B$6,"OK",IF(I1107=0,"REVIEW (zero base)",IF(ABS(M1107/ABS(I1107))&gt;=Overview!$B$5,"REVIEW","OK")))</f>
        <v>REVIEW</v>
      </c>
      <c r="P1107" s="31">
        <f t="shared" si="87"/>
        <v>0</v>
      </c>
      <c r="Q1107" s="32" t="str">
        <f t="shared" si="88"/>
        <v>n/a</v>
      </c>
      <c r="R1107" s="6" t="str">
        <f>IF(ABS(P1107)&lt;Overview!$B$6,"OK",IF(J1107=0,"REVIEW (zero base)",IF(ABS(P1107/ABS(J1107))&gt;=Overview!$B$5,"REVIEW","OK")))</f>
        <v>OK</v>
      </c>
      <c r="S1107" s="33">
        <f t="shared" si="89"/>
        <v>2183873.0011069998</v>
      </c>
    </row>
    <row r="1108" spans="1:19" x14ac:dyDescent="0.2">
      <c r="A1108" s="17">
        <v>1106</v>
      </c>
      <c r="B1108" s="17" t="s">
        <v>171</v>
      </c>
      <c r="C1108" s="17" t="s">
        <v>338</v>
      </c>
      <c r="D1108" s="17" t="s">
        <v>55</v>
      </c>
      <c r="E1108" s="17" t="s">
        <v>78</v>
      </c>
      <c r="F1108" s="17" t="s">
        <v>339</v>
      </c>
      <c r="G1108" s="17" t="s">
        <v>501</v>
      </c>
      <c r="H1108" s="30">
        <v>51</v>
      </c>
      <c r="I1108" s="30">
        <v>0</v>
      </c>
      <c r="J1108" s="30">
        <v>0</v>
      </c>
      <c r="K1108" s="30">
        <v>0</v>
      </c>
      <c r="L1108" s="30">
        <v>0</v>
      </c>
      <c r="M1108" s="31">
        <f t="shared" si="85"/>
        <v>0</v>
      </c>
      <c r="N1108" s="32" t="str">
        <f t="shared" si="86"/>
        <v>n/a</v>
      </c>
      <c r="O1108" s="6" t="str">
        <f>IF(ABS(M1108)&lt;Overview!$B$6,"OK",IF(I1108=0,"REVIEW (zero base)",IF(ABS(M1108/ABS(I1108))&gt;=Overview!$B$5,"REVIEW","OK")))</f>
        <v>OK</v>
      </c>
      <c r="P1108" s="31">
        <f t="shared" si="87"/>
        <v>0</v>
      </c>
      <c r="Q1108" s="32" t="str">
        <f t="shared" si="88"/>
        <v>n/a</v>
      </c>
      <c r="R1108" s="6" t="str">
        <f>IF(ABS(P1108)&lt;Overview!$B$6,"OK",IF(J1108=0,"REVIEW (zero base)",IF(ABS(P1108/ABS(J1108))&gt;=Overview!$B$5,"REVIEW","OK")))</f>
        <v>OK</v>
      </c>
      <c r="S1108" s="33">
        <f t="shared" si="89"/>
        <v>1.108E-3</v>
      </c>
    </row>
    <row r="1109" spans="1:19" x14ac:dyDescent="0.2">
      <c r="A1109" s="17">
        <v>1107</v>
      </c>
      <c r="B1109" s="17" t="s">
        <v>171</v>
      </c>
      <c r="C1109" s="17" t="s">
        <v>338</v>
      </c>
      <c r="D1109" s="17" t="s">
        <v>55</v>
      </c>
      <c r="E1109" s="17" t="s">
        <v>78</v>
      </c>
      <c r="F1109" s="17" t="s">
        <v>339</v>
      </c>
      <c r="G1109" s="17" t="s">
        <v>393</v>
      </c>
      <c r="H1109" s="30">
        <v>1439323</v>
      </c>
      <c r="I1109" s="30">
        <v>1291331</v>
      </c>
      <c r="J1109" s="30">
        <v>3500000</v>
      </c>
      <c r="K1109" s="30">
        <v>1450000</v>
      </c>
      <c r="L1109" s="30">
        <v>1450000</v>
      </c>
      <c r="M1109" s="31">
        <f t="shared" si="85"/>
        <v>2208669</v>
      </c>
      <c r="N1109" s="32">
        <f t="shared" si="86"/>
        <v>1.7103817688880698</v>
      </c>
      <c r="O1109" s="6" t="str">
        <f>IF(ABS(M1109)&lt;Overview!$B$6,"OK",IF(I1109=0,"REVIEW (zero base)",IF(ABS(M1109/ABS(I1109))&gt;=Overview!$B$5,"REVIEW","OK")))</f>
        <v>REVIEW</v>
      </c>
      <c r="P1109" s="31">
        <f t="shared" si="87"/>
        <v>-2050000</v>
      </c>
      <c r="Q1109" s="32">
        <f t="shared" si="88"/>
        <v>-0.58571428571428574</v>
      </c>
      <c r="R1109" s="6" t="str">
        <f>IF(ABS(P1109)&lt;Overview!$B$6,"OK",IF(J1109=0,"REVIEW (zero base)",IF(ABS(P1109/ABS(J1109))&gt;=Overview!$B$5,"REVIEW","OK")))</f>
        <v>REVIEW</v>
      </c>
      <c r="S1109" s="33">
        <f t="shared" si="89"/>
        <v>2208669.0011089998</v>
      </c>
    </row>
    <row r="1110" spans="1:19" x14ac:dyDescent="0.2">
      <c r="A1110" s="17">
        <v>1108</v>
      </c>
      <c r="B1110" s="17" t="s">
        <v>171</v>
      </c>
      <c r="C1110" s="17" t="s">
        <v>338</v>
      </c>
      <c r="D1110" s="17" t="s">
        <v>55</v>
      </c>
      <c r="E1110" s="17" t="s">
        <v>78</v>
      </c>
      <c r="F1110" s="17" t="s">
        <v>339</v>
      </c>
      <c r="G1110" s="17" t="s">
        <v>502</v>
      </c>
      <c r="H1110" s="30">
        <v>780714</v>
      </c>
      <c r="I1110" s="30">
        <v>388888</v>
      </c>
      <c r="J1110" s="30">
        <v>0</v>
      </c>
      <c r="K1110" s="30">
        <v>0</v>
      </c>
      <c r="L1110" s="30">
        <v>0</v>
      </c>
      <c r="M1110" s="31">
        <f t="shared" si="85"/>
        <v>-388888</v>
      </c>
      <c r="N1110" s="32">
        <f t="shared" si="86"/>
        <v>-1</v>
      </c>
      <c r="O1110" s="6" t="str">
        <f>IF(ABS(M1110)&lt;Overview!$B$6,"OK",IF(I1110=0,"REVIEW (zero base)",IF(ABS(M1110/ABS(I1110))&gt;=Overview!$B$5,"REVIEW","OK")))</f>
        <v>REVIEW</v>
      </c>
      <c r="P1110" s="31">
        <f t="shared" si="87"/>
        <v>0</v>
      </c>
      <c r="Q1110" s="32" t="str">
        <f t="shared" si="88"/>
        <v>n/a</v>
      </c>
      <c r="R1110" s="6" t="str">
        <f>IF(ABS(P1110)&lt;Overview!$B$6,"OK",IF(J1110=0,"REVIEW (zero base)",IF(ABS(P1110/ABS(J1110))&gt;=Overview!$B$5,"REVIEW","OK")))</f>
        <v>OK</v>
      </c>
      <c r="S1110" s="33">
        <f t="shared" si="89"/>
        <v>388888.00111000001</v>
      </c>
    </row>
    <row r="1111" spans="1:19" x14ac:dyDescent="0.2">
      <c r="A1111" s="17">
        <v>1109</v>
      </c>
      <c r="B1111" s="17" t="s">
        <v>171</v>
      </c>
      <c r="C1111" s="17" t="s">
        <v>338</v>
      </c>
      <c r="D1111" s="17" t="s">
        <v>55</v>
      </c>
      <c r="E1111" s="17" t="s">
        <v>78</v>
      </c>
      <c r="F1111" s="17" t="s">
        <v>339</v>
      </c>
      <c r="G1111" s="17" t="s">
        <v>503</v>
      </c>
      <c r="H1111" s="30">
        <v>1278764</v>
      </c>
      <c r="I1111" s="30">
        <v>1095715</v>
      </c>
      <c r="J1111" s="30">
        <v>1375118</v>
      </c>
      <c r="K1111" s="30">
        <v>1582362</v>
      </c>
      <c r="L1111" s="30">
        <v>1621921</v>
      </c>
      <c r="M1111" s="31">
        <f t="shared" si="85"/>
        <v>279403</v>
      </c>
      <c r="N1111" s="32">
        <f t="shared" si="86"/>
        <v>0.2549960528057022</v>
      </c>
      <c r="O1111" s="6" t="str">
        <f>IF(ABS(M1111)&lt;Overview!$B$6,"OK",IF(I1111=0,"REVIEW (zero base)",IF(ABS(M1111/ABS(I1111))&gt;=Overview!$B$5,"REVIEW","OK")))</f>
        <v>REVIEW</v>
      </c>
      <c r="P1111" s="31">
        <f t="shared" si="87"/>
        <v>207244</v>
      </c>
      <c r="Q1111" s="32">
        <f t="shared" si="88"/>
        <v>0.15070997543483541</v>
      </c>
      <c r="R1111" s="6" t="str">
        <f>IF(ABS(P1111)&lt;Overview!$B$6,"OK",IF(J1111=0,"REVIEW (zero base)",IF(ABS(P1111/ABS(J1111))&gt;=Overview!$B$5,"REVIEW","OK")))</f>
        <v>OK</v>
      </c>
      <c r="S1111" s="33">
        <f t="shared" si="89"/>
        <v>279403.00111100002</v>
      </c>
    </row>
    <row r="1112" spans="1:19" x14ac:dyDescent="0.2">
      <c r="A1112" s="17">
        <v>1110</v>
      </c>
      <c r="B1112" s="17" t="s">
        <v>171</v>
      </c>
      <c r="C1112" s="17" t="s">
        <v>338</v>
      </c>
      <c r="D1112" s="17" t="s">
        <v>55</v>
      </c>
      <c r="E1112" s="17" t="s">
        <v>78</v>
      </c>
      <c r="F1112" s="17" t="s">
        <v>339</v>
      </c>
      <c r="G1112" s="17" t="s">
        <v>394</v>
      </c>
      <c r="H1112" s="30">
        <v>1657726</v>
      </c>
      <c r="I1112" s="30">
        <v>1404628</v>
      </c>
      <c r="J1112" s="30">
        <v>0</v>
      </c>
      <c r="K1112" s="30">
        <v>0</v>
      </c>
      <c r="L1112" s="30">
        <v>0</v>
      </c>
      <c r="M1112" s="31">
        <f t="shared" si="85"/>
        <v>-1404628</v>
      </c>
      <c r="N1112" s="32">
        <f t="shared" si="86"/>
        <v>-1</v>
      </c>
      <c r="O1112" s="6" t="str">
        <f>IF(ABS(M1112)&lt;Overview!$B$6,"OK",IF(I1112=0,"REVIEW (zero base)",IF(ABS(M1112/ABS(I1112))&gt;=Overview!$B$5,"REVIEW","OK")))</f>
        <v>REVIEW</v>
      </c>
      <c r="P1112" s="31">
        <f t="shared" si="87"/>
        <v>0</v>
      </c>
      <c r="Q1112" s="32" t="str">
        <f t="shared" si="88"/>
        <v>n/a</v>
      </c>
      <c r="R1112" s="6" t="str">
        <f>IF(ABS(P1112)&lt;Overview!$B$6,"OK",IF(J1112=0,"REVIEW (zero base)",IF(ABS(P1112/ABS(J1112))&gt;=Overview!$B$5,"REVIEW","OK")))</f>
        <v>OK</v>
      </c>
      <c r="S1112" s="33">
        <f t="shared" si="89"/>
        <v>1404628.0011120001</v>
      </c>
    </row>
    <row r="1113" spans="1:19" x14ac:dyDescent="0.2">
      <c r="A1113" s="17">
        <v>1111</v>
      </c>
      <c r="B1113" s="17" t="s">
        <v>171</v>
      </c>
      <c r="C1113" s="17" t="s">
        <v>338</v>
      </c>
      <c r="D1113" s="17" t="s">
        <v>55</v>
      </c>
      <c r="E1113" s="17" t="s">
        <v>78</v>
      </c>
      <c r="F1113" s="17" t="s">
        <v>339</v>
      </c>
      <c r="G1113" s="17" t="s">
        <v>395</v>
      </c>
      <c r="H1113" s="30">
        <v>2225737</v>
      </c>
      <c r="I1113" s="30">
        <v>1542371</v>
      </c>
      <c r="J1113" s="30">
        <v>2347291</v>
      </c>
      <c r="K1113" s="30">
        <v>2536966</v>
      </c>
      <c r="L1113" s="30">
        <v>2651129</v>
      </c>
      <c r="M1113" s="31">
        <f t="shared" si="85"/>
        <v>804920</v>
      </c>
      <c r="N1113" s="32">
        <f t="shared" si="86"/>
        <v>0.52187184536016307</v>
      </c>
      <c r="O1113" s="6" t="str">
        <f>IF(ABS(M1113)&lt;Overview!$B$6,"OK",IF(I1113=0,"REVIEW (zero base)",IF(ABS(M1113/ABS(I1113))&gt;=Overview!$B$5,"REVIEW","OK")))</f>
        <v>REVIEW</v>
      </c>
      <c r="P1113" s="31">
        <f t="shared" si="87"/>
        <v>189675</v>
      </c>
      <c r="Q1113" s="32">
        <f t="shared" si="88"/>
        <v>8.0805916266879566E-2</v>
      </c>
      <c r="R1113" s="6" t="str">
        <f>IF(ABS(P1113)&lt;Overview!$B$6,"OK",IF(J1113=0,"REVIEW (zero base)",IF(ABS(P1113/ABS(J1113))&gt;=Overview!$B$5,"REVIEW","OK")))</f>
        <v>OK</v>
      </c>
      <c r="S1113" s="33">
        <f t="shared" si="89"/>
        <v>804920.00111299998</v>
      </c>
    </row>
    <row r="1114" spans="1:19" x14ac:dyDescent="0.2">
      <c r="A1114" s="17">
        <v>1112</v>
      </c>
      <c r="B1114" s="17" t="s">
        <v>171</v>
      </c>
      <c r="C1114" s="17" t="s">
        <v>338</v>
      </c>
      <c r="D1114" s="17" t="s">
        <v>55</v>
      </c>
      <c r="E1114" s="17" t="s">
        <v>78</v>
      </c>
      <c r="F1114" s="17" t="s">
        <v>339</v>
      </c>
      <c r="G1114" s="17" t="s">
        <v>436</v>
      </c>
      <c r="H1114" s="30">
        <v>222409</v>
      </c>
      <c r="I1114" s="30">
        <v>199224</v>
      </c>
      <c r="J1114" s="30">
        <v>264056</v>
      </c>
      <c r="K1114" s="30">
        <v>141963</v>
      </c>
      <c r="L1114" s="30">
        <v>141963</v>
      </c>
      <c r="M1114" s="31">
        <f t="shared" si="85"/>
        <v>64832</v>
      </c>
      <c r="N1114" s="32">
        <f t="shared" si="86"/>
        <v>0.32542263984258923</v>
      </c>
      <c r="O1114" s="6" t="str">
        <f>IF(ABS(M1114)&lt;Overview!$B$6,"OK",IF(I1114=0,"REVIEW (zero base)",IF(ABS(M1114/ABS(I1114))&gt;=Overview!$B$5,"REVIEW","OK")))</f>
        <v>OK</v>
      </c>
      <c r="P1114" s="31">
        <f t="shared" si="87"/>
        <v>-122093</v>
      </c>
      <c r="Q1114" s="32">
        <f t="shared" si="88"/>
        <v>-0.46237540521707515</v>
      </c>
      <c r="R1114" s="6" t="str">
        <f>IF(ABS(P1114)&lt;Overview!$B$6,"OK",IF(J1114=0,"REVIEW (zero base)",IF(ABS(P1114/ABS(J1114))&gt;=Overview!$B$5,"REVIEW","OK")))</f>
        <v>OK</v>
      </c>
      <c r="S1114" s="33">
        <f t="shared" si="89"/>
        <v>64832.001113999999</v>
      </c>
    </row>
    <row r="1115" spans="1:19" x14ac:dyDescent="0.2">
      <c r="A1115" s="17">
        <v>1113</v>
      </c>
      <c r="B1115" s="17" t="s">
        <v>171</v>
      </c>
      <c r="C1115" s="17" t="s">
        <v>338</v>
      </c>
      <c r="D1115" s="17" t="s">
        <v>55</v>
      </c>
      <c r="E1115" s="17" t="s">
        <v>78</v>
      </c>
      <c r="F1115" s="17" t="s">
        <v>339</v>
      </c>
      <c r="G1115" s="17" t="s">
        <v>424</v>
      </c>
      <c r="H1115" s="30">
        <v>40910</v>
      </c>
      <c r="I1115" s="30">
        <v>32029</v>
      </c>
      <c r="J1115" s="30">
        <v>49920</v>
      </c>
      <c r="K1115" s="30">
        <v>49920</v>
      </c>
      <c r="L1115" s="30">
        <v>49920</v>
      </c>
      <c r="M1115" s="31">
        <f t="shared" si="85"/>
        <v>17891</v>
      </c>
      <c r="N1115" s="32">
        <f t="shared" si="86"/>
        <v>0.55858753005089135</v>
      </c>
      <c r="O1115" s="6" t="str">
        <f>IF(ABS(M1115)&lt;Overview!$B$6,"OK",IF(I1115=0,"REVIEW (zero base)",IF(ABS(M1115/ABS(I1115))&gt;=Overview!$B$5,"REVIEW","OK")))</f>
        <v>OK</v>
      </c>
      <c r="P1115" s="31">
        <f t="shared" si="87"/>
        <v>0</v>
      </c>
      <c r="Q1115" s="32">
        <f t="shared" si="88"/>
        <v>0</v>
      </c>
      <c r="R1115" s="6" t="str">
        <f>IF(ABS(P1115)&lt;Overview!$B$6,"OK",IF(J1115=0,"REVIEW (zero base)",IF(ABS(P1115/ABS(J1115))&gt;=Overview!$B$5,"REVIEW","OK")))</f>
        <v>OK</v>
      </c>
      <c r="S1115" s="33">
        <f t="shared" si="89"/>
        <v>17891.001114999999</v>
      </c>
    </row>
    <row r="1116" spans="1:19" x14ac:dyDescent="0.2">
      <c r="A1116" s="17">
        <v>1114</v>
      </c>
      <c r="B1116" s="17" t="s">
        <v>171</v>
      </c>
      <c r="C1116" s="17" t="s">
        <v>338</v>
      </c>
      <c r="D1116" s="17" t="s">
        <v>55</v>
      </c>
      <c r="E1116" s="17" t="s">
        <v>78</v>
      </c>
      <c r="F1116" s="17" t="s">
        <v>339</v>
      </c>
      <c r="G1116" s="17" t="s">
        <v>425</v>
      </c>
      <c r="H1116" s="30">
        <v>100569</v>
      </c>
      <c r="I1116" s="30">
        <v>73704</v>
      </c>
      <c r="J1116" s="30">
        <v>111384</v>
      </c>
      <c r="K1116" s="30">
        <v>111384</v>
      </c>
      <c r="L1116" s="30">
        <v>111384</v>
      </c>
      <c r="M1116" s="31">
        <f t="shared" si="85"/>
        <v>37680</v>
      </c>
      <c r="N1116" s="32">
        <f t="shared" si="86"/>
        <v>0.51123412569195703</v>
      </c>
      <c r="O1116" s="6" t="str">
        <f>IF(ABS(M1116)&lt;Overview!$B$6,"OK",IF(I1116=0,"REVIEW (zero base)",IF(ABS(M1116/ABS(I1116))&gt;=Overview!$B$5,"REVIEW","OK")))</f>
        <v>OK</v>
      </c>
      <c r="P1116" s="31">
        <f t="shared" si="87"/>
        <v>0</v>
      </c>
      <c r="Q1116" s="32">
        <f t="shared" si="88"/>
        <v>0</v>
      </c>
      <c r="R1116" s="6" t="str">
        <f>IF(ABS(P1116)&lt;Overview!$B$6,"OK",IF(J1116=0,"REVIEW (zero base)",IF(ABS(P1116/ABS(J1116))&gt;=Overview!$B$5,"REVIEW","OK")))</f>
        <v>OK</v>
      </c>
      <c r="S1116" s="33">
        <f t="shared" si="89"/>
        <v>37680.001115999999</v>
      </c>
    </row>
    <row r="1117" spans="1:19" x14ac:dyDescent="0.2">
      <c r="A1117" s="17">
        <v>1115</v>
      </c>
      <c r="B1117" s="17" t="s">
        <v>171</v>
      </c>
      <c r="C1117" s="17" t="s">
        <v>338</v>
      </c>
      <c r="D1117" s="17" t="s">
        <v>55</v>
      </c>
      <c r="E1117" s="17" t="s">
        <v>78</v>
      </c>
      <c r="F1117" s="17" t="s">
        <v>341</v>
      </c>
      <c r="G1117" s="17" t="s">
        <v>342</v>
      </c>
      <c r="H1117" s="30">
        <v>558943</v>
      </c>
      <c r="I1117" s="30">
        <v>505490</v>
      </c>
      <c r="J1117" s="30">
        <v>523692</v>
      </c>
      <c r="K1117" s="30">
        <v>523692</v>
      </c>
      <c r="L1117" s="30">
        <v>523692</v>
      </c>
      <c r="M1117" s="31">
        <f t="shared" si="85"/>
        <v>18202</v>
      </c>
      <c r="N1117" s="32">
        <f t="shared" si="86"/>
        <v>3.6008625294268924E-2</v>
      </c>
      <c r="O1117" s="6" t="str">
        <f>IF(ABS(M1117)&lt;Overview!$B$6,"OK",IF(I1117=0,"REVIEW (zero base)",IF(ABS(M1117/ABS(I1117))&gt;=Overview!$B$5,"REVIEW","OK")))</f>
        <v>OK</v>
      </c>
      <c r="P1117" s="31">
        <f t="shared" si="87"/>
        <v>0</v>
      </c>
      <c r="Q1117" s="32">
        <f t="shared" si="88"/>
        <v>0</v>
      </c>
      <c r="R1117" s="6" t="str">
        <f>IF(ABS(P1117)&lt;Overview!$B$6,"OK",IF(J1117=0,"REVIEW (zero base)",IF(ABS(P1117/ABS(J1117))&gt;=Overview!$B$5,"REVIEW","OK")))</f>
        <v>OK</v>
      </c>
      <c r="S1117" s="33">
        <f t="shared" si="89"/>
        <v>18202.001117</v>
      </c>
    </row>
    <row r="1118" spans="1:19" x14ac:dyDescent="0.2">
      <c r="A1118" s="17">
        <v>1116</v>
      </c>
      <c r="B1118" s="17" t="s">
        <v>171</v>
      </c>
      <c r="C1118" s="17" t="s">
        <v>338</v>
      </c>
      <c r="D1118" s="17" t="s">
        <v>55</v>
      </c>
      <c r="E1118" s="17" t="s">
        <v>78</v>
      </c>
      <c r="F1118" s="17" t="s">
        <v>341</v>
      </c>
      <c r="G1118" s="17" t="s">
        <v>406</v>
      </c>
      <c r="H1118" s="30">
        <v>1500</v>
      </c>
      <c r="I1118" s="30">
        <v>2000</v>
      </c>
      <c r="J1118" s="30">
        <v>0</v>
      </c>
      <c r="K1118" s="30">
        <v>0</v>
      </c>
      <c r="L1118" s="30">
        <v>0</v>
      </c>
      <c r="M1118" s="31">
        <f t="shared" si="85"/>
        <v>-2000</v>
      </c>
      <c r="N1118" s="32">
        <f t="shared" si="86"/>
        <v>-1</v>
      </c>
      <c r="O1118" s="6" t="str">
        <f>IF(ABS(M1118)&lt;Overview!$B$6,"OK",IF(I1118=0,"REVIEW (zero base)",IF(ABS(M1118/ABS(I1118))&gt;=Overview!$B$5,"REVIEW","OK")))</f>
        <v>OK</v>
      </c>
      <c r="P1118" s="31">
        <f t="shared" si="87"/>
        <v>0</v>
      </c>
      <c r="Q1118" s="32" t="str">
        <f t="shared" si="88"/>
        <v>n/a</v>
      </c>
      <c r="R1118" s="6" t="str">
        <f>IF(ABS(P1118)&lt;Overview!$B$6,"OK",IF(J1118=0,"REVIEW (zero base)",IF(ABS(P1118/ABS(J1118))&gt;=Overview!$B$5,"REVIEW","OK")))</f>
        <v>OK</v>
      </c>
      <c r="S1118" s="33">
        <f t="shared" si="89"/>
        <v>2000.0011179999999</v>
      </c>
    </row>
    <row r="1119" spans="1:19" x14ac:dyDescent="0.2">
      <c r="A1119" s="17">
        <v>1117</v>
      </c>
      <c r="B1119" s="17" t="s">
        <v>171</v>
      </c>
      <c r="C1119" s="17" t="s">
        <v>338</v>
      </c>
      <c r="D1119" s="17" t="s">
        <v>55</v>
      </c>
      <c r="E1119" s="17" t="s">
        <v>78</v>
      </c>
      <c r="F1119" s="17" t="s">
        <v>341</v>
      </c>
      <c r="G1119" s="17" t="s">
        <v>375</v>
      </c>
      <c r="H1119" s="30">
        <v>384402</v>
      </c>
      <c r="I1119" s="30">
        <v>398506</v>
      </c>
      <c r="J1119" s="30">
        <v>442650</v>
      </c>
      <c r="K1119" s="30">
        <v>442650</v>
      </c>
      <c r="L1119" s="30">
        <v>442650</v>
      </c>
      <c r="M1119" s="31">
        <f t="shared" si="85"/>
        <v>44144</v>
      </c>
      <c r="N1119" s="32">
        <f t="shared" si="86"/>
        <v>0.11077373991859596</v>
      </c>
      <c r="O1119" s="6" t="str">
        <f>IF(ABS(M1119)&lt;Overview!$B$6,"OK",IF(I1119=0,"REVIEW (zero base)",IF(ABS(M1119/ABS(I1119))&gt;=Overview!$B$5,"REVIEW","OK")))</f>
        <v>OK</v>
      </c>
      <c r="P1119" s="31">
        <f t="shared" si="87"/>
        <v>0</v>
      </c>
      <c r="Q1119" s="32">
        <f t="shared" si="88"/>
        <v>0</v>
      </c>
      <c r="R1119" s="6" t="str">
        <f>IF(ABS(P1119)&lt;Overview!$B$6,"OK",IF(J1119=0,"REVIEW (zero base)",IF(ABS(P1119/ABS(J1119))&gt;=Overview!$B$5,"REVIEW","OK")))</f>
        <v>OK</v>
      </c>
      <c r="S1119" s="33">
        <f t="shared" si="89"/>
        <v>44144.001119</v>
      </c>
    </row>
    <row r="1120" spans="1:19" x14ac:dyDescent="0.2">
      <c r="A1120" s="17">
        <v>1118</v>
      </c>
      <c r="B1120" s="17" t="s">
        <v>171</v>
      </c>
      <c r="C1120" s="17" t="s">
        <v>338</v>
      </c>
      <c r="D1120" s="17" t="s">
        <v>55</v>
      </c>
      <c r="E1120" s="17" t="s">
        <v>78</v>
      </c>
      <c r="F1120" s="17" t="s">
        <v>341</v>
      </c>
      <c r="G1120" s="17" t="s">
        <v>376</v>
      </c>
      <c r="H1120" s="30">
        <v>27901711</v>
      </c>
      <c r="I1120" s="30">
        <v>27693212</v>
      </c>
      <c r="J1120" s="30">
        <v>30690292</v>
      </c>
      <c r="K1120" s="30">
        <v>32397111</v>
      </c>
      <c r="L1120" s="30">
        <v>34091480</v>
      </c>
      <c r="M1120" s="31">
        <f t="shared" si="85"/>
        <v>2997080</v>
      </c>
      <c r="N1120" s="32">
        <f t="shared" si="86"/>
        <v>0.10822435476245948</v>
      </c>
      <c r="O1120" s="6" t="str">
        <f>IF(ABS(M1120)&lt;Overview!$B$6,"OK",IF(I1120=0,"REVIEW (zero base)",IF(ABS(M1120/ABS(I1120))&gt;=Overview!$B$5,"REVIEW","OK")))</f>
        <v>REVIEW</v>
      </c>
      <c r="P1120" s="31">
        <f t="shared" si="87"/>
        <v>1706819</v>
      </c>
      <c r="Q1120" s="32">
        <f t="shared" si="88"/>
        <v>5.5614296533900688E-2</v>
      </c>
      <c r="R1120" s="6" t="str">
        <f>IF(ABS(P1120)&lt;Overview!$B$6,"OK",IF(J1120=0,"REVIEW (zero base)",IF(ABS(P1120/ABS(J1120))&gt;=Overview!$B$5,"REVIEW","OK")))</f>
        <v>OK</v>
      </c>
      <c r="S1120" s="33">
        <f t="shared" si="89"/>
        <v>2997080.0011200001</v>
      </c>
    </row>
    <row r="1121" spans="1:19" x14ac:dyDescent="0.2">
      <c r="A1121" s="17">
        <v>1119</v>
      </c>
      <c r="B1121" s="17" t="s">
        <v>171</v>
      </c>
      <c r="C1121" s="17" t="s">
        <v>338</v>
      </c>
      <c r="D1121" s="17" t="s">
        <v>55</v>
      </c>
      <c r="E1121" s="17" t="s">
        <v>78</v>
      </c>
      <c r="F1121" s="17" t="s">
        <v>341</v>
      </c>
      <c r="G1121" s="17" t="s">
        <v>504</v>
      </c>
      <c r="H1121" s="30">
        <v>62724</v>
      </c>
      <c r="I1121" s="30">
        <v>66175</v>
      </c>
      <c r="J1121" s="30">
        <v>66000</v>
      </c>
      <c r="K1121" s="30">
        <v>0</v>
      </c>
      <c r="L1121" s="30">
        <v>0</v>
      </c>
      <c r="M1121" s="31">
        <f t="shared" si="85"/>
        <v>-175</v>
      </c>
      <c r="N1121" s="32">
        <f t="shared" si="86"/>
        <v>-2.6445032111824707E-3</v>
      </c>
      <c r="O1121" s="6" t="str">
        <f>IF(ABS(M1121)&lt;Overview!$B$6,"OK",IF(I1121=0,"REVIEW (zero base)",IF(ABS(M1121/ABS(I1121))&gt;=Overview!$B$5,"REVIEW","OK")))</f>
        <v>OK</v>
      </c>
      <c r="P1121" s="31">
        <f t="shared" si="87"/>
        <v>-66000</v>
      </c>
      <c r="Q1121" s="32">
        <f t="shared" si="88"/>
        <v>-1</v>
      </c>
      <c r="R1121" s="6" t="str">
        <f>IF(ABS(P1121)&lt;Overview!$B$6,"OK",IF(J1121=0,"REVIEW (zero base)",IF(ABS(P1121/ABS(J1121))&gt;=Overview!$B$5,"REVIEW","OK")))</f>
        <v>OK</v>
      </c>
      <c r="S1121" s="33">
        <f t="shared" si="89"/>
        <v>175.00112100000001</v>
      </c>
    </row>
    <row r="1122" spans="1:19" x14ac:dyDescent="0.2">
      <c r="A1122" s="17">
        <v>1120</v>
      </c>
      <c r="B1122" s="17" t="s">
        <v>171</v>
      </c>
      <c r="C1122" s="17" t="s">
        <v>338</v>
      </c>
      <c r="D1122" s="17" t="s">
        <v>55</v>
      </c>
      <c r="E1122" s="17" t="s">
        <v>78</v>
      </c>
      <c r="F1122" s="17" t="s">
        <v>341</v>
      </c>
      <c r="G1122" s="17" t="s">
        <v>343</v>
      </c>
      <c r="H1122" s="30">
        <v>967384</v>
      </c>
      <c r="I1122" s="30">
        <v>932305</v>
      </c>
      <c r="J1122" s="30">
        <v>926548</v>
      </c>
      <c r="K1122" s="30">
        <v>938638</v>
      </c>
      <c r="L1122" s="30">
        <v>948024</v>
      </c>
      <c r="M1122" s="31">
        <f t="shared" si="85"/>
        <v>-5757</v>
      </c>
      <c r="N1122" s="32">
        <f t="shared" si="86"/>
        <v>-6.175017832147205E-3</v>
      </c>
      <c r="O1122" s="6" t="str">
        <f>IF(ABS(M1122)&lt;Overview!$B$6,"OK",IF(I1122=0,"REVIEW (zero base)",IF(ABS(M1122/ABS(I1122))&gt;=Overview!$B$5,"REVIEW","OK")))</f>
        <v>OK</v>
      </c>
      <c r="P1122" s="31">
        <f t="shared" si="87"/>
        <v>12090</v>
      </c>
      <c r="Q1122" s="32">
        <f t="shared" si="88"/>
        <v>1.3048433540410211E-2</v>
      </c>
      <c r="R1122" s="6" t="str">
        <f>IF(ABS(P1122)&lt;Overview!$B$6,"OK",IF(J1122=0,"REVIEW (zero base)",IF(ABS(P1122/ABS(J1122))&gt;=Overview!$B$5,"REVIEW","OK")))</f>
        <v>OK</v>
      </c>
      <c r="S1122" s="33">
        <f t="shared" si="89"/>
        <v>5757.0011219999997</v>
      </c>
    </row>
    <row r="1123" spans="1:19" x14ac:dyDescent="0.2">
      <c r="A1123" s="17">
        <v>1121</v>
      </c>
      <c r="B1123" s="17" t="s">
        <v>171</v>
      </c>
      <c r="C1123" s="17" t="s">
        <v>338</v>
      </c>
      <c r="D1123" s="17" t="s">
        <v>55</v>
      </c>
      <c r="E1123" s="17" t="s">
        <v>78</v>
      </c>
      <c r="F1123" s="17" t="s">
        <v>341</v>
      </c>
      <c r="G1123" s="17" t="s">
        <v>439</v>
      </c>
      <c r="H1123" s="30">
        <v>0</v>
      </c>
      <c r="I1123" s="30">
        <v>0</v>
      </c>
      <c r="J1123" s="30">
        <v>0</v>
      </c>
      <c r="K1123" s="30">
        <v>0</v>
      </c>
      <c r="L1123" s="30">
        <v>0</v>
      </c>
      <c r="M1123" s="31">
        <f t="shared" si="85"/>
        <v>0</v>
      </c>
      <c r="N1123" s="32" t="str">
        <f t="shared" si="86"/>
        <v>n/a</v>
      </c>
      <c r="O1123" s="6" t="str">
        <f>IF(ABS(M1123)&lt;Overview!$B$6,"OK",IF(I1123=0,"REVIEW (zero base)",IF(ABS(M1123/ABS(I1123))&gt;=Overview!$B$5,"REVIEW","OK")))</f>
        <v>OK</v>
      </c>
      <c r="P1123" s="31">
        <f t="shared" si="87"/>
        <v>0</v>
      </c>
      <c r="Q1123" s="32" t="str">
        <f t="shared" si="88"/>
        <v>n/a</v>
      </c>
      <c r="R1123" s="6" t="str">
        <f>IF(ABS(P1123)&lt;Overview!$B$6,"OK",IF(J1123=0,"REVIEW (zero base)",IF(ABS(P1123/ABS(J1123))&gt;=Overview!$B$5,"REVIEW","OK")))</f>
        <v>OK</v>
      </c>
      <c r="S1123" s="33">
        <f t="shared" si="89"/>
        <v>1.1230000000000001E-3</v>
      </c>
    </row>
    <row r="1124" spans="1:19" x14ac:dyDescent="0.2">
      <c r="A1124" s="17">
        <v>1122</v>
      </c>
      <c r="B1124" s="17" t="s">
        <v>171</v>
      </c>
      <c r="C1124" s="17" t="s">
        <v>338</v>
      </c>
      <c r="D1124" s="17" t="s">
        <v>55</v>
      </c>
      <c r="E1124" s="17" t="s">
        <v>78</v>
      </c>
      <c r="F1124" s="17" t="s">
        <v>341</v>
      </c>
      <c r="G1124" s="17" t="s">
        <v>378</v>
      </c>
      <c r="H1124" s="30">
        <v>310584</v>
      </c>
      <c r="I1124" s="30">
        <v>303000</v>
      </c>
      <c r="J1124" s="30">
        <v>334646</v>
      </c>
      <c r="K1124" s="30">
        <v>354120</v>
      </c>
      <c r="L1124" s="30">
        <v>369808</v>
      </c>
      <c r="M1124" s="31">
        <f t="shared" si="85"/>
        <v>31646</v>
      </c>
      <c r="N1124" s="32">
        <f t="shared" si="86"/>
        <v>0.10444224422442244</v>
      </c>
      <c r="O1124" s="6" t="str">
        <f>IF(ABS(M1124)&lt;Overview!$B$6,"OK",IF(I1124=0,"REVIEW (zero base)",IF(ABS(M1124/ABS(I1124))&gt;=Overview!$B$5,"REVIEW","OK")))</f>
        <v>OK</v>
      </c>
      <c r="P1124" s="31">
        <f t="shared" si="87"/>
        <v>19474</v>
      </c>
      <c r="Q1124" s="32">
        <f t="shared" si="88"/>
        <v>5.8192836609432058E-2</v>
      </c>
      <c r="R1124" s="6" t="str">
        <f>IF(ABS(P1124)&lt;Overview!$B$6,"OK",IF(J1124=0,"REVIEW (zero base)",IF(ABS(P1124/ABS(J1124))&gt;=Overview!$B$5,"REVIEW","OK")))</f>
        <v>OK</v>
      </c>
      <c r="S1124" s="33">
        <f t="shared" si="89"/>
        <v>31646.001123999999</v>
      </c>
    </row>
    <row r="1125" spans="1:19" x14ac:dyDescent="0.2">
      <c r="A1125" s="17">
        <v>1123</v>
      </c>
      <c r="B1125" s="17" t="s">
        <v>171</v>
      </c>
      <c r="C1125" s="17" t="s">
        <v>338</v>
      </c>
      <c r="D1125" s="17" t="s">
        <v>55</v>
      </c>
      <c r="E1125" s="17" t="s">
        <v>78</v>
      </c>
      <c r="F1125" s="17" t="s">
        <v>341</v>
      </c>
      <c r="G1125" s="17" t="s">
        <v>344</v>
      </c>
      <c r="H1125" s="30">
        <v>6154016</v>
      </c>
      <c r="I1125" s="30">
        <v>5616136</v>
      </c>
      <c r="J1125" s="30">
        <v>4258740</v>
      </c>
      <c r="K1125" s="30">
        <v>4184261</v>
      </c>
      <c r="L1125" s="30">
        <v>4267946</v>
      </c>
      <c r="M1125" s="31">
        <f t="shared" si="85"/>
        <v>-1357396</v>
      </c>
      <c r="N1125" s="32">
        <f t="shared" si="86"/>
        <v>-0.24169571392145775</v>
      </c>
      <c r="O1125" s="6" t="str">
        <f>IF(ABS(M1125)&lt;Overview!$B$6,"OK",IF(I1125=0,"REVIEW (zero base)",IF(ABS(M1125/ABS(I1125))&gt;=Overview!$B$5,"REVIEW","OK")))</f>
        <v>REVIEW</v>
      </c>
      <c r="P1125" s="31">
        <f t="shared" si="87"/>
        <v>-74479</v>
      </c>
      <c r="Q1125" s="32">
        <f t="shared" si="88"/>
        <v>-1.7488505990034611E-2</v>
      </c>
      <c r="R1125" s="6" t="str">
        <f>IF(ABS(P1125)&lt;Overview!$B$6,"OK",IF(J1125=0,"REVIEW (zero base)",IF(ABS(P1125/ABS(J1125))&gt;=Overview!$B$5,"REVIEW","OK")))</f>
        <v>OK</v>
      </c>
      <c r="S1125" s="33">
        <f t="shared" si="89"/>
        <v>1357396.001125</v>
      </c>
    </row>
    <row r="1126" spans="1:19" x14ac:dyDescent="0.2">
      <c r="A1126" s="17">
        <v>1124</v>
      </c>
      <c r="B1126" s="17" t="s">
        <v>171</v>
      </c>
      <c r="C1126" s="17" t="s">
        <v>338</v>
      </c>
      <c r="D1126" s="17" t="s">
        <v>55</v>
      </c>
      <c r="E1126" s="17" t="s">
        <v>78</v>
      </c>
      <c r="F1126" s="17" t="s">
        <v>440</v>
      </c>
      <c r="G1126" s="17" t="s">
        <v>441</v>
      </c>
      <c r="H1126" s="30">
        <v>0</v>
      </c>
      <c r="I1126" s="30">
        <v>0</v>
      </c>
      <c r="J1126" s="30">
        <v>0</v>
      </c>
      <c r="K1126" s="30">
        <v>47014</v>
      </c>
      <c r="L1126" s="30">
        <v>47343</v>
      </c>
      <c r="M1126" s="31">
        <f t="shared" si="85"/>
        <v>0</v>
      </c>
      <c r="N1126" s="32" t="str">
        <f t="shared" si="86"/>
        <v>n/a</v>
      </c>
      <c r="O1126" s="6" t="str">
        <f>IF(ABS(M1126)&lt;Overview!$B$6,"OK",IF(I1126=0,"REVIEW (zero base)",IF(ABS(M1126/ABS(I1126))&gt;=Overview!$B$5,"REVIEW","OK")))</f>
        <v>OK</v>
      </c>
      <c r="P1126" s="31">
        <f t="shared" si="87"/>
        <v>47014</v>
      </c>
      <c r="Q1126" s="32" t="str">
        <f t="shared" si="88"/>
        <v>n/a</v>
      </c>
      <c r="R1126" s="6" t="str">
        <f>IF(ABS(P1126)&lt;Overview!$B$6,"OK",IF(J1126=0,"REVIEW (zero base)",IF(ABS(P1126/ABS(J1126))&gt;=Overview!$B$5,"REVIEW","OK")))</f>
        <v>OK</v>
      </c>
      <c r="S1126" s="33">
        <f t="shared" si="89"/>
        <v>1.126E-3</v>
      </c>
    </row>
    <row r="1127" spans="1:19" x14ac:dyDescent="0.2">
      <c r="A1127" s="17">
        <v>1125</v>
      </c>
      <c r="B1127" s="17" t="s">
        <v>171</v>
      </c>
      <c r="C1127" s="17" t="s">
        <v>338</v>
      </c>
      <c r="D1127" s="17" t="s">
        <v>55</v>
      </c>
      <c r="E1127" s="17" t="s">
        <v>78</v>
      </c>
      <c r="F1127" s="17" t="s">
        <v>440</v>
      </c>
      <c r="G1127" s="17" t="s">
        <v>505</v>
      </c>
      <c r="H1127" s="30">
        <v>25915</v>
      </c>
      <c r="I1127" s="30">
        <v>29769</v>
      </c>
      <c r="J1127" s="30">
        <v>30224</v>
      </c>
      <c r="K1127" s="30">
        <v>0</v>
      </c>
      <c r="L1127" s="30">
        <v>0</v>
      </c>
      <c r="M1127" s="31">
        <f t="shared" si="85"/>
        <v>455</v>
      </c>
      <c r="N1127" s="32">
        <f t="shared" si="86"/>
        <v>1.528435620947966E-2</v>
      </c>
      <c r="O1127" s="6" t="str">
        <f>IF(ABS(M1127)&lt;Overview!$B$6,"OK",IF(I1127=0,"REVIEW (zero base)",IF(ABS(M1127/ABS(I1127))&gt;=Overview!$B$5,"REVIEW","OK")))</f>
        <v>OK</v>
      </c>
      <c r="P1127" s="31">
        <f t="shared" si="87"/>
        <v>-30224</v>
      </c>
      <c r="Q1127" s="32">
        <f t="shared" si="88"/>
        <v>-1</v>
      </c>
      <c r="R1127" s="6" t="str">
        <f>IF(ABS(P1127)&lt;Overview!$B$6,"OK",IF(J1127=0,"REVIEW (zero base)",IF(ABS(P1127/ABS(J1127))&gt;=Overview!$B$5,"REVIEW","OK")))</f>
        <v>OK</v>
      </c>
      <c r="S1127" s="33">
        <f t="shared" si="89"/>
        <v>455.001127</v>
      </c>
    </row>
    <row r="1128" spans="1:19" x14ac:dyDescent="0.2">
      <c r="A1128" s="17">
        <v>1126</v>
      </c>
      <c r="B1128" s="17" t="s">
        <v>171</v>
      </c>
      <c r="C1128" s="17" t="s">
        <v>338</v>
      </c>
      <c r="D1128" s="17" t="s">
        <v>55</v>
      </c>
      <c r="E1128" s="17" t="s">
        <v>78</v>
      </c>
      <c r="F1128" s="17" t="s">
        <v>440</v>
      </c>
      <c r="G1128" s="17" t="s">
        <v>506</v>
      </c>
      <c r="H1128" s="30">
        <v>40291</v>
      </c>
      <c r="I1128" s="30">
        <v>38698</v>
      </c>
      <c r="J1128" s="30">
        <v>30000</v>
      </c>
      <c r="K1128" s="30">
        <v>30000</v>
      </c>
      <c r="L1128" s="30">
        <v>30210</v>
      </c>
      <c r="M1128" s="31">
        <f t="shared" si="85"/>
        <v>-8698</v>
      </c>
      <c r="N1128" s="32">
        <f t="shared" si="86"/>
        <v>-0.22476613778489846</v>
      </c>
      <c r="O1128" s="6" t="str">
        <f>IF(ABS(M1128)&lt;Overview!$B$6,"OK",IF(I1128=0,"REVIEW (zero base)",IF(ABS(M1128/ABS(I1128))&gt;=Overview!$B$5,"REVIEW","OK")))</f>
        <v>OK</v>
      </c>
      <c r="P1128" s="31">
        <f t="shared" si="87"/>
        <v>0</v>
      </c>
      <c r="Q1128" s="32">
        <f t="shared" si="88"/>
        <v>0</v>
      </c>
      <c r="R1128" s="6" t="str">
        <f>IF(ABS(P1128)&lt;Overview!$B$6,"OK",IF(J1128=0,"REVIEW (zero base)",IF(ABS(P1128/ABS(J1128))&gt;=Overview!$B$5,"REVIEW","OK")))</f>
        <v>OK</v>
      </c>
      <c r="S1128" s="33">
        <f t="shared" si="89"/>
        <v>8698.0011279999999</v>
      </c>
    </row>
    <row r="1129" spans="1:19" x14ac:dyDescent="0.2">
      <c r="A1129" s="17">
        <v>1127</v>
      </c>
      <c r="B1129" s="17" t="s">
        <v>171</v>
      </c>
      <c r="C1129" s="17" t="s">
        <v>338</v>
      </c>
      <c r="D1129" s="17" t="s">
        <v>55</v>
      </c>
      <c r="E1129" s="17" t="s">
        <v>78</v>
      </c>
      <c r="F1129" s="17" t="s">
        <v>364</v>
      </c>
      <c r="G1129" s="17" t="s">
        <v>379</v>
      </c>
      <c r="H1129" s="30">
        <v>95100</v>
      </c>
      <c r="I1129" s="30">
        <v>26610</v>
      </c>
      <c r="J1129" s="30">
        <v>232392</v>
      </c>
      <c r="K1129" s="30">
        <v>20004</v>
      </c>
      <c r="L1129" s="30">
        <v>20144</v>
      </c>
      <c r="M1129" s="31">
        <f t="shared" si="85"/>
        <v>205782</v>
      </c>
      <c r="N1129" s="32">
        <f t="shared" si="86"/>
        <v>7.7332581736189399</v>
      </c>
      <c r="O1129" s="6" t="str">
        <f>IF(ABS(M1129)&lt;Overview!$B$6,"OK",IF(I1129=0,"REVIEW (zero base)",IF(ABS(M1129/ABS(I1129))&gt;=Overview!$B$5,"REVIEW","OK")))</f>
        <v>OK</v>
      </c>
      <c r="P1129" s="31">
        <f t="shared" si="87"/>
        <v>-212388</v>
      </c>
      <c r="Q1129" s="32">
        <f t="shared" si="88"/>
        <v>-0.91392130538056382</v>
      </c>
      <c r="R1129" s="6" t="str">
        <f>IF(ABS(P1129)&lt;Overview!$B$6,"OK",IF(J1129=0,"REVIEW (zero base)",IF(ABS(P1129/ABS(J1129))&gt;=Overview!$B$5,"REVIEW","OK")))</f>
        <v>OK</v>
      </c>
      <c r="S1129" s="33">
        <f t="shared" si="89"/>
        <v>205782.00112900001</v>
      </c>
    </row>
    <row r="1130" spans="1:19" x14ac:dyDescent="0.2">
      <c r="A1130" s="17">
        <v>1128</v>
      </c>
      <c r="B1130" s="17" t="s">
        <v>171</v>
      </c>
      <c r="C1130" s="17" t="s">
        <v>338</v>
      </c>
      <c r="D1130" s="17" t="s">
        <v>55</v>
      </c>
      <c r="E1130" s="17" t="s">
        <v>78</v>
      </c>
      <c r="F1130" s="17" t="s">
        <v>364</v>
      </c>
      <c r="G1130" s="17" t="s">
        <v>383</v>
      </c>
      <c r="H1130" s="30">
        <v>3010</v>
      </c>
      <c r="I1130" s="30">
        <v>2994</v>
      </c>
      <c r="J1130" s="30">
        <v>3600</v>
      </c>
      <c r="K1130" s="30">
        <v>3000</v>
      </c>
      <c r="L1130" s="30">
        <v>3000</v>
      </c>
      <c r="M1130" s="31">
        <f t="shared" si="85"/>
        <v>606</v>
      </c>
      <c r="N1130" s="32">
        <f t="shared" si="86"/>
        <v>0.20240480961923848</v>
      </c>
      <c r="O1130" s="6" t="str">
        <f>IF(ABS(M1130)&lt;Overview!$B$6,"OK",IF(I1130=0,"REVIEW (zero base)",IF(ABS(M1130/ABS(I1130))&gt;=Overview!$B$5,"REVIEW","OK")))</f>
        <v>OK</v>
      </c>
      <c r="P1130" s="31">
        <f t="shared" si="87"/>
        <v>-600</v>
      </c>
      <c r="Q1130" s="32">
        <f t="shared" si="88"/>
        <v>-0.16666666666666666</v>
      </c>
      <c r="R1130" s="6" t="str">
        <f>IF(ABS(P1130)&lt;Overview!$B$6,"OK",IF(J1130=0,"REVIEW (zero base)",IF(ABS(P1130/ABS(J1130))&gt;=Overview!$B$5,"REVIEW","OK")))</f>
        <v>OK</v>
      </c>
      <c r="S1130" s="33">
        <f t="shared" si="89"/>
        <v>606.00112999999999</v>
      </c>
    </row>
    <row r="1131" spans="1:19" x14ac:dyDescent="0.2">
      <c r="A1131" s="17">
        <v>1129</v>
      </c>
      <c r="B1131" s="17" t="s">
        <v>171</v>
      </c>
      <c r="C1131" s="17" t="s">
        <v>338</v>
      </c>
      <c r="D1131" s="17" t="s">
        <v>55</v>
      </c>
      <c r="E1131" s="17" t="s">
        <v>78</v>
      </c>
      <c r="F1131" s="17" t="s">
        <v>364</v>
      </c>
      <c r="G1131" s="17" t="s">
        <v>398</v>
      </c>
      <c r="H1131" s="30">
        <v>11470</v>
      </c>
      <c r="I1131" s="30">
        <v>10434</v>
      </c>
      <c r="J1131" s="30">
        <v>9545</v>
      </c>
      <c r="K1131" s="30">
        <v>9944</v>
      </c>
      <c r="L1131" s="30">
        <v>10014</v>
      </c>
      <c r="M1131" s="31">
        <f t="shared" si="85"/>
        <v>-889</v>
      </c>
      <c r="N1131" s="32">
        <f t="shared" si="86"/>
        <v>-8.5202223500095847E-2</v>
      </c>
      <c r="O1131" s="6" t="str">
        <f>IF(ABS(M1131)&lt;Overview!$B$6,"OK",IF(I1131=0,"REVIEW (zero base)",IF(ABS(M1131/ABS(I1131))&gt;=Overview!$B$5,"REVIEW","OK")))</f>
        <v>OK</v>
      </c>
      <c r="P1131" s="31">
        <f t="shared" si="87"/>
        <v>399</v>
      </c>
      <c r="Q1131" s="32">
        <f t="shared" si="88"/>
        <v>4.1801990570979573E-2</v>
      </c>
      <c r="R1131" s="6" t="str">
        <f>IF(ABS(P1131)&lt;Overview!$B$6,"OK",IF(J1131=0,"REVIEW (zero base)",IF(ABS(P1131/ABS(J1131))&gt;=Overview!$B$5,"REVIEW","OK")))</f>
        <v>OK</v>
      </c>
      <c r="S1131" s="33">
        <f t="shared" si="89"/>
        <v>889.00113099999999</v>
      </c>
    </row>
    <row r="1132" spans="1:19" x14ac:dyDescent="0.2">
      <c r="A1132" s="17">
        <v>1130</v>
      </c>
      <c r="B1132" s="17" t="s">
        <v>171</v>
      </c>
      <c r="C1132" s="17" t="s">
        <v>338</v>
      </c>
      <c r="D1132" s="17" t="s">
        <v>55</v>
      </c>
      <c r="E1132" s="17" t="s">
        <v>78</v>
      </c>
      <c r="F1132" s="17" t="s">
        <v>364</v>
      </c>
      <c r="G1132" s="17" t="s">
        <v>443</v>
      </c>
      <c r="H1132" s="30">
        <v>0</v>
      </c>
      <c r="I1132" s="30">
        <v>0</v>
      </c>
      <c r="J1132" s="30">
        <v>0</v>
      </c>
      <c r="K1132" s="30">
        <v>4000</v>
      </c>
      <c r="L1132" s="30">
        <v>4028</v>
      </c>
      <c r="M1132" s="31">
        <f t="shared" si="85"/>
        <v>0</v>
      </c>
      <c r="N1132" s="32" t="str">
        <f t="shared" si="86"/>
        <v>n/a</v>
      </c>
      <c r="O1132" s="6" t="str">
        <f>IF(ABS(M1132)&lt;Overview!$B$6,"OK",IF(I1132=0,"REVIEW (zero base)",IF(ABS(M1132/ABS(I1132))&gt;=Overview!$B$5,"REVIEW","OK")))</f>
        <v>OK</v>
      </c>
      <c r="P1132" s="31">
        <f t="shared" si="87"/>
        <v>4000</v>
      </c>
      <c r="Q1132" s="32" t="str">
        <f t="shared" si="88"/>
        <v>n/a</v>
      </c>
      <c r="R1132" s="6" t="str">
        <f>IF(ABS(P1132)&lt;Overview!$B$6,"OK",IF(J1132=0,"REVIEW (zero base)",IF(ABS(P1132/ABS(J1132))&gt;=Overview!$B$5,"REVIEW","OK")))</f>
        <v>OK</v>
      </c>
      <c r="S1132" s="33">
        <f t="shared" si="89"/>
        <v>1.132E-3</v>
      </c>
    </row>
    <row r="1133" spans="1:19" x14ac:dyDescent="0.2">
      <c r="A1133" s="17">
        <v>1131</v>
      </c>
      <c r="B1133" s="17" t="s">
        <v>171</v>
      </c>
      <c r="C1133" s="17" t="s">
        <v>338</v>
      </c>
      <c r="D1133" s="17" t="s">
        <v>55</v>
      </c>
      <c r="E1133" s="17" t="s">
        <v>78</v>
      </c>
      <c r="F1133" s="17" t="s">
        <v>364</v>
      </c>
      <c r="G1133" s="17" t="s">
        <v>399</v>
      </c>
      <c r="H1133" s="30">
        <v>40476</v>
      </c>
      <c r="I1133" s="30">
        <v>24923</v>
      </c>
      <c r="J1133" s="30">
        <v>36000</v>
      </c>
      <c r="K1133" s="30">
        <v>25000</v>
      </c>
      <c r="L1133" s="30">
        <v>25175</v>
      </c>
      <c r="M1133" s="31">
        <f t="shared" si="85"/>
        <v>11077</v>
      </c>
      <c r="N1133" s="32">
        <f t="shared" si="86"/>
        <v>0.44444890262006981</v>
      </c>
      <c r="O1133" s="6" t="str">
        <f>IF(ABS(M1133)&lt;Overview!$B$6,"OK",IF(I1133=0,"REVIEW (zero base)",IF(ABS(M1133/ABS(I1133))&gt;=Overview!$B$5,"REVIEW","OK")))</f>
        <v>OK</v>
      </c>
      <c r="P1133" s="31">
        <f t="shared" si="87"/>
        <v>-11000</v>
      </c>
      <c r="Q1133" s="32">
        <f t="shared" si="88"/>
        <v>-0.30555555555555558</v>
      </c>
      <c r="R1133" s="6" t="str">
        <f>IF(ABS(P1133)&lt;Overview!$B$6,"OK",IF(J1133=0,"REVIEW (zero base)",IF(ABS(P1133/ABS(J1133))&gt;=Overview!$B$5,"REVIEW","OK")))</f>
        <v>OK</v>
      </c>
      <c r="S1133" s="33">
        <f t="shared" si="89"/>
        <v>11077.001133</v>
      </c>
    </row>
    <row r="1134" spans="1:19" x14ac:dyDescent="0.2">
      <c r="A1134" s="17">
        <v>1132</v>
      </c>
      <c r="B1134" s="17" t="s">
        <v>171</v>
      </c>
      <c r="C1134" s="17" t="s">
        <v>338</v>
      </c>
      <c r="D1134" s="17" t="s">
        <v>55</v>
      </c>
      <c r="E1134" s="17" t="s">
        <v>78</v>
      </c>
      <c r="F1134" s="17" t="s">
        <v>360</v>
      </c>
      <c r="G1134" s="17" t="s">
        <v>328</v>
      </c>
      <c r="H1134" s="30">
        <v>11764</v>
      </c>
      <c r="I1134" s="30">
        <v>5897</v>
      </c>
      <c r="J1134" s="30">
        <v>12000</v>
      </c>
      <c r="K1134" s="30">
        <v>12000</v>
      </c>
      <c r="L1134" s="30">
        <v>12084</v>
      </c>
      <c r="M1134" s="31">
        <f t="shared" si="85"/>
        <v>6103</v>
      </c>
      <c r="N1134" s="32">
        <f t="shared" si="86"/>
        <v>1.0349330167881974</v>
      </c>
      <c r="O1134" s="6" t="str">
        <f>IF(ABS(M1134)&lt;Overview!$B$6,"OK",IF(I1134=0,"REVIEW (zero base)",IF(ABS(M1134/ABS(I1134))&gt;=Overview!$B$5,"REVIEW","OK")))</f>
        <v>OK</v>
      </c>
      <c r="P1134" s="31">
        <f t="shared" si="87"/>
        <v>0</v>
      </c>
      <c r="Q1134" s="32">
        <f t="shared" si="88"/>
        <v>0</v>
      </c>
      <c r="R1134" s="6" t="str">
        <f>IF(ABS(P1134)&lt;Overview!$B$6,"OK",IF(J1134=0,"REVIEW (zero base)",IF(ABS(P1134/ABS(J1134))&gt;=Overview!$B$5,"REVIEW","OK")))</f>
        <v>OK</v>
      </c>
      <c r="S1134" s="33">
        <f t="shared" si="89"/>
        <v>6103.0011340000001</v>
      </c>
    </row>
    <row r="1135" spans="1:19" x14ac:dyDescent="0.2">
      <c r="A1135" s="17">
        <v>1133</v>
      </c>
      <c r="B1135" s="17" t="s">
        <v>171</v>
      </c>
      <c r="C1135" s="17" t="s">
        <v>338</v>
      </c>
      <c r="D1135" s="17" t="s">
        <v>55</v>
      </c>
      <c r="E1135" s="17" t="s">
        <v>78</v>
      </c>
      <c r="F1135" s="17" t="s">
        <v>507</v>
      </c>
      <c r="G1135" s="17" t="s">
        <v>508</v>
      </c>
      <c r="H1135" s="30">
        <v>89943</v>
      </c>
      <c r="I1135" s="30">
        <v>12847</v>
      </c>
      <c r="J1135" s="30">
        <v>140865</v>
      </c>
      <c r="K1135" s="30">
        <v>0</v>
      </c>
      <c r="L1135" s="30">
        <v>0</v>
      </c>
      <c r="M1135" s="31">
        <f t="shared" si="85"/>
        <v>128018</v>
      </c>
      <c r="N1135" s="32">
        <f t="shared" si="86"/>
        <v>9.9648166887211023</v>
      </c>
      <c r="O1135" s="6" t="str">
        <f>IF(ABS(M1135)&lt;Overview!$B$6,"OK",IF(I1135=0,"REVIEW (zero base)",IF(ABS(M1135/ABS(I1135))&gt;=Overview!$B$5,"REVIEW","OK")))</f>
        <v>OK</v>
      </c>
      <c r="P1135" s="31">
        <f t="shared" si="87"/>
        <v>-140865</v>
      </c>
      <c r="Q1135" s="32">
        <f t="shared" si="88"/>
        <v>-1</v>
      </c>
      <c r="R1135" s="6" t="str">
        <f>IF(ABS(P1135)&lt;Overview!$B$6,"OK",IF(J1135=0,"REVIEW (zero base)",IF(ABS(P1135/ABS(J1135))&gt;=Overview!$B$5,"REVIEW","OK")))</f>
        <v>OK</v>
      </c>
      <c r="S1135" s="33">
        <f t="shared" si="89"/>
        <v>128018.001135</v>
      </c>
    </row>
    <row r="1136" spans="1:19" x14ac:dyDescent="0.2">
      <c r="A1136" s="17">
        <v>1134</v>
      </c>
      <c r="B1136" s="17" t="s">
        <v>171</v>
      </c>
      <c r="C1136" s="17" t="s">
        <v>338</v>
      </c>
      <c r="D1136" s="17" t="s">
        <v>55</v>
      </c>
      <c r="E1136" s="17" t="s">
        <v>78</v>
      </c>
      <c r="F1136" s="17" t="s">
        <v>507</v>
      </c>
      <c r="G1136" s="17" t="s">
        <v>509</v>
      </c>
      <c r="H1136" s="30">
        <v>32010</v>
      </c>
      <c r="I1136" s="30">
        <v>22020</v>
      </c>
      <c r="J1136" s="30">
        <v>36000</v>
      </c>
      <c r="K1136" s="30">
        <v>24000</v>
      </c>
      <c r="L1136" s="30">
        <v>24000</v>
      </c>
      <c r="M1136" s="31">
        <f t="shared" si="85"/>
        <v>13980</v>
      </c>
      <c r="N1136" s="32">
        <f t="shared" si="86"/>
        <v>0.63487738419618533</v>
      </c>
      <c r="O1136" s="6" t="str">
        <f>IF(ABS(M1136)&lt;Overview!$B$6,"OK",IF(I1136=0,"REVIEW (zero base)",IF(ABS(M1136/ABS(I1136))&gt;=Overview!$B$5,"REVIEW","OK")))</f>
        <v>OK</v>
      </c>
      <c r="P1136" s="31">
        <f t="shared" si="87"/>
        <v>-12000</v>
      </c>
      <c r="Q1136" s="32">
        <f t="shared" si="88"/>
        <v>-0.33333333333333331</v>
      </c>
      <c r="R1136" s="6" t="str">
        <f>IF(ABS(P1136)&lt;Overview!$B$6,"OK",IF(J1136=0,"REVIEW (zero base)",IF(ABS(P1136/ABS(J1136))&gt;=Overview!$B$5,"REVIEW","OK")))</f>
        <v>OK</v>
      </c>
      <c r="S1136" s="33">
        <f t="shared" si="89"/>
        <v>13980.001136000001</v>
      </c>
    </row>
    <row r="1137" spans="1:19" x14ac:dyDescent="0.2">
      <c r="A1137" s="17">
        <v>1135</v>
      </c>
      <c r="B1137" s="17" t="s">
        <v>171</v>
      </c>
      <c r="C1137" s="17" t="s">
        <v>338</v>
      </c>
      <c r="D1137" s="17" t="s">
        <v>55</v>
      </c>
      <c r="E1137" s="17" t="s">
        <v>78</v>
      </c>
      <c r="F1137" s="17" t="s">
        <v>400</v>
      </c>
      <c r="G1137" s="17" t="s">
        <v>401</v>
      </c>
      <c r="H1137" s="30">
        <v>96133</v>
      </c>
      <c r="I1137" s="30">
        <v>88592</v>
      </c>
      <c r="J1137" s="30">
        <v>100000</v>
      </c>
      <c r="K1137" s="30">
        <v>150000</v>
      </c>
      <c r="L1137" s="30">
        <v>150000</v>
      </c>
      <c r="M1137" s="31">
        <f t="shared" si="85"/>
        <v>11408</v>
      </c>
      <c r="N1137" s="32">
        <f t="shared" si="86"/>
        <v>0.12877009210763951</v>
      </c>
      <c r="O1137" s="6" t="str">
        <f>IF(ABS(M1137)&lt;Overview!$B$6,"OK",IF(I1137=0,"REVIEW (zero base)",IF(ABS(M1137/ABS(I1137))&gt;=Overview!$B$5,"REVIEW","OK")))</f>
        <v>OK</v>
      </c>
      <c r="P1137" s="31">
        <f t="shared" si="87"/>
        <v>50000</v>
      </c>
      <c r="Q1137" s="32">
        <f t="shared" si="88"/>
        <v>0.5</v>
      </c>
      <c r="R1137" s="6" t="str">
        <f>IF(ABS(P1137)&lt;Overview!$B$6,"OK",IF(J1137=0,"REVIEW (zero base)",IF(ABS(P1137/ABS(J1137))&gt;=Overview!$B$5,"REVIEW","OK")))</f>
        <v>OK</v>
      </c>
      <c r="S1137" s="33">
        <f t="shared" si="89"/>
        <v>11408.001136999999</v>
      </c>
    </row>
    <row r="1138" spans="1:19" x14ac:dyDescent="0.2">
      <c r="A1138" s="17">
        <v>1136</v>
      </c>
      <c r="B1138" s="17" t="s">
        <v>171</v>
      </c>
      <c r="C1138" s="17" t="s">
        <v>338</v>
      </c>
      <c r="D1138" s="17" t="s">
        <v>55</v>
      </c>
      <c r="E1138" s="17" t="s">
        <v>78</v>
      </c>
      <c r="F1138" s="17" t="s">
        <v>400</v>
      </c>
      <c r="G1138" s="17" t="s">
        <v>510</v>
      </c>
      <c r="H1138" s="30">
        <v>117499</v>
      </c>
      <c r="I1138" s="30">
        <v>46841</v>
      </c>
      <c r="J1138" s="30">
        <v>100000</v>
      </c>
      <c r="K1138" s="30">
        <v>100000</v>
      </c>
      <c r="L1138" s="30">
        <v>100000</v>
      </c>
      <c r="M1138" s="31">
        <f t="shared" si="85"/>
        <v>53159</v>
      </c>
      <c r="N1138" s="32">
        <f t="shared" si="86"/>
        <v>1.1348818342904721</v>
      </c>
      <c r="O1138" s="6" t="str">
        <f>IF(ABS(M1138)&lt;Overview!$B$6,"OK",IF(I1138=0,"REVIEW (zero base)",IF(ABS(M1138/ABS(I1138))&gt;=Overview!$B$5,"REVIEW","OK")))</f>
        <v>OK</v>
      </c>
      <c r="P1138" s="31">
        <f t="shared" si="87"/>
        <v>0</v>
      </c>
      <c r="Q1138" s="32">
        <f t="shared" si="88"/>
        <v>0</v>
      </c>
      <c r="R1138" s="6" t="str">
        <f>IF(ABS(P1138)&lt;Overview!$B$6,"OK",IF(J1138=0,"REVIEW (zero base)",IF(ABS(P1138/ABS(J1138))&gt;=Overview!$B$5,"REVIEW","OK")))</f>
        <v>OK</v>
      </c>
      <c r="S1138" s="33">
        <f t="shared" si="89"/>
        <v>53159.001138</v>
      </c>
    </row>
    <row r="1139" spans="1:19" x14ac:dyDescent="0.2">
      <c r="A1139" s="17">
        <v>1137</v>
      </c>
      <c r="B1139" s="17" t="s">
        <v>171</v>
      </c>
      <c r="C1139" s="17" t="s">
        <v>338</v>
      </c>
      <c r="D1139" s="17" t="s">
        <v>55</v>
      </c>
      <c r="E1139" s="17" t="s">
        <v>78</v>
      </c>
      <c r="F1139" s="17" t="s">
        <v>437</v>
      </c>
      <c r="G1139" s="17" t="s">
        <v>438</v>
      </c>
      <c r="H1139" s="30">
        <v>0</v>
      </c>
      <c r="I1139" s="30">
        <v>0</v>
      </c>
      <c r="J1139" s="30">
        <v>0</v>
      </c>
      <c r="K1139" s="30">
        <v>0</v>
      </c>
      <c r="L1139" s="30">
        <v>0</v>
      </c>
      <c r="M1139" s="31">
        <f t="shared" si="85"/>
        <v>0</v>
      </c>
      <c r="N1139" s="32" t="str">
        <f t="shared" si="86"/>
        <v>n/a</v>
      </c>
      <c r="O1139" s="6" t="str">
        <f>IF(ABS(M1139)&lt;Overview!$B$6,"OK",IF(I1139=0,"REVIEW (zero base)",IF(ABS(M1139/ABS(I1139))&gt;=Overview!$B$5,"REVIEW","OK")))</f>
        <v>OK</v>
      </c>
      <c r="P1139" s="31">
        <f t="shared" si="87"/>
        <v>0</v>
      </c>
      <c r="Q1139" s="32" t="str">
        <f t="shared" si="88"/>
        <v>n/a</v>
      </c>
      <c r="R1139" s="6" t="str">
        <f>IF(ABS(P1139)&lt;Overview!$B$6,"OK",IF(J1139=0,"REVIEW (zero base)",IF(ABS(P1139/ABS(J1139))&gt;=Overview!$B$5,"REVIEW","OK")))</f>
        <v>OK</v>
      </c>
      <c r="S1139" s="33">
        <f t="shared" si="89"/>
        <v>1.139E-3</v>
      </c>
    </row>
    <row r="1140" spans="1:19" x14ac:dyDescent="0.2">
      <c r="A1140" s="17">
        <v>1138</v>
      </c>
      <c r="B1140" s="17" t="s">
        <v>171</v>
      </c>
      <c r="C1140" s="17" t="s">
        <v>338</v>
      </c>
      <c r="D1140" s="17" t="s">
        <v>55</v>
      </c>
      <c r="E1140" s="17" t="s">
        <v>78</v>
      </c>
      <c r="F1140" s="17" t="s">
        <v>414</v>
      </c>
      <c r="G1140" s="17" t="s">
        <v>415</v>
      </c>
      <c r="H1140" s="30">
        <v>515</v>
      </c>
      <c r="I1140" s="30">
        <v>0</v>
      </c>
      <c r="J1140" s="30">
        <v>0</v>
      </c>
      <c r="K1140" s="30">
        <v>0</v>
      </c>
      <c r="L1140" s="30">
        <v>0</v>
      </c>
      <c r="M1140" s="31">
        <f t="shared" si="85"/>
        <v>0</v>
      </c>
      <c r="N1140" s="32" t="str">
        <f t="shared" si="86"/>
        <v>n/a</v>
      </c>
      <c r="O1140" s="6" t="str">
        <f>IF(ABS(M1140)&lt;Overview!$B$6,"OK",IF(I1140=0,"REVIEW (zero base)",IF(ABS(M1140/ABS(I1140))&gt;=Overview!$B$5,"REVIEW","OK")))</f>
        <v>OK</v>
      </c>
      <c r="P1140" s="31">
        <f t="shared" si="87"/>
        <v>0</v>
      </c>
      <c r="Q1140" s="32" t="str">
        <f t="shared" si="88"/>
        <v>n/a</v>
      </c>
      <c r="R1140" s="6" t="str">
        <f>IF(ABS(P1140)&lt;Overview!$B$6,"OK",IF(J1140=0,"REVIEW (zero base)",IF(ABS(P1140/ABS(J1140))&gt;=Overview!$B$5,"REVIEW","OK")))</f>
        <v>OK</v>
      </c>
      <c r="S1140" s="33">
        <f t="shared" si="89"/>
        <v>1.14E-3</v>
      </c>
    </row>
    <row r="1141" spans="1:19" x14ac:dyDescent="0.2">
      <c r="A1141" s="17">
        <v>1139</v>
      </c>
      <c r="B1141" s="17" t="s">
        <v>171</v>
      </c>
      <c r="C1141" s="17" t="s">
        <v>338</v>
      </c>
      <c r="D1141" s="17" t="s">
        <v>55</v>
      </c>
      <c r="E1141" s="17" t="s">
        <v>78</v>
      </c>
      <c r="F1141" s="17" t="s">
        <v>404</v>
      </c>
      <c r="G1141" s="17" t="s">
        <v>477</v>
      </c>
      <c r="H1141" s="30">
        <v>56886</v>
      </c>
      <c r="I1141" s="30">
        <v>59995</v>
      </c>
      <c r="J1141" s="30">
        <v>78161</v>
      </c>
      <c r="K1141" s="30">
        <v>142000</v>
      </c>
      <c r="L1141" s="30">
        <v>142994</v>
      </c>
      <c r="M1141" s="31">
        <f t="shared" si="85"/>
        <v>18166</v>
      </c>
      <c r="N1141" s="32">
        <f t="shared" si="86"/>
        <v>0.30279189932494377</v>
      </c>
      <c r="O1141" s="6" t="str">
        <f>IF(ABS(M1141)&lt;Overview!$B$6,"OK",IF(I1141=0,"REVIEW (zero base)",IF(ABS(M1141/ABS(I1141))&gt;=Overview!$B$5,"REVIEW","OK")))</f>
        <v>OK</v>
      </c>
      <c r="P1141" s="31">
        <f t="shared" si="87"/>
        <v>63839</v>
      </c>
      <c r="Q1141" s="32">
        <f t="shared" si="88"/>
        <v>0.81676283568531616</v>
      </c>
      <c r="R1141" s="6" t="str">
        <f>IF(ABS(P1141)&lt;Overview!$B$6,"OK",IF(J1141=0,"REVIEW (zero base)",IF(ABS(P1141/ABS(J1141))&gt;=Overview!$B$5,"REVIEW","OK")))</f>
        <v>OK</v>
      </c>
      <c r="S1141" s="33">
        <f t="shared" si="89"/>
        <v>18166.001141000001</v>
      </c>
    </row>
    <row r="1142" spans="1:19" x14ac:dyDescent="0.2">
      <c r="A1142" s="17">
        <v>1140</v>
      </c>
      <c r="B1142" s="17" t="s">
        <v>171</v>
      </c>
      <c r="C1142" s="17" t="s">
        <v>338</v>
      </c>
      <c r="D1142" s="17" t="s">
        <v>55</v>
      </c>
      <c r="E1142" s="17" t="s">
        <v>78</v>
      </c>
      <c r="F1142" s="17" t="s">
        <v>402</v>
      </c>
      <c r="G1142" s="17" t="s">
        <v>403</v>
      </c>
      <c r="H1142" s="30">
        <v>290754</v>
      </c>
      <c r="I1142" s="30">
        <v>429319</v>
      </c>
      <c r="J1142" s="30">
        <v>442316</v>
      </c>
      <c r="K1142" s="30">
        <v>524419</v>
      </c>
      <c r="L1142" s="30">
        <v>528090</v>
      </c>
      <c r="M1142" s="31">
        <f t="shared" si="85"/>
        <v>12997</v>
      </c>
      <c r="N1142" s="32">
        <f t="shared" si="86"/>
        <v>3.0273526212443429E-2</v>
      </c>
      <c r="O1142" s="6" t="str">
        <f>IF(ABS(M1142)&lt;Overview!$B$6,"OK",IF(I1142=0,"REVIEW (zero base)",IF(ABS(M1142/ABS(I1142))&gt;=Overview!$B$5,"REVIEW","OK")))</f>
        <v>OK</v>
      </c>
      <c r="P1142" s="31">
        <f t="shared" si="87"/>
        <v>82103</v>
      </c>
      <c r="Q1142" s="32">
        <f t="shared" si="88"/>
        <v>0.18562068747230487</v>
      </c>
      <c r="R1142" s="6" t="str">
        <f>IF(ABS(P1142)&lt;Overview!$B$6,"OK",IF(J1142=0,"REVIEW (zero base)",IF(ABS(P1142/ABS(J1142))&gt;=Overview!$B$5,"REVIEW","OK")))</f>
        <v>OK</v>
      </c>
      <c r="S1142" s="33">
        <f t="shared" si="89"/>
        <v>12997.001141999999</v>
      </c>
    </row>
    <row r="1143" spans="1:19" x14ac:dyDescent="0.2">
      <c r="A1143" s="17">
        <v>1141</v>
      </c>
      <c r="B1143" s="17" t="s">
        <v>171</v>
      </c>
      <c r="C1143" s="17" t="s">
        <v>338</v>
      </c>
      <c r="D1143" s="17" t="s">
        <v>55</v>
      </c>
      <c r="E1143" s="17" t="s">
        <v>78</v>
      </c>
      <c r="F1143" s="17" t="s">
        <v>402</v>
      </c>
      <c r="G1143" s="17" t="s">
        <v>445</v>
      </c>
      <c r="H1143" s="30">
        <v>62631</v>
      </c>
      <c r="I1143" s="30">
        <v>180425</v>
      </c>
      <c r="J1143" s="30">
        <v>104000</v>
      </c>
      <c r="K1143" s="30">
        <v>134000</v>
      </c>
      <c r="L1143" s="30">
        <v>134938</v>
      </c>
      <c r="M1143" s="31">
        <f t="shared" si="85"/>
        <v>-76425</v>
      </c>
      <c r="N1143" s="32">
        <f t="shared" si="86"/>
        <v>-0.42358320631841484</v>
      </c>
      <c r="O1143" s="6" t="str">
        <f>IF(ABS(M1143)&lt;Overview!$B$6,"OK",IF(I1143=0,"REVIEW (zero base)",IF(ABS(M1143/ABS(I1143))&gt;=Overview!$B$5,"REVIEW","OK")))</f>
        <v>OK</v>
      </c>
      <c r="P1143" s="31">
        <f t="shared" si="87"/>
        <v>30000</v>
      </c>
      <c r="Q1143" s="32">
        <f t="shared" si="88"/>
        <v>0.28846153846153844</v>
      </c>
      <c r="R1143" s="6" t="str">
        <f>IF(ABS(P1143)&lt;Overview!$B$6,"OK",IF(J1143=0,"REVIEW (zero base)",IF(ABS(P1143/ABS(J1143))&gt;=Overview!$B$5,"REVIEW","OK")))</f>
        <v>OK</v>
      </c>
      <c r="S1143" s="33">
        <f t="shared" si="89"/>
        <v>76425.001143000001</v>
      </c>
    </row>
    <row r="1144" spans="1:19" x14ac:dyDescent="0.2">
      <c r="A1144" s="17">
        <v>1142</v>
      </c>
      <c r="B1144" s="17" t="s">
        <v>171</v>
      </c>
      <c r="C1144" s="17" t="s">
        <v>338</v>
      </c>
      <c r="D1144" s="17" t="s">
        <v>55</v>
      </c>
      <c r="E1144" s="17" t="s">
        <v>78</v>
      </c>
      <c r="F1144" s="17" t="s">
        <v>402</v>
      </c>
      <c r="G1144" s="17" t="s">
        <v>416</v>
      </c>
      <c r="H1144" s="30">
        <v>0</v>
      </c>
      <c r="I1144" s="30">
        <v>0</v>
      </c>
      <c r="J1144" s="30">
        <v>0</v>
      </c>
      <c r="K1144" s="30">
        <v>34903</v>
      </c>
      <c r="L1144" s="30">
        <v>35147</v>
      </c>
      <c r="M1144" s="31">
        <f t="shared" si="85"/>
        <v>0</v>
      </c>
      <c r="N1144" s="32" t="str">
        <f t="shared" si="86"/>
        <v>n/a</v>
      </c>
      <c r="O1144" s="6" t="str">
        <f>IF(ABS(M1144)&lt;Overview!$B$6,"OK",IF(I1144=0,"REVIEW (zero base)",IF(ABS(M1144/ABS(I1144))&gt;=Overview!$B$5,"REVIEW","OK")))</f>
        <v>OK</v>
      </c>
      <c r="P1144" s="31">
        <f t="shared" si="87"/>
        <v>34903</v>
      </c>
      <c r="Q1144" s="32" t="str">
        <f t="shared" si="88"/>
        <v>n/a</v>
      </c>
      <c r="R1144" s="6" t="str">
        <f>IF(ABS(P1144)&lt;Overview!$B$6,"OK",IF(J1144=0,"REVIEW (zero base)",IF(ABS(P1144/ABS(J1144))&gt;=Overview!$B$5,"REVIEW","OK")))</f>
        <v>OK</v>
      </c>
      <c r="S1144" s="33">
        <f t="shared" si="89"/>
        <v>1.1440000000000001E-3</v>
      </c>
    </row>
    <row r="1145" spans="1:19" x14ac:dyDescent="0.2">
      <c r="A1145" s="17">
        <v>1143</v>
      </c>
      <c r="B1145" s="17" t="s">
        <v>171</v>
      </c>
      <c r="C1145" s="17" t="s">
        <v>338</v>
      </c>
      <c r="D1145" s="17" t="s">
        <v>55</v>
      </c>
      <c r="E1145" s="17" t="s">
        <v>78</v>
      </c>
      <c r="F1145" s="17" t="s">
        <v>402</v>
      </c>
      <c r="G1145" s="17" t="s">
        <v>511</v>
      </c>
      <c r="H1145" s="30">
        <v>41715</v>
      </c>
      <c r="I1145" s="30">
        <v>67059</v>
      </c>
      <c r="J1145" s="30">
        <v>36000</v>
      </c>
      <c r="K1145" s="30">
        <v>55000</v>
      </c>
      <c r="L1145" s="30">
        <v>55385</v>
      </c>
      <c r="M1145" s="31">
        <f t="shared" si="85"/>
        <v>-31059</v>
      </c>
      <c r="N1145" s="32">
        <f t="shared" si="86"/>
        <v>-0.46315930747550665</v>
      </c>
      <c r="O1145" s="6" t="str">
        <f>IF(ABS(M1145)&lt;Overview!$B$6,"OK",IF(I1145=0,"REVIEW (zero base)",IF(ABS(M1145/ABS(I1145))&gt;=Overview!$B$5,"REVIEW","OK")))</f>
        <v>OK</v>
      </c>
      <c r="P1145" s="31">
        <f t="shared" si="87"/>
        <v>19000</v>
      </c>
      <c r="Q1145" s="32">
        <f t="shared" si="88"/>
        <v>0.52777777777777779</v>
      </c>
      <c r="R1145" s="6" t="str">
        <f>IF(ABS(P1145)&lt;Overview!$B$6,"OK",IF(J1145=0,"REVIEW (zero base)",IF(ABS(P1145/ABS(J1145))&gt;=Overview!$B$5,"REVIEW","OK")))</f>
        <v>OK</v>
      </c>
      <c r="S1145" s="33">
        <f t="shared" si="89"/>
        <v>31059.001144999998</v>
      </c>
    </row>
    <row r="1146" spans="1:19" x14ac:dyDescent="0.2">
      <c r="A1146" s="17">
        <v>1144</v>
      </c>
      <c r="B1146" s="17" t="s">
        <v>171</v>
      </c>
      <c r="C1146" s="17" t="s">
        <v>338</v>
      </c>
      <c r="D1146" s="17" t="s">
        <v>55</v>
      </c>
      <c r="E1146" s="17" t="s">
        <v>78</v>
      </c>
      <c r="F1146" s="17" t="s">
        <v>422</v>
      </c>
      <c r="G1146" s="17" t="s">
        <v>423</v>
      </c>
      <c r="H1146" s="30">
        <v>25000</v>
      </c>
      <c r="I1146" s="30">
        <v>25000</v>
      </c>
      <c r="J1146" s="30">
        <v>28000</v>
      </c>
      <c r="K1146" s="30">
        <v>25000</v>
      </c>
      <c r="L1146" s="30">
        <v>25175</v>
      </c>
      <c r="M1146" s="31">
        <f t="shared" si="85"/>
        <v>3000</v>
      </c>
      <c r="N1146" s="32">
        <f t="shared" si="86"/>
        <v>0.12</v>
      </c>
      <c r="O1146" s="6" t="str">
        <f>IF(ABS(M1146)&lt;Overview!$B$6,"OK",IF(I1146=0,"REVIEW (zero base)",IF(ABS(M1146/ABS(I1146))&gt;=Overview!$B$5,"REVIEW","OK")))</f>
        <v>OK</v>
      </c>
      <c r="P1146" s="31">
        <f t="shared" si="87"/>
        <v>-3000</v>
      </c>
      <c r="Q1146" s="32">
        <f t="shared" si="88"/>
        <v>-0.10714285714285714</v>
      </c>
      <c r="R1146" s="6" t="str">
        <f>IF(ABS(P1146)&lt;Overview!$B$6,"OK",IF(J1146=0,"REVIEW (zero base)",IF(ABS(P1146/ABS(J1146))&gt;=Overview!$B$5,"REVIEW","OK")))</f>
        <v>OK</v>
      </c>
      <c r="S1146" s="33">
        <f t="shared" si="89"/>
        <v>3000.0011460000001</v>
      </c>
    </row>
    <row r="1147" spans="1:19" x14ac:dyDescent="0.2">
      <c r="A1147" s="17">
        <v>1145</v>
      </c>
      <c r="B1147" s="17" t="s">
        <v>171</v>
      </c>
      <c r="C1147" s="17" t="s">
        <v>338</v>
      </c>
      <c r="D1147" s="17" t="s">
        <v>55</v>
      </c>
      <c r="E1147" s="17" t="s">
        <v>78</v>
      </c>
      <c r="F1147" s="17" t="s">
        <v>422</v>
      </c>
      <c r="G1147" s="17" t="s">
        <v>435</v>
      </c>
      <c r="H1147" s="30">
        <v>0</v>
      </c>
      <c r="I1147" s="30">
        <v>0</v>
      </c>
      <c r="J1147" s="30">
        <v>0</v>
      </c>
      <c r="K1147" s="30">
        <v>3392</v>
      </c>
      <c r="L1147" s="30">
        <v>3416</v>
      </c>
      <c r="M1147" s="31">
        <f t="shared" si="85"/>
        <v>0</v>
      </c>
      <c r="N1147" s="32" t="str">
        <f t="shared" si="86"/>
        <v>n/a</v>
      </c>
      <c r="O1147" s="6" t="str">
        <f>IF(ABS(M1147)&lt;Overview!$B$6,"OK",IF(I1147=0,"REVIEW (zero base)",IF(ABS(M1147/ABS(I1147))&gt;=Overview!$B$5,"REVIEW","OK")))</f>
        <v>OK</v>
      </c>
      <c r="P1147" s="31">
        <f t="shared" si="87"/>
        <v>3392</v>
      </c>
      <c r="Q1147" s="32" t="str">
        <f t="shared" si="88"/>
        <v>n/a</v>
      </c>
      <c r="R1147" s="6" t="str">
        <f>IF(ABS(P1147)&lt;Overview!$B$6,"OK",IF(J1147=0,"REVIEW (zero base)",IF(ABS(P1147/ABS(J1147))&gt;=Overview!$B$5,"REVIEW","OK")))</f>
        <v>OK</v>
      </c>
      <c r="S1147" s="33">
        <f t="shared" si="89"/>
        <v>1.147E-3</v>
      </c>
    </row>
    <row r="1148" spans="1:19" x14ac:dyDescent="0.2">
      <c r="A1148" s="17">
        <v>1146</v>
      </c>
      <c r="B1148" s="17" t="s">
        <v>171</v>
      </c>
      <c r="C1148" s="17" t="s">
        <v>338</v>
      </c>
      <c r="D1148" s="17" t="s">
        <v>55</v>
      </c>
      <c r="E1148" s="17" t="s">
        <v>78</v>
      </c>
      <c r="F1148" s="17" t="s">
        <v>407</v>
      </c>
      <c r="G1148" s="17" t="s">
        <v>427</v>
      </c>
      <c r="H1148" s="30">
        <v>379</v>
      </c>
      <c r="I1148" s="30">
        <v>0</v>
      </c>
      <c r="J1148" s="30">
        <v>0</v>
      </c>
      <c r="K1148" s="30">
        <v>0</v>
      </c>
      <c r="L1148" s="30">
        <v>0</v>
      </c>
      <c r="M1148" s="31">
        <f t="shared" si="85"/>
        <v>0</v>
      </c>
      <c r="N1148" s="32" t="str">
        <f t="shared" si="86"/>
        <v>n/a</v>
      </c>
      <c r="O1148" s="6" t="str">
        <f>IF(ABS(M1148)&lt;Overview!$B$6,"OK",IF(I1148=0,"REVIEW (zero base)",IF(ABS(M1148/ABS(I1148))&gt;=Overview!$B$5,"REVIEW","OK")))</f>
        <v>OK</v>
      </c>
      <c r="P1148" s="31">
        <f t="shared" si="87"/>
        <v>0</v>
      </c>
      <c r="Q1148" s="32" t="str">
        <f t="shared" si="88"/>
        <v>n/a</v>
      </c>
      <c r="R1148" s="6" t="str">
        <f>IF(ABS(P1148)&lt;Overview!$B$6,"OK",IF(J1148=0,"REVIEW (zero base)",IF(ABS(P1148/ABS(J1148))&gt;=Overview!$B$5,"REVIEW","OK")))</f>
        <v>OK</v>
      </c>
      <c r="S1148" s="33">
        <f t="shared" si="89"/>
        <v>1.1479999999999999E-3</v>
      </c>
    </row>
    <row r="1149" spans="1:19" x14ac:dyDescent="0.2">
      <c r="A1149" s="17">
        <v>1147</v>
      </c>
      <c r="B1149" s="17" t="s">
        <v>171</v>
      </c>
      <c r="C1149" s="17" t="s">
        <v>338</v>
      </c>
      <c r="D1149" s="17" t="s">
        <v>55</v>
      </c>
      <c r="E1149" s="17" t="s">
        <v>78</v>
      </c>
      <c r="F1149" s="17" t="s">
        <v>407</v>
      </c>
      <c r="G1149" s="17" t="s">
        <v>408</v>
      </c>
      <c r="H1149" s="30">
        <v>-379</v>
      </c>
      <c r="I1149" s="30">
        <v>0</v>
      </c>
      <c r="J1149" s="30">
        <v>0</v>
      </c>
      <c r="K1149" s="30">
        <v>0</v>
      </c>
      <c r="L1149" s="30">
        <v>0</v>
      </c>
      <c r="M1149" s="31">
        <f t="shared" si="85"/>
        <v>0</v>
      </c>
      <c r="N1149" s="32" t="str">
        <f t="shared" si="86"/>
        <v>n/a</v>
      </c>
      <c r="O1149" s="6" t="str">
        <f>IF(ABS(M1149)&lt;Overview!$B$6,"OK",IF(I1149=0,"REVIEW (zero base)",IF(ABS(M1149/ABS(I1149))&gt;=Overview!$B$5,"REVIEW","OK")))</f>
        <v>OK</v>
      </c>
      <c r="P1149" s="31">
        <f t="shared" si="87"/>
        <v>0</v>
      </c>
      <c r="Q1149" s="32" t="str">
        <f t="shared" si="88"/>
        <v>n/a</v>
      </c>
      <c r="R1149" s="6" t="str">
        <f>IF(ABS(P1149)&lt;Overview!$B$6,"OK",IF(J1149=0,"REVIEW (zero base)",IF(ABS(P1149/ABS(J1149))&gt;=Overview!$B$5,"REVIEW","OK")))</f>
        <v>OK</v>
      </c>
      <c r="S1149" s="33">
        <f t="shared" si="89"/>
        <v>1.1490000000000001E-3</v>
      </c>
    </row>
    <row r="1150" spans="1:19" x14ac:dyDescent="0.2">
      <c r="A1150" s="17">
        <v>1148</v>
      </c>
      <c r="B1150" s="17" t="s">
        <v>171</v>
      </c>
      <c r="C1150" s="17" t="s">
        <v>338</v>
      </c>
      <c r="D1150" s="17" t="s">
        <v>55</v>
      </c>
      <c r="E1150" s="17" t="s">
        <v>78</v>
      </c>
      <c r="F1150" s="17" t="s">
        <v>384</v>
      </c>
      <c r="G1150" s="17" t="s">
        <v>426</v>
      </c>
      <c r="H1150" s="30">
        <v>82445</v>
      </c>
      <c r="I1150" s="30">
        <v>80000</v>
      </c>
      <c r="J1150" s="30">
        <v>80000</v>
      </c>
      <c r="K1150" s="30">
        <v>80000</v>
      </c>
      <c r="L1150" s="30">
        <v>80000</v>
      </c>
      <c r="M1150" s="31">
        <f t="shared" si="85"/>
        <v>0</v>
      </c>
      <c r="N1150" s="32">
        <f t="shared" si="86"/>
        <v>0</v>
      </c>
      <c r="O1150" s="6" t="str">
        <f>IF(ABS(M1150)&lt;Overview!$B$6,"OK",IF(I1150=0,"REVIEW (zero base)",IF(ABS(M1150/ABS(I1150))&gt;=Overview!$B$5,"REVIEW","OK")))</f>
        <v>OK</v>
      </c>
      <c r="P1150" s="31">
        <f t="shared" si="87"/>
        <v>0</v>
      </c>
      <c r="Q1150" s="32">
        <f t="shared" si="88"/>
        <v>0</v>
      </c>
      <c r="R1150" s="6" t="str">
        <f>IF(ABS(P1150)&lt;Overview!$B$6,"OK",IF(J1150=0,"REVIEW (zero base)",IF(ABS(P1150/ABS(J1150))&gt;=Overview!$B$5,"REVIEW","OK")))</f>
        <v>OK</v>
      </c>
      <c r="S1150" s="33">
        <f t="shared" si="89"/>
        <v>1.15E-3</v>
      </c>
    </row>
    <row r="1151" spans="1:19" x14ac:dyDescent="0.2">
      <c r="A1151" s="17">
        <v>1149</v>
      </c>
      <c r="B1151" s="17" t="s">
        <v>171</v>
      </c>
      <c r="C1151" s="17" t="s">
        <v>338</v>
      </c>
      <c r="D1151" s="17" t="s">
        <v>55</v>
      </c>
      <c r="E1151" s="17" t="s">
        <v>78</v>
      </c>
      <c r="F1151" s="17" t="s">
        <v>384</v>
      </c>
      <c r="G1151" s="17" t="s">
        <v>459</v>
      </c>
      <c r="H1151" s="30">
        <v>12643</v>
      </c>
      <c r="I1151" s="30">
        <v>9779</v>
      </c>
      <c r="J1151" s="30">
        <v>25000</v>
      </c>
      <c r="K1151" s="30">
        <v>20000</v>
      </c>
      <c r="L1151" s="30">
        <v>20140</v>
      </c>
      <c r="M1151" s="31">
        <f t="shared" si="85"/>
        <v>15221</v>
      </c>
      <c r="N1151" s="32">
        <f t="shared" si="86"/>
        <v>1.5564986194907455</v>
      </c>
      <c r="O1151" s="6" t="str">
        <f>IF(ABS(M1151)&lt;Overview!$B$6,"OK",IF(I1151=0,"REVIEW (zero base)",IF(ABS(M1151/ABS(I1151))&gt;=Overview!$B$5,"REVIEW","OK")))</f>
        <v>OK</v>
      </c>
      <c r="P1151" s="31">
        <f t="shared" si="87"/>
        <v>-5000</v>
      </c>
      <c r="Q1151" s="32">
        <f t="shared" si="88"/>
        <v>-0.2</v>
      </c>
      <c r="R1151" s="6" t="str">
        <f>IF(ABS(P1151)&lt;Overview!$B$6,"OK",IF(J1151=0,"REVIEW (zero base)",IF(ABS(P1151/ABS(J1151))&gt;=Overview!$B$5,"REVIEW","OK")))</f>
        <v>OK</v>
      </c>
      <c r="S1151" s="33">
        <f t="shared" si="89"/>
        <v>15221.001151</v>
      </c>
    </row>
    <row r="1152" spans="1:19" x14ac:dyDescent="0.2">
      <c r="A1152" s="17">
        <v>1150</v>
      </c>
      <c r="B1152" s="17" t="s">
        <v>171</v>
      </c>
      <c r="C1152" s="17" t="s">
        <v>338</v>
      </c>
      <c r="D1152" s="17" t="s">
        <v>55</v>
      </c>
      <c r="E1152" s="17" t="s">
        <v>78</v>
      </c>
      <c r="F1152" s="17" t="s">
        <v>409</v>
      </c>
      <c r="G1152" s="17" t="s">
        <v>432</v>
      </c>
      <c r="H1152" s="30">
        <v>1653539</v>
      </c>
      <c r="I1152" s="30">
        <v>925127</v>
      </c>
      <c r="J1152" s="30">
        <v>1200000</v>
      </c>
      <c r="K1152" s="30">
        <v>1000000</v>
      </c>
      <c r="L1152" s="30">
        <v>1007000</v>
      </c>
      <c r="M1152" s="31">
        <f t="shared" si="85"/>
        <v>274873</v>
      </c>
      <c r="N1152" s="32">
        <f t="shared" si="86"/>
        <v>0.29711920633599492</v>
      </c>
      <c r="O1152" s="6" t="str">
        <f>IF(ABS(M1152)&lt;Overview!$B$6,"OK",IF(I1152=0,"REVIEW (zero base)",IF(ABS(M1152/ABS(I1152))&gt;=Overview!$B$5,"REVIEW","OK")))</f>
        <v>REVIEW</v>
      </c>
      <c r="P1152" s="31">
        <f t="shared" si="87"/>
        <v>-200000</v>
      </c>
      <c r="Q1152" s="32">
        <f t="shared" si="88"/>
        <v>-0.16666666666666666</v>
      </c>
      <c r="R1152" s="6" t="str">
        <f>IF(ABS(P1152)&lt;Overview!$B$6,"OK",IF(J1152=0,"REVIEW (zero base)",IF(ABS(P1152/ABS(J1152))&gt;=Overview!$B$5,"REVIEW","OK")))</f>
        <v>OK</v>
      </c>
      <c r="S1152" s="33">
        <f t="shared" si="89"/>
        <v>274873.00115199998</v>
      </c>
    </row>
    <row r="1153" spans="1:19" x14ac:dyDescent="0.2">
      <c r="A1153" s="17">
        <v>1151</v>
      </c>
      <c r="B1153" s="17" t="s">
        <v>171</v>
      </c>
      <c r="C1153" s="17" t="s">
        <v>338</v>
      </c>
      <c r="D1153" s="17" t="s">
        <v>55</v>
      </c>
      <c r="E1153" s="17" t="s">
        <v>78</v>
      </c>
      <c r="F1153" s="17" t="s">
        <v>409</v>
      </c>
      <c r="G1153" s="17" t="s">
        <v>512</v>
      </c>
      <c r="H1153" s="30">
        <v>1474843</v>
      </c>
      <c r="I1153" s="30">
        <v>1664759</v>
      </c>
      <c r="J1153" s="30">
        <v>1619868</v>
      </c>
      <c r="K1153" s="30">
        <v>1790417</v>
      </c>
      <c r="L1153" s="30">
        <v>1790417</v>
      </c>
      <c r="M1153" s="31">
        <f t="shared" si="85"/>
        <v>-44891</v>
      </c>
      <c r="N1153" s="32">
        <f t="shared" si="86"/>
        <v>-2.696546467086227E-2</v>
      </c>
      <c r="O1153" s="6" t="str">
        <f>IF(ABS(M1153)&lt;Overview!$B$6,"OK",IF(I1153=0,"REVIEW (zero base)",IF(ABS(M1153/ABS(I1153))&gt;=Overview!$B$5,"REVIEW","OK")))</f>
        <v>OK</v>
      </c>
      <c r="P1153" s="31">
        <f t="shared" si="87"/>
        <v>170549</v>
      </c>
      <c r="Q1153" s="32">
        <f t="shared" si="88"/>
        <v>0.10528573933184679</v>
      </c>
      <c r="R1153" s="6" t="str">
        <f>IF(ABS(P1153)&lt;Overview!$B$6,"OK",IF(J1153=0,"REVIEW (zero base)",IF(ABS(P1153/ABS(J1153))&gt;=Overview!$B$5,"REVIEW","OK")))</f>
        <v>OK</v>
      </c>
      <c r="S1153" s="33">
        <f t="shared" si="89"/>
        <v>44891.001152999997</v>
      </c>
    </row>
    <row r="1154" spans="1:19" x14ac:dyDescent="0.2">
      <c r="A1154" s="17">
        <v>1152</v>
      </c>
      <c r="B1154" s="17" t="s">
        <v>171</v>
      </c>
      <c r="C1154" s="17" t="s">
        <v>338</v>
      </c>
      <c r="D1154" s="17" t="s">
        <v>55</v>
      </c>
      <c r="E1154" s="17" t="s">
        <v>78</v>
      </c>
      <c r="F1154" s="17" t="s">
        <v>409</v>
      </c>
      <c r="G1154" s="17" t="s">
        <v>513</v>
      </c>
      <c r="H1154" s="30">
        <v>1898700</v>
      </c>
      <c r="I1154" s="30">
        <v>1385398</v>
      </c>
      <c r="J1154" s="30">
        <v>1600000</v>
      </c>
      <c r="K1154" s="30">
        <v>1949000</v>
      </c>
      <c r="L1154" s="30">
        <v>1949000</v>
      </c>
      <c r="M1154" s="31">
        <f t="shared" ref="M1154:M1217" si="90">J1154-I1154</f>
        <v>214602</v>
      </c>
      <c r="N1154" s="32">
        <f t="shared" ref="N1154:N1217" si="91">IF(I1154=0,"n/a",M1154/ABS(I1154))</f>
        <v>0.15490277884044873</v>
      </c>
      <c r="O1154" s="6" t="str">
        <f>IF(ABS(M1154)&lt;Overview!$B$6,"OK",IF(I1154=0,"REVIEW (zero base)",IF(ABS(M1154/ABS(I1154))&gt;=Overview!$B$5,"REVIEW","OK")))</f>
        <v>OK</v>
      </c>
      <c r="P1154" s="31">
        <f t="shared" ref="P1154:P1217" si="92">K1154-J1154</f>
        <v>349000</v>
      </c>
      <c r="Q1154" s="32">
        <f t="shared" ref="Q1154:Q1217" si="93">IF(J1154=0,"n/a",P1154/ABS(J1154))</f>
        <v>0.21812500000000001</v>
      </c>
      <c r="R1154" s="6" t="str">
        <f>IF(ABS(P1154)&lt;Overview!$B$6,"OK",IF(J1154=0,"REVIEW (zero base)",IF(ABS(P1154/ABS(J1154))&gt;=Overview!$B$5,"REVIEW","OK")))</f>
        <v>REVIEW</v>
      </c>
      <c r="S1154" s="33">
        <f t="shared" ref="S1154:S1217" si="94">IF(C1154="EXPENSES",ABS(M1154)+ROW()/1000000,0)</f>
        <v>214602.001154</v>
      </c>
    </row>
    <row r="1155" spans="1:19" x14ac:dyDescent="0.2">
      <c r="A1155" s="17">
        <v>1153</v>
      </c>
      <c r="B1155" s="17" t="s">
        <v>171</v>
      </c>
      <c r="C1155" s="17" t="s">
        <v>338</v>
      </c>
      <c r="D1155" s="17" t="s">
        <v>55</v>
      </c>
      <c r="E1155" s="17" t="s">
        <v>78</v>
      </c>
      <c r="F1155" s="17" t="s">
        <v>347</v>
      </c>
      <c r="G1155" s="17" t="s">
        <v>348</v>
      </c>
      <c r="H1155" s="30">
        <v>26632</v>
      </c>
      <c r="I1155" s="30">
        <v>35688</v>
      </c>
      <c r="J1155" s="30">
        <v>30000</v>
      </c>
      <c r="K1155" s="30">
        <v>28600</v>
      </c>
      <c r="L1155" s="30">
        <v>28800</v>
      </c>
      <c r="M1155" s="31">
        <f t="shared" si="90"/>
        <v>-5688</v>
      </c>
      <c r="N1155" s="32">
        <f t="shared" si="91"/>
        <v>-0.15938130464021519</v>
      </c>
      <c r="O1155" s="6" t="str">
        <f>IF(ABS(M1155)&lt;Overview!$B$6,"OK",IF(I1155=0,"REVIEW (zero base)",IF(ABS(M1155/ABS(I1155))&gt;=Overview!$B$5,"REVIEW","OK")))</f>
        <v>OK</v>
      </c>
      <c r="P1155" s="31">
        <f t="shared" si="92"/>
        <v>-1400</v>
      </c>
      <c r="Q1155" s="32">
        <f t="shared" si="93"/>
        <v>-4.6666666666666669E-2</v>
      </c>
      <c r="R1155" s="6" t="str">
        <f>IF(ABS(P1155)&lt;Overview!$B$6,"OK",IF(J1155=0,"REVIEW (zero base)",IF(ABS(P1155/ABS(J1155))&gt;=Overview!$B$5,"REVIEW","OK")))</f>
        <v>OK</v>
      </c>
      <c r="S1155" s="33">
        <f t="shared" si="94"/>
        <v>5688.0011549999999</v>
      </c>
    </row>
    <row r="1156" spans="1:19" x14ac:dyDescent="0.2">
      <c r="A1156" s="17">
        <v>1154</v>
      </c>
      <c r="B1156" s="17" t="s">
        <v>171</v>
      </c>
      <c r="C1156" s="17" t="s">
        <v>338</v>
      </c>
      <c r="D1156" s="17" t="s">
        <v>55</v>
      </c>
      <c r="E1156" s="17" t="s">
        <v>78</v>
      </c>
      <c r="F1156" s="17" t="s">
        <v>386</v>
      </c>
      <c r="G1156" s="17" t="s">
        <v>413</v>
      </c>
      <c r="H1156" s="30">
        <v>0</v>
      </c>
      <c r="I1156" s="30">
        <v>0</v>
      </c>
      <c r="J1156" s="30">
        <v>0</v>
      </c>
      <c r="K1156" s="30">
        <v>25000</v>
      </c>
      <c r="L1156" s="30">
        <v>25175</v>
      </c>
      <c r="M1156" s="31">
        <f t="shared" si="90"/>
        <v>0</v>
      </c>
      <c r="N1156" s="32" t="str">
        <f t="shared" si="91"/>
        <v>n/a</v>
      </c>
      <c r="O1156" s="6" t="str">
        <f>IF(ABS(M1156)&lt;Overview!$B$6,"OK",IF(I1156=0,"REVIEW (zero base)",IF(ABS(M1156/ABS(I1156))&gt;=Overview!$B$5,"REVIEW","OK")))</f>
        <v>OK</v>
      </c>
      <c r="P1156" s="31">
        <f t="shared" si="92"/>
        <v>25000</v>
      </c>
      <c r="Q1156" s="32" t="str">
        <f t="shared" si="93"/>
        <v>n/a</v>
      </c>
      <c r="R1156" s="6" t="str">
        <f>IF(ABS(P1156)&lt;Overview!$B$6,"OK",IF(J1156=0,"REVIEW (zero base)",IF(ABS(P1156/ABS(J1156))&gt;=Overview!$B$5,"REVIEW","OK")))</f>
        <v>OK</v>
      </c>
      <c r="S1156" s="33">
        <f t="shared" si="94"/>
        <v>1.1559999999999999E-3</v>
      </c>
    </row>
    <row r="1157" spans="1:19" x14ac:dyDescent="0.2">
      <c r="A1157" s="17">
        <v>1155</v>
      </c>
      <c r="B1157" s="17" t="s">
        <v>171</v>
      </c>
      <c r="C1157" s="17" t="s">
        <v>338</v>
      </c>
      <c r="D1157" s="17" t="s">
        <v>55</v>
      </c>
      <c r="E1157" s="17" t="s">
        <v>78</v>
      </c>
      <c r="F1157" s="17" t="s">
        <v>386</v>
      </c>
      <c r="G1157" s="17" t="s">
        <v>387</v>
      </c>
      <c r="H1157" s="30">
        <v>23282</v>
      </c>
      <c r="I1157" s="30">
        <v>17192</v>
      </c>
      <c r="J1157" s="30">
        <v>23375</v>
      </c>
      <c r="K1157" s="30">
        <v>0</v>
      </c>
      <c r="L1157" s="30">
        <v>0</v>
      </c>
      <c r="M1157" s="31">
        <f t="shared" si="90"/>
        <v>6183</v>
      </c>
      <c r="N1157" s="32">
        <f t="shared" si="91"/>
        <v>0.35964402047463939</v>
      </c>
      <c r="O1157" s="6" t="str">
        <f>IF(ABS(M1157)&lt;Overview!$B$6,"OK",IF(I1157=0,"REVIEW (zero base)",IF(ABS(M1157/ABS(I1157))&gt;=Overview!$B$5,"REVIEW","OK")))</f>
        <v>OK</v>
      </c>
      <c r="P1157" s="31">
        <f t="shared" si="92"/>
        <v>-23375</v>
      </c>
      <c r="Q1157" s="32">
        <f t="shared" si="93"/>
        <v>-1</v>
      </c>
      <c r="R1157" s="6" t="str">
        <f>IF(ABS(P1157)&lt;Overview!$B$6,"OK",IF(J1157=0,"REVIEW (zero base)",IF(ABS(P1157/ABS(J1157))&gt;=Overview!$B$5,"REVIEW","OK")))</f>
        <v>OK</v>
      </c>
      <c r="S1157" s="33">
        <f t="shared" si="94"/>
        <v>6183.0011569999997</v>
      </c>
    </row>
    <row r="1158" spans="1:19" x14ac:dyDescent="0.2">
      <c r="A1158" s="17">
        <v>1156</v>
      </c>
      <c r="B1158" s="17" t="s">
        <v>171</v>
      </c>
      <c r="C1158" s="17" t="s">
        <v>338</v>
      </c>
      <c r="D1158" s="17" t="s">
        <v>55</v>
      </c>
      <c r="E1158" s="17" t="s">
        <v>78</v>
      </c>
      <c r="F1158" s="17" t="s">
        <v>514</v>
      </c>
      <c r="G1158" s="17" t="s">
        <v>515</v>
      </c>
      <c r="H1158" s="30">
        <v>22932</v>
      </c>
      <c r="I1158" s="30">
        <v>26556</v>
      </c>
      <c r="J1158" s="30">
        <v>29500</v>
      </c>
      <c r="K1158" s="30">
        <v>24500</v>
      </c>
      <c r="L1158" s="30">
        <v>24672</v>
      </c>
      <c r="M1158" s="31">
        <f t="shared" si="90"/>
        <v>2944</v>
      </c>
      <c r="N1158" s="32">
        <f t="shared" si="91"/>
        <v>0.1108600692875433</v>
      </c>
      <c r="O1158" s="6" t="str">
        <f>IF(ABS(M1158)&lt;Overview!$B$6,"OK",IF(I1158=0,"REVIEW (zero base)",IF(ABS(M1158/ABS(I1158))&gt;=Overview!$B$5,"REVIEW","OK")))</f>
        <v>OK</v>
      </c>
      <c r="P1158" s="31">
        <f t="shared" si="92"/>
        <v>-5000</v>
      </c>
      <c r="Q1158" s="32">
        <f t="shared" si="93"/>
        <v>-0.16949152542372881</v>
      </c>
      <c r="R1158" s="6" t="str">
        <f>IF(ABS(P1158)&lt;Overview!$B$6,"OK",IF(J1158=0,"REVIEW (zero base)",IF(ABS(P1158/ABS(J1158))&gt;=Overview!$B$5,"REVIEW","OK")))</f>
        <v>OK</v>
      </c>
      <c r="S1158" s="33">
        <f t="shared" si="94"/>
        <v>2944.001158</v>
      </c>
    </row>
    <row r="1159" spans="1:19" x14ac:dyDescent="0.2">
      <c r="A1159" s="17">
        <v>1157</v>
      </c>
      <c r="B1159" s="17" t="s">
        <v>171</v>
      </c>
      <c r="C1159" s="17" t="s">
        <v>338</v>
      </c>
      <c r="D1159" s="17" t="s">
        <v>55</v>
      </c>
      <c r="E1159" s="17" t="s">
        <v>78</v>
      </c>
      <c r="F1159" s="17" t="s">
        <v>514</v>
      </c>
      <c r="G1159" s="17" t="s">
        <v>516</v>
      </c>
      <c r="H1159" s="30">
        <v>59698</v>
      </c>
      <c r="I1159" s="30">
        <v>59767</v>
      </c>
      <c r="J1159" s="30">
        <v>60000</v>
      </c>
      <c r="K1159" s="30">
        <v>80500</v>
      </c>
      <c r="L1159" s="30">
        <v>81064</v>
      </c>
      <c r="M1159" s="31">
        <f t="shared" si="90"/>
        <v>233</v>
      </c>
      <c r="N1159" s="32">
        <f t="shared" si="91"/>
        <v>3.8984724011578297E-3</v>
      </c>
      <c r="O1159" s="6" t="str">
        <f>IF(ABS(M1159)&lt;Overview!$B$6,"OK",IF(I1159=0,"REVIEW (zero base)",IF(ABS(M1159/ABS(I1159))&gt;=Overview!$B$5,"REVIEW","OK")))</f>
        <v>OK</v>
      </c>
      <c r="P1159" s="31">
        <f t="shared" si="92"/>
        <v>20500</v>
      </c>
      <c r="Q1159" s="32">
        <f t="shared" si="93"/>
        <v>0.34166666666666667</v>
      </c>
      <c r="R1159" s="6" t="str">
        <f>IF(ABS(P1159)&lt;Overview!$B$6,"OK",IF(J1159=0,"REVIEW (zero base)",IF(ABS(P1159/ABS(J1159))&gt;=Overview!$B$5,"REVIEW","OK")))</f>
        <v>OK</v>
      </c>
      <c r="S1159" s="33">
        <f t="shared" si="94"/>
        <v>233.001159</v>
      </c>
    </row>
    <row r="1160" spans="1:19" x14ac:dyDescent="0.2">
      <c r="A1160" s="17">
        <v>1158</v>
      </c>
      <c r="B1160" s="17" t="s">
        <v>171</v>
      </c>
      <c r="C1160" s="17" t="s">
        <v>338</v>
      </c>
      <c r="D1160" s="17" t="s">
        <v>55</v>
      </c>
      <c r="E1160" s="17" t="s">
        <v>78</v>
      </c>
      <c r="F1160" s="17" t="s">
        <v>514</v>
      </c>
      <c r="G1160" s="17" t="s">
        <v>517</v>
      </c>
      <c r="H1160" s="30">
        <v>14586</v>
      </c>
      <c r="I1160" s="30">
        <v>1404</v>
      </c>
      <c r="J1160" s="30">
        <v>25000</v>
      </c>
      <c r="K1160" s="30">
        <v>50000</v>
      </c>
      <c r="L1160" s="30">
        <v>50350</v>
      </c>
      <c r="M1160" s="31">
        <f t="shared" si="90"/>
        <v>23596</v>
      </c>
      <c r="N1160" s="32">
        <f t="shared" si="91"/>
        <v>16.806267806267805</v>
      </c>
      <c r="O1160" s="6" t="str">
        <f>IF(ABS(M1160)&lt;Overview!$B$6,"OK",IF(I1160=0,"REVIEW (zero base)",IF(ABS(M1160/ABS(I1160))&gt;=Overview!$B$5,"REVIEW","OK")))</f>
        <v>OK</v>
      </c>
      <c r="P1160" s="31">
        <f t="shared" si="92"/>
        <v>25000</v>
      </c>
      <c r="Q1160" s="32">
        <f t="shared" si="93"/>
        <v>1</v>
      </c>
      <c r="R1160" s="6" t="str">
        <f>IF(ABS(P1160)&lt;Overview!$B$6,"OK",IF(J1160=0,"REVIEW (zero base)",IF(ABS(P1160/ABS(J1160))&gt;=Overview!$B$5,"REVIEW","OK")))</f>
        <v>OK</v>
      </c>
      <c r="S1160" s="33">
        <f t="shared" si="94"/>
        <v>23596.00116</v>
      </c>
    </row>
    <row r="1161" spans="1:19" x14ac:dyDescent="0.2">
      <c r="A1161" s="17">
        <v>1159</v>
      </c>
      <c r="B1161" s="17" t="s">
        <v>171</v>
      </c>
      <c r="C1161" s="17" t="s">
        <v>338</v>
      </c>
      <c r="D1161" s="17" t="s">
        <v>55</v>
      </c>
      <c r="E1161" s="17" t="s">
        <v>78</v>
      </c>
      <c r="F1161" s="17" t="s">
        <v>514</v>
      </c>
      <c r="G1161" s="17" t="s">
        <v>518</v>
      </c>
      <c r="H1161" s="30">
        <v>31316</v>
      </c>
      <c r="I1161" s="30">
        <v>40694</v>
      </c>
      <c r="J1161" s="30">
        <v>36725</v>
      </c>
      <c r="K1161" s="30">
        <v>35600</v>
      </c>
      <c r="L1161" s="30">
        <v>35849</v>
      </c>
      <c r="M1161" s="31">
        <f t="shared" si="90"/>
        <v>-3969</v>
      </c>
      <c r="N1161" s="32">
        <f t="shared" si="91"/>
        <v>-9.7532805819039656E-2</v>
      </c>
      <c r="O1161" s="6" t="str">
        <f>IF(ABS(M1161)&lt;Overview!$B$6,"OK",IF(I1161=0,"REVIEW (zero base)",IF(ABS(M1161/ABS(I1161))&gt;=Overview!$B$5,"REVIEW","OK")))</f>
        <v>OK</v>
      </c>
      <c r="P1161" s="31">
        <f t="shared" si="92"/>
        <v>-1125</v>
      </c>
      <c r="Q1161" s="32">
        <f t="shared" si="93"/>
        <v>-3.0633083730428862E-2</v>
      </c>
      <c r="R1161" s="6" t="str">
        <f>IF(ABS(P1161)&lt;Overview!$B$6,"OK",IF(J1161=0,"REVIEW (zero base)",IF(ABS(P1161/ABS(J1161))&gt;=Overview!$B$5,"REVIEW","OK")))</f>
        <v>OK</v>
      </c>
      <c r="S1161" s="33">
        <f t="shared" si="94"/>
        <v>3969.0011610000001</v>
      </c>
    </row>
    <row r="1162" spans="1:19" x14ac:dyDescent="0.2">
      <c r="A1162" s="17">
        <v>1160</v>
      </c>
      <c r="B1162" s="17" t="s">
        <v>171</v>
      </c>
      <c r="C1162" s="17" t="s">
        <v>338</v>
      </c>
      <c r="D1162" s="17" t="s">
        <v>55</v>
      </c>
      <c r="E1162" s="17" t="s">
        <v>78</v>
      </c>
      <c r="F1162" s="17" t="s">
        <v>514</v>
      </c>
      <c r="G1162" s="17" t="s">
        <v>519</v>
      </c>
      <c r="H1162" s="30">
        <v>25323</v>
      </c>
      <c r="I1162" s="30">
        <v>42815</v>
      </c>
      <c r="J1162" s="30">
        <v>46500</v>
      </c>
      <c r="K1162" s="30">
        <v>48500</v>
      </c>
      <c r="L1162" s="30">
        <v>48840</v>
      </c>
      <c r="M1162" s="31">
        <f t="shared" si="90"/>
        <v>3685</v>
      </c>
      <c r="N1162" s="32">
        <f t="shared" si="91"/>
        <v>8.6067966834053489E-2</v>
      </c>
      <c r="O1162" s="6" t="str">
        <f>IF(ABS(M1162)&lt;Overview!$B$6,"OK",IF(I1162=0,"REVIEW (zero base)",IF(ABS(M1162/ABS(I1162))&gt;=Overview!$B$5,"REVIEW","OK")))</f>
        <v>OK</v>
      </c>
      <c r="P1162" s="31">
        <f t="shared" si="92"/>
        <v>2000</v>
      </c>
      <c r="Q1162" s="32">
        <f t="shared" si="93"/>
        <v>4.3010752688172046E-2</v>
      </c>
      <c r="R1162" s="6" t="str">
        <f>IF(ABS(P1162)&lt;Overview!$B$6,"OK",IF(J1162=0,"REVIEW (zero base)",IF(ABS(P1162/ABS(J1162))&gt;=Overview!$B$5,"REVIEW","OK")))</f>
        <v>OK</v>
      </c>
      <c r="S1162" s="33">
        <f t="shared" si="94"/>
        <v>3685.001162</v>
      </c>
    </row>
    <row r="1163" spans="1:19" x14ac:dyDescent="0.2">
      <c r="A1163" s="17">
        <v>1161</v>
      </c>
      <c r="B1163" s="17" t="s">
        <v>171</v>
      </c>
      <c r="C1163" s="17" t="s">
        <v>338</v>
      </c>
      <c r="D1163" s="17" t="s">
        <v>55</v>
      </c>
      <c r="E1163" s="17" t="s">
        <v>78</v>
      </c>
      <c r="F1163" s="17" t="s">
        <v>514</v>
      </c>
      <c r="G1163" s="17" t="s">
        <v>520</v>
      </c>
      <c r="H1163" s="30">
        <v>85256</v>
      </c>
      <c r="I1163" s="30">
        <v>107881</v>
      </c>
      <c r="J1163" s="30">
        <v>154450</v>
      </c>
      <c r="K1163" s="30">
        <v>122620</v>
      </c>
      <c r="L1163" s="30">
        <v>123478</v>
      </c>
      <c r="M1163" s="31">
        <f t="shared" si="90"/>
        <v>46569</v>
      </c>
      <c r="N1163" s="32">
        <f t="shared" si="91"/>
        <v>0.43167008092249792</v>
      </c>
      <c r="O1163" s="6" t="str">
        <f>IF(ABS(M1163)&lt;Overview!$B$6,"OK",IF(I1163=0,"REVIEW (zero base)",IF(ABS(M1163/ABS(I1163))&gt;=Overview!$B$5,"REVIEW","OK")))</f>
        <v>OK</v>
      </c>
      <c r="P1163" s="31">
        <f t="shared" si="92"/>
        <v>-31830</v>
      </c>
      <c r="Q1163" s="32">
        <f t="shared" si="93"/>
        <v>-0.20608611201035934</v>
      </c>
      <c r="R1163" s="6" t="str">
        <f>IF(ABS(P1163)&lt;Overview!$B$6,"OK",IF(J1163=0,"REVIEW (zero base)",IF(ABS(P1163/ABS(J1163))&gt;=Overview!$B$5,"REVIEW","OK")))</f>
        <v>OK</v>
      </c>
      <c r="S1163" s="33">
        <f t="shared" si="94"/>
        <v>46569.001163000001</v>
      </c>
    </row>
    <row r="1164" spans="1:19" x14ac:dyDescent="0.2">
      <c r="A1164" s="17">
        <v>1162</v>
      </c>
      <c r="B1164" s="17" t="s">
        <v>171</v>
      </c>
      <c r="C1164" s="17" t="s">
        <v>338</v>
      </c>
      <c r="D1164" s="17" t="s">
        <v>55</v>
      </c>
      <c r="E1164" s="17" t="s">
        <v>78</v>
      </c>
      <c r="F1164" s="17" t="s">
        <v>475</v>
      </c>
      <c r="G1164" s="17" t="s">
        <v>476</v>
      </c>
      <c r="H1164" s="30">
        <v>6008</v>
      </c>
      <c r="I1164" s="30">
        <v>43600</v>
      </c>
      <c r="J1164" s="30">
        <v>15000</v>
      </c>
      <c r="K1164" s="30">
        <v>15000</v>
      </c>
      <c r="L1164" s="30">
        <v>15105</v>
      </c>
      <c r="M1164" s="31">
        <f t="shared" si="90"/>
        <v>-28600</v>
      </c>
      <c r="N1164" s="32">
        <f t="shared" si="91"/>
        <v>-0.65596330275229353</v>
      </c>
      <c r="O1164" s="6" t="str">
        <f>IF(ABS(M1164)&lt;Overview!$B$6,"OK",IF(I1164=0,"REVIEW (zero base)",IF(ABS(M1164/ABS(I1164))&gt;=Overview!$B$5,"REVIEW","OK")))</f>
        <v>OK</v>
      </c>
      <c r="P1164" s="31">
        <f t="shared" si="92"/>
        <v>0</v>
      </c>
      <c r="Q1164" s="32">
        <f t="shared" si="93"/>
        <v>0</v>
      </c>
      <c r="R1164" s="6" t="str">
        <f>IF(ABS(P1164)&lt;Overview!$B$6,"OK",IF(J1164=0,"REVIEW (zero base)",IF(ABS(P1164/ABS(J1164))&gt;=Overview!$B$5,"REVIEW","OK")))</f>
        <v>OK</v>
      </c>
      <c r="S1164" s="33">
        <f t="shared" si="94"/>
        <v>28600.001164000001</v>
      </c>
    </row>
    <row r="1165" spans="1:19" x14ac:dyDescent="0.2">
      <c r="A1165" s="17">
        <v>1163</v>
      </c>
      <c r="B1165" s="17" t="s">
        <v>171</v>
      </c>
      <c r="C1165" s="17" t="s">
        <v>338</v>
      </c>
      <c r="D1165" s="17" t="s">
        <v>55</v>
      </c>
      <c r="E1165" s="17" t="s">
        <v>78</v>
      </c>
      <c r="F1165" s="17" t="s">
        <v>448</v>
      </c>
      <c r="G1165" s="17" t="s">
        <v>449</v>
      </c>
      <c r="H1165" s="30">
        <v>0</v>
      </c>
      <c r="I1165" s="30">
        <v>0</v>
      </c>
      <c r="J1165" s="30">
        <v>0</v>
      </c>
      <c r="K1165" s="30">
        <v>15000</v>
      </c>
      <c r="L1165" s="30">
        <v>15105</v>
      </c>
      <c r="M1165" s="31">
        <f t="shared" si="90"/>
        <v>0</v>
      </c>
      <c r="N1165" s="32" t="str">
        <f t="shared" si="91"/>
        <v>n/a</v>
      </c>
      <c r="O1165" s="6" t="str">
        <f>IF(ABS(M1165)&lt;Overview!$B$6,"OK",IF(I1165=0,"REVIEW (zero base)",IF(ABS(M1165/ABS(I1165))&gt;=Overview!$B$5,"REVIEW","OK")))</f>
        <v>OK</v>
      </c>
      <c r="P1165" s="31">
        <f t="shared" si="92"/>
        <v>15000</v>
      </c>
      <c r="Q1165" s="32" t="str">
        <f t="shared" si="93"/>
        <v>n/a</v>
      </c>
      <c r="R1165" s="6" t="str">
        <f>IF(ABS(P1165)&lt;Overview!$B$6,"OK",IF(J1165=0,"REVIEW (zero base)",IF(ABS(P1165/ABS(J1165))&gt;=Overview!$B$5,"REVIEW","OK")))</f>
        <v>OK</v>
      </c>
      <c r="S1165" s="33">
        <f t="shared" si="94"/>
        <v>1.165E-3</v>
      </c>
    </row>
    <row r="1166" spans="1:19" x14ac:dyDescent="0.2">
      <c r="A1166" s="17">
        <v>1164</v>
      </c>
      <c r="B1166" s="17" t="s">
        <v>171</v>
      </c>
      <c r="C1166" s="17" t="s">
        <v>338</v>
      </c>
      <c r="D1166" s="17" t="s">
        <v>55</v>
      </c>
      <c r="E1166" s="17" t="s">
        <v>78</v>
      </c>
      <c r="F1166" s="17" t="s">
        <v>411</v>
      </c>
      <c r="G1166" s="17" t="s">
        <v>465</v>
      </c>
      <c r="H1166" s="30">
        <v>215457</v>
      </c>
      <c r="I1166" s="30">
        <v>297120</v>
      </c>
      <c r="J1166" s="30">
        <v>275000</v>
      </c>
      <c r="K1166" s="30">
        <v>278000</v>
      </c>
      <c r="L1166" s="30">
        <v>279946</v>
      </c>
      <c r="M1166" s="31">
        <f t="shared" si="90"/>
        <v>-22120</v>
      </c>
      <c r="N1166" s="32">
        <f t="shared" si="91"/>
        <v>-7.4448034464189558E-2</v>
      </c>
      <c r="O1166" s="6" t="str">
        <f>IF(ABS(M1166)&lt;Overview!$B$6,"OK",IF(I1166=0,"REVIEW (zero base)",IF(ABS(M1166/ABS(I1166))&gt;=Overview!$B$5,"REVIEW","OK")))</f>
        <v>OK</v>
      </c>
      <c r="P1166" s="31">
        <f t="shared" si="92"/>
        <v>3000</v>
      </c>
      <c r="Q1166" s="32">
        <f t="shared" si="93"/>
        <v>1.090909090909091E-2</v>
      </c>
      <c r="R1166" s="6" t="str">
        <f>IF(ABS(P1166)&lt;Overview!$B$6,"OK",IF(J1166=0,"REVIEW (zero base)",IF(ABS(P1166/ABS(J1166))&gt;=Overview!$B$5,"REVIEW","OK")))</f>
        <v>OK</v>
      </c>
      <c r="S1166" s="33">
        <f t="shared" si="94"/>
        <v>22120.001165999998</v>
      </c>
    </row>
    <row r="1167" spans="1:19" x14ac:dyDescent="0.2">
      <c r="A1167" s="17">
        <v>1165</v>
      </c>
      <c r="B1167" s="17" t="s">
        <v>171</v>
      </c>
      <c r="C1167" s="17" t="s">
        <v>338</v>
      </c>
      <c r="D1167" s="17" t="s">
        <v>55</v>
      </c>
      <c r="E1167" s="17" t="s">
        <v>78</v>
      </c>
      <c r="F1167" s="17" t="s">
        <v>411</v>
      </c>
      <c r="G1167" s="17" t="s">
        <v>433</v>
      </c>
      <c r="H1167" s="30">
        <v>3292</v>
      </c>
      <c r="I1167" s="30">
        <v>2405</v>
      </c>
      <c r="J1167" s="30">
        <v>4500</v>
      </c>
      <c r="K1167" s="30">
        <v>2500</v>
      </c>
      <c r="L1167" s="30">
        <v>2518</v>
      </c>
      <c r="M1167" s="31">
        <f t="shared" si="90"/>
        <v>2095</v>
      </c>
      <c r="N1167" s="32">
        <f t="shared" si="91"/>
        <v>0.87110187110187109</v>
      </c>
      <c r="O1167" s="6" t="str">
        <f>IF(ABS(M1167)&lt;Overview!$B$6,"OK",IF(I1167=0,"REVIEW (zero base)",IF(ABS(M1167/ABS(I1167))&gt;=Overview!$B$5,"REVIEW","OK")))</f>
        <v>OK</v>
      </c>
      <c r="P1167" s="31">
        <f t="shared" si="92"/>
        <v>-2000</v>
      </c>
      <c r="Q1167" s="32">
        <f t="shared" si="93"/>
        <v>-0.44444444444444442</v>
      </c>
      <c r="R1167" s="6" t="str">
        <f>IF(ABS(P1167)&lt;Overview!$B$6,"OK",IF(J1167=0,"REVIEW (zero base)",IF(ABS(P1167/ABS(J1167))&gt;=Overview!$B$5,"REVIEW","OK")))</f>
        <v>OK</v>
      </c>
      <c r="S1167" s="33">
        <f t="shared" si="94"/>
        <v>2095.0011669999999</v>
      </c>
    </row>
    <row r="1168" spans="1:19" x14ac:dyDescent="0.2">
      <c r="A1168" s="17">
        <v>1166</v>
      </c>
      <c r="B1168" s="17" t="s">
        <v>171</v>
      </c>
      <c r="C1168" s="17" t="s">
        <v>338</v>
      </c>
      <c r="D1168" s="17" t="s">
        <v>55</v>
      </c>
      <c r="E1168" s="17" t="s">
        <v>78</v>
      </c>
      <c r="F1168" s="17" t="s">
        <v>411</v>
      </c>
      <c r="G1168" s="17" t="s">
        <v>450</v>
      </c>
      <c r="H1168" s="30">
        <v>311</v>
      </c>
      <c r="I1168" s="30">
        <v>0</v>
      </c>
      <c r="J1168" s="30">
        <v>4000</v>
      </c>
      <c r="K1168" s="30">
        <v>2000</v>
      </c>
      <c r="L1168" s="30">
        <v>2014</v>
      </c>
      <c r="M1168" s="31">
        <f t="shared" si="90"/>
        <v>4000</v>
      </c>
      <c r="N1168" s="32" t="str">
        <f t="shared" si="91"/>
        <v>n/a</v>
      </c>
      <c r="O1168" s="6" t="str">
        <f>IF(ABS(M1168)&lt;Overview!$B$6,"OK",IF(I1168=0,"REVIEW (zero base)",IF(ABS(M1168/ABS(I1168))&gt;=Overview!$B$5,"REVIEW","OK")))</f>
        <v>OK</v>
      </c>
      <c r="P1168" s="31">
        <f t="shared" si="92"/>
        <v>-2000</v>
      </c>
      <c r="Q1168" s="32">
        <f t="shared" si="93"/>
        <v>-0.5</v>
      </c>
      <c r="R1168" s="6" t="str">
        <f>IF(ABS(P1168)&lt;Overview!$B$6,"OK",IF(J1168=0,"REVIEW (zero base)",IF(ABS(P1168/ABS(J1168))&gt;=Overview!$B$5,"REVIEW","OK")))</f>
        <v>OK</v>
      </c>
      <c r="S1168" s="33">
        <f t="shared" si="94"/>
        <v>4000.0011679999998</v>
      </c>
    </row>
    <row r="1169" spans="1:19" x14ac:dyDescent="0.2">
      <c r="A1169" s="17">
        <v>1167</v>
      </c>
      <c r="B1169" s="17" t="s">
        <v>171</v>
      </c>
      <c r="C1169" s="17" t="s">
        <v>338</v>
      </c>
      <c r="D1169" s="17" t="s">
        <v>55</v>
      </c>
      <c r="E1169" s="17" t="s">
        <v>78</v>
      </c>
      <c r="F1169" s="17" t="s">
        <v>411</v>
      </c>
      <c r="G1169" s="17" t="s">
        <v>451</v>
      </c>
      <c r="H1169" s="30">
        <v>7252</v>
      </c>
      <c r="I1169" s="30">
        <v>15468</v>
      </c>
      <c r="J1169" s="30">
        <v>8000</v>
      </c>
      <c r="K1169" s="30">
        <v>10000</v>
      </c>
      <c r="L1169" s="30">
        <v>10070</v>
      </c>
      <c r="M1169" s="31">
        <f t="shared" si="90"/>
        <v>-7468</v>
      </c>
      <c r="N1169" s="32">
        <f t="shared" si="91"/>
        <v>-0.48280320662011894</v>
      </c>
      <c r="O1169" s="6" t="str">
        <f>IF(ABS(M1169)&lt;Overview!$B$6,"OK",IF(I1169=0,"REVIEW (zero base)",IF(ABS(M1169/ABS(I1169))&gt;=Overview!$B$5,"REVIEW","OK")))</f>
        <v>OK</v>
      </c>
      <c r="P1169" s="31">
        <f t="shared" si="92"/>
        <v>2000</v>
      </c>
      <c r="Q1169" s="32">
        <f t="shared" si="93"/>
        <v>0.25</v>
      </c>
      <c r="R1169" s="6" t="str">
        <f>IF(ABS(P1169)&lt;Overview!$B$6,"OK",IF(J1169=0,"REVIEW (zero base)",IF(ABS(P1169/ABS(J1169))&gt;=Overview!$B$5,"REVIEW","OK")))</f>
        <v>OK</v>
      </c>
      <c r="S1169" s="33">
        <f t="shared" si="94"/>
        <v>7468.0011690000001</v>
      </c>
    </row>
    <row r="1170" spans="1:19" x14ac:dyDescent="0.2">
      <c r="A1170" s="17">
        <v>1168</v>
      </c>
      <c r="B1170" s="17" t="s">
        <v>171</v>
      </c>
      <c r="C1170" s="17" t="s">
        <v>338</v>
      </c>
      <c r="D1170" s="17" t="s">
        <v>55</v>
      </c>
      <c r="E1170" s="17" t="s">
        <v>78</v>
      </c>
      <c r="F1170" s="17" t="s">
        <v>411</v>
      </c>
      <c r="G1170" s="17" t="s">
        <v>454</v>
      </c>
      <c r="H1170" s="30">
        <v>42401</v>
      </c>
      <c r="I1170" s="30">
        <v>55381</v>
      </c>
      <c r="J1170" s="30">
        <v>45000</v>
      </c>
      <c r="K1170" s="30">
        <v>60000</v>
      </c>
      <c r="L1170" s="30">
        <v>60420</v>
      </c>
      <c r="M1170" s="31">
        <f t="shared" si="90"/>
        <v>-10381</v>
      </c>
      <c r="N1170" s="32">
        <f t="shared" si="91"/>
        <v>-0.18744695834311406</v>
      </c>
      <c r="O1170" s="6" t="str">
        <f>IF(ABS(M1170)&lt;Overview!$B$6,"OK",IF(I1170=0,"REVIEW (zero base)",IF(ABS(M1170/ABS(I1170))&gt;=Overview!$B$5,"REVIEW","OK")))</f>
        <v>OK</v>
      </c>
      <c r="P1170" s="31">
        <f t="shared" si="92"/>
        <v>15000</v>
      </c>
      <c r="Q1170" s="32">
        <f t="shared" si="93"/>
        <v>0.33333333333333331</v>
      </c>
      <c r="R1170" s="6" t="str">
        <f>IF(ABS(P1170)&lt;Overview!$B$6,"OK",IF(J1170=0,"REVIEW (zero base)",IF(ABS(P1170/ABS(J1170))&gt;=Overview!$B$5,"REVIEW","OK")))</f>
        <v>OK</v>
      </c>
      <c r="S1170" s="33">
        <f t="shared" si="94"/>
        <v>10381.00117</v>
      </c>
    </row>
    <row r="1171" spans="1:19" x14ac:dyDescent="0.2">
      <c r="A1171" s="17">
        <v>1169</v>
      </c>
      <c r="B1171" s="17" t="s">
        <v>171</v>
      </c>
      <c r="C1171" s="17" t="s">
        <v>338</v>
      </c>
      <c r="D1171" s="17" t="s">
        <v>55</v>
      </c>
      <c r="E1171" s="17" t="s">
        <v>78</v>
      </c>
      <c r="F1171" s="17" t="s">
        <v>411</v>
      </c>
      <c r="G1171" s="17" t="s">
        <v>455</v>
      </c>
      <c r="H1171" s="30">
        <v>885031</v>
      </c>
      <c r="I1171" s="30">
        <v>823437</v>
      </c>
      <c r="J1171" s="30">
        <v>963626</v>
      </c>
      <c r="K1171" s="30">
        <v>934048</v>
      </c>
      <c r="L1171" s="30">
        <v>940586</v>
      </c>
      <c r="M1171" s="31">
        <f t="shared" si="90"/>
        <v>140189</v>
      </c>
      <c r="N1171" s="32">
        <f t="shared" si="91"/>
        <v>0.17024860432552824</v>
      </c>
      <c r="O1171" s="6" t="str">
        <f>IF(ABS(M1171)&lt;Overview!$B$6,"OK",IF(I1171=0,"REVIEW (zero base)",IF(ABS(M1171/ABS(I1171))&gt;=Overview!$B$5,"REVIEW","OK")))</f>
        <v>OK</v>
      </c>
      <c r="P1171" s="31">
        <f t="shared" si="92"/>
        <v>-29578</v>
      </c>
      <c r="Q1171" s="32">
        <f t="shared" si="93"/>
        <v>-3.0694481053852845E-2</v>
      </c>
      <c r="R1171" s="6" t="str">
        <f>IF(ABS(P1171)&lt;Overview!$B$6,"OK",IF(J1171=0,"REVIEW (zero base)",IF(ABS(P1171/ABS(J1171))&gt;=Overview!$B$5,"REVIEW","OK")))</f>
        <v>OK</v>
      </c>
      <c r="S1171" s="33">
        <f t="shared" si="94"/>
        <v>140189.00117100001</v>
      </c>
    </row>
    <row r="1172" spans="1:19" x14ac:dyDescent="0.2">
      <c r="A1172" s="17">
        <v>1170</v>
      </c>
      <c r="B1172" s="17" t="s">
        <v>171</v>
      </c>
      <c r="C1172" s="17" t="s">
        <v>338</v>
      </c>
      <c r="D1172" s="17" t="s">
        <v>55</v>
      </c>
      <c r="E1172" s="17" t="s">
        <v>78</v>
      </c>
      <c r="F1172" s="17" t="s">
        <v>411</v>
      </c>
      <c r="G1172" s="17" t="s">
        <v>412</v>
      </c>
      <c r="H1172" s="30">
        <v>357939</v>
      </c>
      <c r="I1172" s="30">
        <v>120563</v>
      </c>
      <c r="J1172" s="30">
        <v>213235</v>
      </c>
      <c r="K1172" s="30">
        <v>117924</v>
      </c>
      <c r="L1172" s="30">
        <v>118749</v>
      </c>
      <c r="M1172" s="31">
        <f t="shared" si="90"/>
        <v>92672</v>
      </c>
      <c r="N1172" s="32">
        <f t="shared" si="91"/>
        <v>0.76866036843807806</v>
      </c>
      <c r="O1172" s="6" t="str">
        <f>IF(ABS(M1172)&lt;Overview!$B$6,"OK",IF(I1172=0,"REVIEW (zero base)",IF(ABS(M1172/ABS(I1172))&gt;=Overview!$B$5,"REVIEW","OK")))</f>
        <v>OK</v>
      </c>
      <c r="P1172" s="31">
        <f t="shared" si="92"/>
        <v>-95311</v>
      </c>
      <c r="Q1172" s="32">
        <f t="shared" si="93"/>
        <v>-0.44697634065702158</v>
      </c>
      <c r="R1172" s="6" t="str">
        <f>IF(ABS(P1172)&lt;Overview!$B$6,"OK",IF(J1172=0,"REVIEW (zero base)",IF(ABS(P1172/ABS(J1172))&gt;=Overview!$B$5,"REVIEW","OK")))</f>
        <v>OK</v>
      </c>
      <c r="S1172" s="33">
        <f t="shared" si="94"/>
        <v>92672.001172000004</v>
      </c>
    </row>
    <row r="1173" spans="1:19" x14ac:dyDescent="0.2">
      <c r="A1173" s="17">
        <v>1171</v>
      </c>
      <c r="B1173" s="17" t="s">
        <v>171</v>
      </c>
      <c r="C1173" s="17" t="s">
        <v>338</v>
      </c>
      <c r="D1173" s="17" t="s">
        <v>55</v>
      </c>
      <c r="E1173" s="17" t="s">
        <v>79</v>
      </c>
      <c r="F1173" s="17" t="s">
        <v>339</v>
      </c>
      <c r="G1173" s="17" t="s">
        <v>340</v>
      </c>
      <c r="H1173" s="30">
        <v>20026979</v>
      </c>
      <c r="I1173" s="30">
        <v>17713441</v>
      </c>
      <c r="J1173" s="30">
        <v>31499640</v>
      </c>
      <c r="K1173" s="30">
        <v>31398720</v>
      </c>
      <c r="L1173" s="30">
        <v>31712707</v>
      </c>
      <c r="M1173" s="31">
        <f t="shared" si="90"/>
        <v>13786199</v>
      </c>
      <c r="N1173" s="32">
        <f t="shared" si="91"/>
        <v>0.77829028250355192</v>
      </c>
      <c r="O1173" s="6" t="str">
        <f>IF(ABS(M1173)&lt;Overview!$B$6,"OK",IF(I1173=0,"REVIEW (zero base)",IF(ABS(M1173/ABS(I1173))&gt;=Overview!$B$5,"REVIEW","OK")))</f>
        <v>REVIEW</v>
      </c>
      <c r="P1173" s="31">
        <f t="shared" si="92"/>
        <v>-100920</v>
      </c>
      <c r="Q1173" s="32">
        <f t="shared" si="93"/>
        <v>-3.2038461391939717E-3</v>
      </c>
      <c r="R1173" s="6" t="str">
        <f>IF(ABS(P1173)&lt;Overview!$B$6,"OK",IF(J1173=0,"REVIEW (zero base)",IF(ABS(P1173/ABS(J1173))&gt;=Overview!$B$5,"REVIEW","OK")))</f>
        <v>OK</v>
      </c>
      <c r="S1173" s="33">
        <f t="shared" si="94"/>
        <v>13786199.001173001</v>
      </c>
    </row>
    <row r="1174" spans="1:19" x14ac:dyDescent="0.2">
      <c r="A1174" s="17">
        <v>1172</v>
      </c>
      <c r="B1174" s="17" t="s">
        <v>171</v>
      </c>
      <c r="C1174" s="17" t="s">
        <v>338</v>
      </c>
      <c r="D1174" s="17" t="s">
        <v>55</v>
      </c>
      <c r="E1174" s="17" t="s">
        <v>79</v>
      </c>
      <c r="F1174" s="17" t="s">
        <v>339</v>
      </c>
      <c r="G1174" s="17" t="s">
        <v>390</v>
      </c>
      <c r="H1174" s="30">
        <v>64683</v>
      </c>
      <c r="I1174" s="30">
        <v>83526</v>
      </c>
      <c r="J1174" s="30">
        <v>75000</v>
      </c>
      <c r="K1174" s="30">
        <v>75000</v>
      </c>
      <c r="L1174" s="30">
        <v>75000</v>
      </c>
      <c r="M1174" s="31">
        <f t="shared" si="90"/>
        <v>-8526</v>
      </c>
      <c r="N1174" s="32">
        <f t="shared" si="91"/>
        <v>-0.10207600028733568</v>
      </c>
      <c r="O1174" s="6" t="str">
        <f>IF(ABS(M1174)&lt;Overview!$B$6,"OK",IF(I1174=0,"REVIEW (zero base)",IF(ABS(M1174/ABS(I1174))&gt;=Overview!$B$5,"REVIEW","OK")))</f>
        <v>OK</v>
      </c>
      <c r="P1174" s="31">
        <f t="shared" si="92"/>
        <v>0</v>
      </c>
      <c r="Q1174" s="32">
        <f t="shared" si="93"/>
        <v>0</v>
      </c>
      <c r="R1174" s="6" t="str">
        <f>IF(ABS(P1174)&lt;Overview!$B$6,"OK",IF(J1174=0,"REVIEW (zero base)",IF(ABS(P1174/ABS(J1174))&gt;=Overview!$B$5,"REVIEW","OK")))</f>
        <v>OK</v>
      </c>
      <c r="S1174" s="33">
        <f t="shared" si="94"/>
        <v>8526.0011740000009</v>
      </c>
    </row>
    <row r="1175" spans="1:19" x14ac:dyDescent="0.2">
      <c r="A1175" s="17">
        <v>1173</v>
      </c>
      <c r="B1175" s="17" t="s">
        <v>171</v>
      </c>
      <c r="C1175" s="17" t="s">
        <v>338</v>
      </c>
      <c r="D1175" s="17" t="s">
        <v>55</v>
      </c>
      <c r="E1175" s="17" t="s">
        <v>79</v>
      </c>
      <c r="F1175" s="17" t="s">
        <v>339</v>
      </c>
      <c r="G1175" s="17" t="s">
        <v>499</v>
      </c>
      <c r="H1175" s="30">
        <v>58975</v>
      </c>
      <c r="I1175" s="30">
        <v>172993</v>
      </c>
      <c r="J1175" s="30">
        <v>238594</v>
      </c>
      <c r="K1175" s="30">
        <v>200000</v>
      </c>
      <c r="L1175" s="30">
        <v>200000</v>
      </c>
      <c r="M1175" s="31">
        <f t="shared" si="90"/>
        <v>65601</v>
      </c>
      <c r="N1175" s="32">
        <f t="shared" si="91"/>
        <v>0.37921187562502529</v>
      </c>
      <c r="O1175" s="6" t="str">
        <f>IF(ABS(M1175)&lt;Overview!$B$6,"OK",IF(I1175=0,"REVIEW (zero base)",IF(ABS(M1175/ABS(I1175))&gt;=Overview!$B$5,"REVIEW","OK")))</f>
        <v>OK</v>
      </c>
      <c r="P1175" s="31">
        <f t="shared" si="92"/>
        <v>-38594</v>
      </c>
      <c r="Q1175" s="32">
        <f t="shared" si="93"/>
        <v>-0.16175595362833936</v>
      </c>
      <c r="R1175" s="6" t="str">
        <f>IF(ABS(P1175)&lt;Overview!$B$6,"OK",IF(J1175=0,"REVIEW (zero base)",IF(ABS(P1175/ABS(J1175))&gt;=Overview!$B$5,"REVIEW","OK")))</f>
        <v>OK</v>
      </c>
      <c r="S1175" s="33">
        <f t="shared" si="94"/>
        <v>65601.001174999998</v>
      </c>
    </row>
    <row r="1176" spans="1:19" x14ac:dyDescent="0.2">
      <c r="A1176" s="17">
        <v>1174</v>
      </c>
      <c r="B1176" s="17" t="s">
        <v>171</v>
      </c>
      <c r="C1176" s="17" t="s">
        <v>338</v>
      </c>
      <c r="D1176" s="17" t="s">
        <v>55</v>
      </c>
      <c r="E1176" s="17" t="s">
        <v>79</v>
      </c>
      <c r="F1176" s="17" t="s">
        <v>339</v>
      </c>
      <c r="G1176" s="17" t="s">
        <v>391</v>
      </c>
      <c r="H1176" s="30">
        <v>1124797</v>
      </c>
      <c r="I1176" s="30">
        <v>1072543</v>
      </c>
      <c r="J1176" s="30">
        <v>0</v>
      </c>
      <c r="K1176" s="30">
        <v>0</v>
      </c>
      <c r="L1176" s="30">
        <v>0</v>
      </c>
      <c r="M1176" s="31">
        <f t="shared" si="90"/>
        <v>-1072543</v>
      </c>
      <c r="N1176" s="32">
        <f t="shared" si="91"/>
        <v>-1</v>
      </c>
      <c r="O1176" s="6" t="str">
        <f>IF(ABS(M1176)&lt;Overview!$B$6,"OK",IF(I1176=0,"REVIEW (zero base)",IF(ABS(M1176/ABS(I1176))&gt;=Overview!$B$5,"REVIEW","OK")))</f>
        <v>REVIEW</v>
      </c>
      <c r="P1176" s="31">
        <f t="shared" si="92"/>
        <v>0</v>
      </c>
      <c r="Q1176" s="32" t="str">
        <f t="shared" si="93"/>
        <v>n/a</v>
      </c>
      <c r="R1176" s="6" t="str">
        <f>IF(ABS(P1176)&lt;Overview!$B$6,"OK",IF(J1176=0,"REVIEW (zero base)",IF(ABS(P1176/ABS(J1176))&gt;=Overview!$B$5,"REVIEW","OK")))</f>
        <v>OK</v>
      </c>
      <c r="S1176" s="33">
        <f t="shared" si="94"/>
        <v>1072543.0011760001</v>
      </c>
    </row>
    <row r="1177" spans="1:19" x14ac:dyDescent="0.2">
      <c r="A1177" s="17">
        <v>1175</v>
      </c>
      <c r="B1177" s="17" t="s">
        <v>171</v>
      </c>
      <c r="C1177" s="17" t="s">
        <v>338</v>
      </c>
      <c r="D1177" s="17" t="s">
        <v>55</v>
      </c>
      <c r="E1177" s="17" t="s">
        <v>79</v>
      </c>
      <c r="F1177" s="17" t="s">
        <v>339</v>
      </c>
      <c r="G1177" s="17" t="s">
        <v>392</v>
      </c>
      <c r="H1177" s="30">
        <v>2287979</v>
      </c>
      <c r="I1177" s="30">
        <v>1798963</v>
      </c>
      <c r="J1177" s="30">
        <v>0</v>
      </c>
      <c r="K1177" s="30">
        <v>0</v>
      </c>
      <c r="L1177" s="30">
        <v>0</v>
      </c>
      <c r="M1177" s="31">
        <f t="shared" si="90"/>
        <v>-1798963</v>
      </c>
      <c r="N1177" s="32">
        <f t="shared" si="91"/>
        <v>-1</v>
      </c>
      <c r="O1177" s="6" t="str">
        <f>IF(ABS(M1177)&lt;Overview!$B$6,"OK",IF(I1177=0,"REVIEW (zero base)",IF(ABS(M1177/ABS(I1177))&gt;=Overview!$B$5,"REVIEW","OK")))</f>
        <v>REVIEW</v>
      </c>
      <c r="P1177" s="31">
        <f t="shared" si="92"/>
        <v>0</v>
      </c>
      <c r="Q1177" s="32" t="str">
        <f t="shared" si="93"/>
        <v>n/a</v>
      </c>
      <c r="R1177" s="6" t="str">
        <f>IF(ABS(P1177)&lt;Overview!$B$6,"OK",IF(J1177=0,"REVIEW (zero base)",IF(ABS(P1177/ABS(J1177))&gt;=Overview!$B$5,"REVIEW","OK")))</f>
        <v>OK</v>
      </c>
      <c r="S1177" s="33">
        <f t="shared" si="94"/>
        <v>1798963.0011770001</v>
      </c>
    </row>
    <row r="1178" spans="1:19" x14ac:dyDescent="0.2">
      <c r="A1178" s="17">
        <v>1176</v>
      </c>
      <c r="B1178" s="17" t="s">
        <v>171</v>
      </c>
      <c r="C1178" s="17" t="s">
        <v>338</v>
      </c>
      <c r="D1178" s="17" t="s">
        <v>55</v>
      </c>
      <c r="E1178" s="17" t="s">
        <v>79</v>
      </c>
      <c r="F1178" s="17" t="s">
        <v>339</v>
      </c>
      <c r="G1178" s="17" t="s">
        <v>501</v>
      </c>
      <c r="H1178" s="30">
        <v>284861</v>
      </c>
      <c r="I1178" s="30">
        <v>319497</v>
      </c>
      <c r="J1178" s="30">
        <v>297095</v>
      </c>
      <c r="K1178" s="30">
        <v>174303</v>
      </c>
      <c r="L1178" s="30">
        <v>174303</v>
      </c>
      <c r="M1178" s="31">
        <f t="shared" si="90"/>
        <v>-22402</v>
      </c>
      <c r="N1178" s="32">
        <f t="shared" si="91"/>
        <v>-7.0116464317348831E-2</v>
      </c>
      <c r="O1178" s="6" t="str">
        <f>IF(ABS(M1178)&lt;Overview!$B$6,"OK",IF(I1178=0,"REVIEW (zero base)",IF(ABS(M1178/ABS(I1178))&gt;=Overview!$B$5,"REVIEW","OK")))</f>
        <v>OK</v>
      </c>
      <c r="P1178" s="31">
        <f t="shared" si="92"/>
        <v>-122792</v>
      </c>
      <c r="Q1178" s="32">
        <f t="shared" si="93"/>
        <v>-0.41330887426580726</v>
      </c>
      <c r="R1178" s="6" t="str">
        <f>IF(ABS(P1178)&lt;Overview!$B$6,"OK",IF(J1178=0,"REVIEW (zero base)",IF(ABS(P1178/ABS(J1178))&gt;=Overview!$B$5,"REVIEW","OK")))</f>
        <v>OK</v>
      </c>
      <c r="S1178" s="33">
        <f t="shared" si="94"/>
        <v>22402.001177999999</v>
      </c>
    </row>
    <row r="1179" spans="1:19" x14ac:dyDescent="0.2">
      <c r="A1179" s="17">
        <v>1177</v>
      </c>
      <c r="B1179" s="17" t="s">
        <v>171</v>
      </c>
      <c r="C1179" s="17" t="s">
        <v>338</v>
      </c>
      <c r="D1179" s="17" t="s">
        <v>55</v>
      </c>
      <c r="E1179" s="17" t="s">
        <v>79</v>
      </c>
      <c r="F1179" s="17" t="s">
        <v>339</v>
      </c>
      <c r="G1179" s="17" t="s">
        <v>393</v>
      </c>
      <c r="H1179" s="30">
        <v>5591560</v>
      </c>
      <c r="I1179" s="30">
        <v>3815598</v>
      </c>
      <c r="J1179" s="30">
        <v>5400000</v>
      </c>
      <c r="K1179" s="30">
        <v>5400000</v>
      </c>
      <c r="L1179" s="30">
        <v>5400000</v>
      </c>
      <c r="M1179" s="31">
        <f t="shared" si="90"/>
        <v>1584402</v>
      </c>
      <c r="N1179" s="32">
        <f t="shared" si="91"/>
        <v>0.41524342973237749</v>
      </c>
      <c r="O1179" s="6" t="str">
        <f>IF(ABS(M1179)&lt;Overview!$B$6,"OK",IF(I1179=0,"REVIEW (zero base)",IF(ABS(M1179/ABS(I1179))&gt;=Overview!$B$5,"REVIEW","OK")))</f>
        <v>REVIEW</v>
      </c>
      <c r="P1179" s="31">
        <f t="shared" si="92"/>
        <v>0</v>
      </c>
      <c r="Q1179" s="32">
        <f t="shared" si="93"/>
        <v>0</v>
      </c>
      <c r="R1179" s="6" t="str">
        <f>IF(ABS(P1179)&lt;Overview!$B$6,"OK",IF(J1179=0,"REVIEW (zero base)",IF(ABS(P1179/ABS(J1179))&gt;=Overview!$B$5,"REVIEW","OK")))</f>
        <v>OK</v>
      </c>
      <c r="S1179" s="33">
        <f t="shared" si="94"/>
        <v>1584402.0011789999</v>
      </c>
    </row>
    <row r="1180" spans="1:19" x14ac:dyDescent="0.2">
      <c r="A1180" s="17">
        <v>1178</v>
      </c>
      <c r="B1180" s="17" t="s">
        <v>171</v>
      </c>
      <c r="C1180" s="17" t="s">
        <v>338</v>
      </c>
      <c r="D1180" s="17" t="s">
        <v>55</v>
      </c>
      <c r="E1180" s="17" t="s">
        <v>79</v>
      </c>
      <c r="F1180" s="17" t="s">
        <v>339</v>
      </c>
      <c r="G1180" s="17" t="s">
        <v>502</v>
      </c>
      <c r="H1180" s="30">
        <v>689331</v>
      </c>
      <c r="I1180" s="30">
        <v>651183</v>
      </c>
      <c r="J1180" s="30">
        <v>0</v>
      </c>
      <c r="K1180" s="30">
        <v>0</v>
      </c>
      <c r="L1180" s="30">
        <v>0</v>
      </c>
      <c r="M1180" s="31">
        <f t="shared" si="90"/>
        <v>-651183</v>
      </c>
      <c r="N1180" s="32">
        <f t="shared" si="91"/>
        <v>-1</v>
      </c>
      <c r="O1180" s="6" t="str">
        <f>IF(ABS(M1180)&lt;Overview!$B$6,"OK",IF(I1180=0,"REVIEW (zero base)",IF(ABS(M1180/ABS(I1180))&gt;=Overview!$B$5,"REVIEW","OK")))</f>
        <v>REVIEW</v>
      </c>
      <c r="P1180" s="31">
        <f t="shared" si="92"/>
        <v>0</v>
      </c>
      <c r="Q1180" s="32" t="str">
        <f t="shared" si="93"/>
        <v>n/a</v>
      </c>
      <c r="R1180" s="6" t="str">
        <f>IF(ABS(P1180)&lt;Overview!$B$6,"OK",IF(J1180=0,"REVIEW (zero base)",IF(ABS(P1180/ABS(J1180))&gt;=Overview!$B$5,"REVIEW","OK")))</f>
        <v>OK</v>
      </c>
      <c r="S1180" s="33">
        <f t="shared" si="94"/>
        <v>651183.00118000002</v>
      </c>
    </row>
    <row r="1181" spans="1:19" x14ac:dyDescent="0.2">
      <c r="A1181" s="17">
        <v>1179</v>
      </c>
      <c r="B1181" s="17" t="s">
        <v>171</v>
      </c>
      <c r="C1181" s="17" t="s">
        <v>338</v>
      </c>
      <c r="D1181" s="17" t="s">
        <v>55</v>
      </c>
      <c r="E1181" s="17" t="s">
        <v>79</v>
      </c>
      <c r="F1181" s="17" t="s">
        <v>339</v>
      </c>
      <c r="G1181" s="17" t="s">
        <v>503</v>
      </c>
      <c r="H1181" s="30">
        <v>1128343</v>
      </c>
      <c r="I1181" s="30">
        <v>1193384</v>
      </c>
      <c r="J1181" s="30">
        <v>1479300</v>
      </c>
      <c r="K1181" s="30">
        <v>1480760</v>
      </c>
      <c r="L1181" s="30">
        <v>1517779</v>
      </c>
      <c r="M1181" s="31">
        <f t="shared" si="90"/>
        <v>285916</v>
      </c>
      <c r="N1181" s="32">
        <f t="shared" si="91"/>
        <v>0.23958424111601964</v>
      </c>
      <c r="O1181" s="6" t="str">
        <f>IF(ABS(M1181)&lt;Overview!$B$6,"OK",IF(I1181=0,"REVIEW (zero base)",IF(ABS(M1181/ABS(I1181))&gt;=Overview!$B$5,"REVIEW","OK")))</f>
        <v>REVIEW</v>
      </c>
      <c r="P1181" s="31">
        <f t="shared" si="92"/>
        <v>1460</v>
      </c>
      <c r="Q1181" s="32">
        <f t="shared" si="93"/>
        <v>9.8695328871763665E-4</v>
      </c>
      <c r="R1181" s="6" t="str">
        <f>IF(ABS(P1181)&lt;Overview!$B$6,"OK",IF(J1181=0,"REVIEW (zero base)",IF(ABS(P1181/ABS(J1181))&gt;=Overview!$B$5,"REVIEW","OK")))</f>
        <v>OK</v>
      </c>
      <c r="S1181" s="33">
        <f t="shared" si="94"/>
        <v>285916.00118100003</v>
      </c>
    </row>
    <row r="1182" spans="1:19" x14ac:dyDescent="0.2">
      <c r="A1182" s="17">
        <v>1180</v>
      </c>
      <c r="B1182" s="17" t="s">
        <v>171</v>
      </c>
      <c r="C1182" s="17" t="s">
        <v>338</v>
      </c>
      <c r="D1182" s="17" t="s">
        <v>55</v>
      </c>
      <c r="E1182" s="17" t="s">
        <v>79</v>
      </c>
      <c r="F1182" s="17" t="s">
        <v>339</v>
      </c>
      <c r="G1182" s="17" t="s">
        <v>394</v>
      </c>
      <c r="H1182" s="30">
        <v>1139381</v>
      </c>
      <c r="I1182" s="30">
        <v>1191830</v>
      </c>
      <c r="J1182" s="30">
        <v>0</v>
      </c>
      <c r="K1182" s="30">
        <v>0</v>
      </c>
      <c r="L1182" s="30">
        <v>0</v>
      </c>
      <c r="M1182" s="31">
        <f t="shared" si="90"/>
        <v>-1191830</v>
      </c>
      <c r="N1182" s="32">
        <f t="shared" si="91"/>
        <v>-1</v>
      </c>
      <c r="O1182" s="6" t="str">
        <f>IF(ABS(M1182)&lt;Overview!$B$6,"OK",IF(I1182=0,"REVIEW (zero base)",IF(ABS(M1182/ABS(I1182))&gt;=Overview!$B$5,"REVIEW","OK")))</f>
        <v>REVIEW</v>
      </c>
      <c r="P1182" s="31">
        <f t="shared" si="92"/>
        <v>0</v>
      </c>
      <c r="Q1182" s="32" t="str">
        <f t="shared" si="93"/>
        <v>n/a</v>
      </c>
      <c r="R1182" s="6" t="str">
        <f>IF(ABS(P1182)&lt;Overview!$B$6,"OK",IF(J1182=0,"REVIEW (zero base)",IF(ABS(P1182/ABS(J1182))&gt;=Overview!$B$5,"REVIEW","OK")))</f>
        <v>OK</v>
      </c>
      <c r="S1182" s="33">
        <f t="shared" si="94"/>
        <v>1191830.0011819999</v>
      </c>
    </row>
    <row r="1183" spans="1:19" x14ac:dyDescent="0.2">
      <c r="A1183" s="17">
        <v>1181</v>
      </c>
      <c r="B1183" s="17" t="s">
        <v>171</v>
      </c>
      <c r="C1183" s="17" t="s">
        <v>338</v>
      </c>
      <c r="D1183" s="17" t="s">
        <v>55</v>
      </c>
      <c r="E1183" s="17" t="s">
        <v>79</v>
      </c>
      <c r="F1183" s="17" t="s">
        <v>339</v>
      </c>
      <c r="G1183" s="17" t="s">
        <v>395</v>
      </c>
      <c r="H1183" s="30">
        <v>1759939</v>
      </c>
      <c r="I1183" s="30">
        <v>1915448</v>
      </c>
      <c r="J1183" s="30">
        <v>1990846</v>
      </c>
      <c r="K1183" s="30">
        <v>1895385</v>
      </c>
      <c r="L1183" s="30">
        <v>1914339</v>
      </c>
      <c r="M1183" s="31">
        <f t="shared" si="90"/>
        <v>75398</v>
      </c>
      <c r="N1183" s="32">
        <f t="shared" si="91"/>
        <v>3.9363115051935633E-2</v>
      </c>
      <c r="O1183" s="6" t="str">
        <f>IF(ABS(M1183)&lt;Overview!$B$6,"OK",IF(I1183=0,"REVIEW (zero base)",IF(ABS(M1183/ABS(I1183))&gt;=Overview!$B$5,"REVIEW","OK")))</f>
        <v>OK</v>
      </c>
      <c r="P1183" s="31">
        <f t="shared" si="92"/>
        <v>-95461</v>
      </c>
      <c r="Q1183" s="32">
        <f t="shared" si="93"/>
        <v>-4.7949966998954215E-2</v>
      </c>
      <c r="R1183" s="6" t="str">
        <f>IF(ABS(P1183)&lt;Overview!$B$6,"OK",IF(J1183=0,"REVIEW (zero base)",IF(ABS(P1183/ABS(J1183))&gt;=Overview!$B$5,"REVIEW","OK")))</f>
        <v>OK</v>
      </c>
      <c r="S1183" s="33">
        <f t="shared" si="94"/>
        <v>75398.001183</v>
      </c>
    </row>
    <row r="1184" spans="1:19" x14ac:dyDescent="0.2">
      <c r="A1184" s="17">
        <v>1182</v>
      </c>
      <c r="B1184" s="17" t="s">
        <v>171</v>
      </c>
      <c r="C1184" s="17" t="s">
        <v>338</v>
      </c>
      <c r="D1184" s="17" t="s">
        <v>55</v>
      </c>
      <c r="E1184" s="17" t="s">
        <v>79</v>
      </c>
      <c r="F1184" s="17" t="s">
        <v>339</v>
      </c>
      <c r="G1184" s="17" t="s">
        <v>424</v>
      </c>
      <c r="H1184" s="30">
        <v>5730</v>
      </c>
      <c r="I1184" s="30">
        <v>4500</v>
      </c>
      <c r="J1184" s="30">
        <v>6240</v>
      </c>
      <c r="K1184" s="30">
        <v>6240</v>
      </c>
      <c r="L1184" s="30">
        <v>6240</v>
      </c>
      <c r="M1184" s="31">
        <f t="shared" si="90"/>
        <v>1740</v>
      </c>
      <c r="N1184" s="32">
        <f t="shared" si="91"/>
        <v>0.38666666666666666</v>
      </c>
      <c r="O1184" s="6" t="str">
        <f>IF(ABS(M1184)&lt;Overview!$B$6,"OK",IF(I1184=0,"REVIEW (zero base)",IF(ABS(M1184/ABS(I1184))&gt;=Overview!$B$5,"REVIEW","OK")))</f>
        <v>OK</v>
      </c>
      <c r="P1184" s="31">
        <f t="shared" si="92"/>
        <v>0</v>
      </c>
      <c r="Q1184" s="32">
        <f t="shared" si="93"/>
        <v>0</v>
      </c>
      <c r="R1184" s="6" t="str">
        <f>IF(ABS(P1184)&lt;Overview!$B$6,"OK",IF(J1184=0,"REVIEW (zero base)",IF(ABS(P1184/ABS(J1184))&gt;=Overview!$B$5,"REVIEW","OK")))</f>
        <v>OK</v>
      </c>
      <c r="S1184" s="33">
        <f t="shared" si="94"/>
        <v>1740.001184</v>
      </c>
    </row>
    <row r="1185" spans="1:19" x14ac:dyDescent="0.2">
      <c r="A1185" s="17">
        <v>1183</v>
      </c>
      <c r="B1185" s="17" t="s">
        <v>171</v>
      </c>
      <c r="C1185" s="17" t="s">
        <v>338</v>
      </c>
      <c r="D1185" s="17" t="s">
        <v>55</v>
      </c>
      <c r="E1185" s="17" t="s">
        <v>79</v>
      </c>
      <c r="F1185" s="17" t="s">
        <v>341</v>
      </c>
      <c r="G1185" s="17" t="s">
        <v>342</v>
      </c>
      <c r="H1185" s="30">
        <v>359394</v>
      </c>
      <c r="I1185" s="30">
        <v>389036</v>
      </c>
      <c r="J1185" s="30">
        <v>504633</v>
      </c>
      <c r="K1185" s="30">
        <v>504633</v>
      </c>
      <c r="L1185" s="30">
        <v>504633</v>
      </c>
      <c r="M1185" s="31">
        <f t="shared" si="90"/>
        <v>115597</v>
      </c>
      <c r="N1185" s="32">
        <f t="shared" si="91"/>
        <v>0.29713702587935309</v>
      </c>
      <c r="O1185" s="6" t="str">
        <f>IF(ABS(M1185)&lt;Overview!$B$6,"OK",IF(I1185=0,"REVIEW (zero base)",IF(ABS(M1185/ABS(I1185))&gt;=Overview!$B$5,"REVIEW","OK")))</f>
        <v>OK</v>
      </c>
      <c r="P1185" s="31">
        <f t="shared" si="92"/>
        <v>0</v>
      </c>
      <c r="Q1185" s="32">
        <f t="shared" si="93"/>
        <v>0</v>
      </c>
      <c r="R1185" s="6" t="str">
        <f>IF(ABS(P1185)&lt;Overview!$B$6,"OK",IF(J1185=0,"REVIEW (zero base)",IF(ABS(P1185/ABS(J1185))&gt;=Overview!$B$5,"REVIEW","OK")))</f>
        <v>OK</v>
      </c>
      <c r="S1185" s="33">
        <f t="shared" si="94"/>
        <v>115597.001185</v>
      </c>
    </row>
    <row r="1186" spans="1:19" x14ac:dyDescent="0.2">
      <c r="A1186" s="17">
        <v>1184</v>
      </c>
      <c r="B1186" s="17" t="s">
        <v>171</v>
      </c>
      <c r="C1186" s="17" t="s">
        <v>338</v>
      </c>
      <c r="D1186" s="17" t="s">
        <v>55</v>
      </c>
      <c r="E1186" s="17" t="s">
        <v>79</v>
      </c>
      <c r="F1186" s="17" t="s">
        <v>341</v>
      </c>
      <c r="G1186" s="17" t="s">
        <v>406</v>
      </c>
      <c r="H1186" s="30">
        <v>2000</v>
      </c>
      <c r="I1186" s="30">
        <v>2000</v>
      </c>
      <c r="J1186" s="30">
        <v>0</v>
      </c>
      <c r="K1186" s="30">
        <v>0</v>
      </c>
      <c r="L1186" s="30">
        <v>0</v>
      </c>
      <c r="M1186" s="31">
        <f t="shared" si="90"/>
        <v>-2000</v>
      </c>
      <c r="N1186" s="32">
        <f t="shared" si="91"/>
        <v>-1</v>
      </c>
      <c r="O1186" s="6" t="str">
        <f>IF(ABS(M1186)&lt;Overview!$B$6,"OK",IF(I1186=0,"REVIEW (zero base)",IF(ABS(M1186/ABS(I1186))&gt;=Overview!$B$5,"REVIEW","OK")))</f>
        <v>OK</v>
      </c>
      <c r="P1186" s="31">
        <f t="shared" si="92"/>
        <v>0</v>
      </c>
      <c r="Q1186" s="32" t="str">
        <f t="shared" si="93"/>
        <v>n/a</v>
      </c>
      <c r="R1186" s="6" t="str">
        <f>IF(ABS(P1186)&lt;Overview!$B$6,"OK",IF(J1186=0,"REVIEW (zero base)",IF(ABS(P1186/ABS(J1186))&gt;=Overview!$B$5,"REVIEW","OK")))</f>
        <v>OK</v>
      </c>
      <c r="S1186" s="33">
        <f t="shared" si="94"/>
        <v>2000.001186</v>
      </c>
    </row>
    <row r="1187" spans="1:19" x14ac:dyDescent="0.2">
      <c r="A1187" s="17">
        <v>1185</v>
      </c>
      <c r="B1187" s="17" t="s">
        <v>171</v>
      </c>
      <c r="C1187" s="17" t="s">
        <v>338</v>
      </c>
      <c r="D1187" s="17" t="s">
        <v>55</v>
      </c>
      <c r="E1187" s="17" t="s">
        <v>79</v>
      </c>
      <c r="F1187" s="17" t="s">
        <v>341</v>
      </c>
      <c r="G1187" s="17" t="s">
        <v>521</v>
      </c>
      <c r="H1187" s="30">
        <v>3640</v>
      </c>
      <c r="I1187" s="30">
        <v>3640</v>
      </c>
      <c r="J1187" s="30">
        <v>3640</v>
      </c>
      <c r="K1187" s="30">
        <v>3640</v>
      </c>
      <c r="L1187" s="30">
        <v>3640</v>
      </c>
      <c r="M1187" s="31">
        <f t="shared" si="90"/>
        <v>0</v>
      </c>
      <c r="N1187" s="32">
        <f t="shared" si="91"/>
        <v>0</v>
      </c>
      <c r="O1187" s="6" t="str">
        <f>IF(ABS(M1187)&lt;Overview!$B$6,"OK",IF(I1187=0,"REVIEW (zero base)",IF(ABS(M1187/ABS(I1187))&gt;=Overview!$B$5,"REVIEW","OK")))</f>
        <v>OK</v>
      </c>
      <c r="P1187" s="31">
        <f t="shared" si="92"/>
        <v>0</v>
      </c>
      <c r="Q1187" s="32">
        <f t="shared" si="93"/>
        <v>0</v>
      </c>
      <c r="R1187" s="6" t="str">
        <f>IF(ABS(P1187)&lt;Overview!$B$6,"OK",IF(J1187=0,"REVIEW (zero base)",IF(ABS(P1187/ABS(J1187))&gt;=Overview!$B$5,"REVIEW","OK")))</f>
        <v>OK</v>
      </c>
      <c r="S1187" s="33">
        <f t="shared" si="94"/>
        <v>1.1869999999999999E-3</v>
      </c>
    </row>
    <row r="1188" spans="1:19" x14ac:dyDescent="0.2">
      <c r="A1188" s="17">
        <v>1186</v>
      </c>
      <c r="B1188" s="17" t="s">
        <v>171</v>
      </c>
      <c r="C1188" s="17" t="s">
        <v>338</v>
      </c>
      <c r="D1188" s="17" t="s">
        <v>55</v>
      </c>
      <c r="E1188" s="17" t="s">
        <v>79</v>
      </c>
      <c r="F1188" s="17" t="s">
        <v>341</v>
      </c>
      <c r="G1188" s="17" t="s">
        <v>375</v>
      </c>
      <c r="H1188" s="30">
        <v>93229</v>
      </c>
      <c r="I1188" s="30">
        <v>102871</v>
      </c>
      <c r="J1188" s="30">
        <v>115700</v>
      </c>
      <c r="K1188" s="30">
        <v>120250</v>
      </c>
      <c r="L1188" s="30">
        <v>120250</v>
      </c>
      <c r="M1188" s="31">
        <f t="shared" si="90"/>
        <v>12829</v>
      </c>
      <c r="N1188" s="32">
        <f t="shared" si="91"/>
        <v>0.12470958773609667</v>
      </c>
      <c r="O1188" s="6" t="str">
        <f>IF(ABS(M1188)&lt;Overview!$B$6,"OK",IF(I1188=0,"REVIEW (zero base)",IF(ABS(M1188/ABS(I1188))&gt;=Overview!$B$5,"REVIEW","OK")))</f>
        <v>OK</v>
      </c>
      <c r="P1188" s="31">
        <f t="shared" si="92"/>
        <v>4550</v>
      </c>
      <c r="Q1188" s="32">
        <f t="shared" si="93"/>
        <v>3.9325842696629212E-2</v>
      </c>
      <c r="R1188" s="6" t="str">
        <f>IF(ABS(P1188)&lt;Overview!$B$6,"OK",IF(J1188=0,"REVIEW (zero base)",IF(ABS(P1188/ABS(J1188))&gt;=Overview!$B$5,"REVIEW","OK")))</f>
        <v>OK</v>
      </c>
      <c r="S1188" s="33">
        <f t="shared" si="94"/>
        <v>12829.001188</v>
      </c>
    </row>
    <row r="1189" spans="1:19" x14ac:dyDescent="0.2">
      <c r="A1189" s="17">
        <v>1187</v>
      </c>
      <c r="B1189" s="17" t="s">
        <v>171</v>
      </c>
      <c r="C1189" s="17" t="s">
        <v>338</v>
      </c>
      <c r="D1189" s="17" t="s">
        <v>55</v>
      </c>
      <c r="E1189" s="17" t="s">
        <v>79</v>
      </c>
      <c r="F1189" s="17" t="s">
        <v>341</v>
      </c>
      <c r="G1189" s="17" t="s">
        <v>376</v>
      </c>
      <c r="H1189" s="30">
        <v>24839230</v>
      </c>
      <c r="I1189" s="30">
        <v>30359255</v>
      </c>
      <c r="J1189" s="30">
        <v>31532609</v>
      </c>
      <c r="K1189" s="30">
        <v>32996972</v>
      </c>
      <c r="L1189" s="30">
        <v>34722714</v>
      </c>
      <c r="M1189" s="31">
        <f t="shared" si="90"/>
        <v>1173354</v>
      </c>
      <c r="N1189" s="32">
        <f t="shared" si="91"/>
        <v>3.8648972117398796E-2</v>
      </c>
      <c r="O1189" s="6" t="str">
        <f>IF(ABS(M1189)&lt;Overview!$B$6,"OK",IF(I1189=0,"REVIEW (zero base)",IF(ABS(M1189/ABS(I1189))&gt;=Overview!$B$5,"REVIEW","OK")))</f>
        <v>OK</v>
      </c>
      <c r="P1189" s="31">
        <f t="shared" si="92"/>
        <v>1464363</v>
      </c>
      <c r="Q1189" s="32">
        <f t="shared" si="93"/>
        <v>4.6439639675866971E-2</v>
      </c>
      <c r="R1189" s="6" t="str">
        <f>IF(ABS(P1189)&lt;Overview!$B$6,"OK",IF(J1189=0,"REVIEW (zero base)",IF(ABS(P1189/ABS(J1189))&gt;=Overview!$B$5,"REVIEW","OK")))</f>
        <v>OK</v>
      </c>
      <c r="S1189" s="33">
        <f t="shared" si="94"/>
        <v>1173354.001189</v>
      </c>
    </row>
    <row r="1190" spans="1:19" x14ac:dyDescent="0.2">
      <c r="A1190" s="17">
        <v>1188</v>
      </c>
      <c r="B1190" s="17" t="s">
        <v>171</v>
      </c>
      <c r="C1190" s="17" t="s">
        <v>338</v>
      </c>
      <c r="D1190" s="17" t="s">
        <v>55</v>
      </c>
      <c r="E1190" s="17" t="s">
        <v>79</v>
      </c>
      <c r="F1190" s="17" t="s">
        <v>341</v>
      </c>
      <c r="G1190" s="17" t="s">
        <v>343</v>
      </c>
      <c r="H1190" s="30">
        <v>608755</v>
      </c>
      <c r="I1190" s="30">
        <v>628604</v>
      </c>
      <c r="J1190" s="30">
        <v>704215</v>
      </c>
      <c r="K1190" s="30">
        <v>711912</v>
      </c>
      <c r="L1190" s="30">
        <v>719031</v>
      </c>
      <c r="M1190" s="31">
        <f t="shared" si="90"/>
        <v>75611</v>
      </c>
      <c r="N1190" s="32">
        <f t="shared" si="91"/>
        <v>0.12028399437483694</v>
      </c>
      <c r="O1190" s="6" t="str">
        <f>IF(ABS(M1190)&lt;Overview!$B$6,"OK",IF(I1190=0,"REVIEW (zero base)",IF(ABS(M1190/ABS(I1190))&gt;=Overview!$B$5,"REVIEW","OK")))</f>
        <v>OK</v>
      </c>
      <c r="P1190" s="31">
        <f t="shared" si="92"/>
        <v>7697</v>
      </c>
      <c r="Q1190" s="32">
        <f t="shared" si="93"/>
        <v>1.0929900669539843E-2</v>
      </c>
      <c r="R1190" s="6" t="str">
        <f>IF(ABS(P1190)&lt;Overview!$B$6,"OK",IF(J1190=0,"REVIEW (zero base)",IF(ABS(P1190/ABS(J1190))&gt;=Overview!$B$5,"REVIEW","OK")))</f>
        <v>OK</v>
      </c>
      <c r="S1190" s="33">
        <f t="shared" si="94"/>
        <v>75611.001189999995</v>
      </c>
    </row>
    <row r="1191" spans="1:19" x14ac:dyDescent="0.2">
      <c r="A1191" s="17">
        <v>1189</v>
      </c>
      <c r="B1191" s="17" t="s">
        <v>171</v>
      </c>
      <c r="C1191" s="17" t="s">
        <v>338</v>
      </c>
      <c r="D1191" s="17" t="s">
        <v>55</v>
      </c>
      <c r="E1191" s="17" t="s">
        <v>79</v>
      </c>
      <c r="F1191" s="17" t="s">
        <v>341</v>
      </c>
      <c r="G1191" s="17" t="s">
        <v>439</v>
      </c>
      <c r="H1191" s="30">
        <v>5500</v>
      </c>
      <c r="I1191" s="30">
        <v>3900</v>
      </c>
      <c r="J1191" s="30">
        <v>2600</v>
      </c>
      <c r="K1191" s="30">
        <v>3900</v>
      </c>
      <c r="L1191" s="30">
        <v>3900</v>
      </c>
      <c r="M1191" s="31">
        <f t="shared" si="90"/>
        <v>-1300</v>
      </c>
      <c r="N1191" s="32">
        <f t="shared" si="91"/>
        <v>-0.33333333333333331</v>
      </c>
      <c r="O1191" s="6" t="str">
        <f>IF(ABS(M1191)&lt;Overview!$B$6,"OK",IF(I1191=0,"REVIEW (zero base)",IF(ABS(M1191/ABS(I1191))&gt;=Overview!$B$5,"REVIEW","OK")))</f>
        <v>OK</v>
      </c>
      <c r="P1191" s="31">
        <f t="shared" si="92"/>
        <v>1300</v>
      </c>
      <c r="Q1191" s="32">
        <f t="shared" si="93"/>
        <v>0.5</v>
      </c>
      <c r="R1191" s="6" t="str">
        <f>IF(ABS(P1191)&lt;Overview!$B$6,"OK",IF(J1191=0,"REVIEW (zero base)",IF(ABS(P1191/ABS(J1191))&gt;=Overview!$B$5,"REVIEW","OK")))</f>
        <v>OK</v>
      </c>
      <c r="S1191" s="33">
        <f t="shared" si="94"/>
        <v>1300.0011910000001</v>
      </c>
    </row>
    <row r="1192" spans="1:19" x14ac:dyDescent="0.2">
      <c r="A1192" s="17">
        <v>1190</v>
      </c>
      <c r="B1192" s="17" t="s">
        <v>171</v>
      </c>
      <c r="C1192" s="17" t="s">
        <v>338</v>
      </c>
      <c r="D1192" s="17" t="s">
        <v>55</v>
      </c>
      <c r="E1192" s="17" t="s">
        <v>79</v>
      </c>
      <c r="F1192" s="17" t="s">
        <v>341</v>
      </c>
      <c r="G1192" s="17" t="s">
        <v>378</v>
      </c>
      <c r="H1192" s="30">
        <v>76592</v>
      </c>
      <c r="I1192" s="30">
        <v>78246</v>
      </c>
      <c r="J1192" s="30">
        <v>87466</v>
      </c>
      <c r="K1192" s="30">
        <v>92560</v>
      </c>
      <c r="L1192" s="30">
        <v>96660</v>
      </c>
      <c r="M1192" s="31">
        <f t="shared" si="90"/>
        <v>9220</v>
      </c>
      <c r="N1192" s="32">
        <f t="shared" si="91"/>
        <v>0.11783349947601156</v>
      </c>
      <c r="O1192" s="6" t="str">
        <f>IF(ABS(M1192)&lt;Overview!$B$6,"OK",IF(I1192=0,"REVIEW (zero base)",IF(ABS(M1192/ABS(I1192))&gt;=Overview!$B$5,"REVIEW","OK")))</f>
        <v>OK</v>
      </c>
      <c r="P1192" s="31">
        <f t="shared" si="92"/>
        <v>5094</v>
      </c>
      <c r="Q1192" s="32">
        <f t="shared" si="93"/>
        <v>5.8239773169002813E-2</v>
      </c>
      <c r="R1192" s="6" t="str">
        <f>IF(ABS(P1192)&lt;Overview!$B$6,"OK",IF(J1192=0,"REVIEW (zero base)",IF(ABS(P1192/ABS(J1192))&gt;=Overview!$B$5,"REVIEW","OK")))</f>
        <v>OK</v>
      </c>
      <c r="S1192" s="33">
        <f t="shared" si="94"/>
        <v>9220.0011919999997</v>
      </c>
    </row>
    <row r="1193" spans="1:19" x14ac:dyDescent="0.2">
      <c r="A1193" s="17">
        <v>1191</v>
      </c>
      <c r="B1193" s="17" t="s">
        <v>171</v>
      </c>
      <c r="C1193" s="17" t="s">
        <v>338</v>
      </c>
      <c r="D1193" s="17" t="s">
        <v>55</v>
      </c>
      <c r="E1193" s="17" t="s">
        <v>79</v>
      </c>
      <c r="F1193" s="17" t="s">
        <v>341</v>
      </c>
      <c r="G1193" s="17" t="s">
        <v>344</v>
      </c>
      <c r="H1193" s="30">
        <v>5143963</v>
      </c>
      <c r="I1193" s="30">
        <v>5485016</v>
      </c>
      <c r="J1193" s="30">
        <v>5275869</v>
      </c>
      <c r="K1193" s="30">
        <v>5522561</v>
      </c>
      <c r="L1193" s="30">
        <v>5633012</v>
      </c>
      <c r="M1193" s="31">
        <f t="shared" si="90"/>
        <v>-209147</v>
      </c>
      <c r="N1193" s="32">
        <f t="shared" si="91"/>
        <v>-3.8130608917093405E-2</v>
      </c>
      <c r="O1193" s="6" t="str">
        <f>IF(ABS(M1193)&lt;Overview!$B$6,"OK",IF(I1193=0,"REVIEW (zero base)",IF(ABS(M1193/ABS(I1193))&gt;=Overview!$B$5,"REVIEW","OK")))</f>
        <v>OK</v>
      </c>
      <c r="P1193" s="31">
        <f t="shared" si="92"/>
        <v>246692</v>
      </c>
      <c r="Q1193" s="32">
        <f t="shared" si="93"/>
        <v>4.6758552951182072E-2</v>
      </c>
      <c r="R1193" s="6" t="str">
        <f>IF(ABS(P1193)&lt;Overview!$B$6,"OK",IF(J1193=0,"REVIEW (zero base)",IF(ABS(P1193/ABS(J1193))&gt;=Overview!$B$5,"REVIEW","OK")))</f>
        <v>OK</v>
      </c>
      <c r="S1193" s="33">
        <f t="shared" si="94"/>
        <v>209147.001193</v>
      </c>
    </row>
    <row r="1194" spans="1:19" x14ac:dyDescent="0.2">
      <c r="A1194" s="17">
        <v>1192</v>
      </c>
      <c r="B1194" s="17" t="s">
        <v>171</v>
      </c>
      <c r="C1194" s="17" t="s">
        <v>338</v>
      </c>
      <c r="D1194" s="17" t="s">
        <v>55</v>
      </c>
      <c r="E1194" s="17" t="s">
        <v>79</v>
      </c>
      <c r="F1194" s="17" t="s">
        <v>440</v>
      </c>
      <c r="G1194" s="17" t="s">
        <v>506</v>
      </c>
      <c r="H1194" s="30">
        <v>8852</v>
      </c>
      <c r="I1194" s="30">
        <v>3924</v>
      </c>
      <c r="J1194" s="30">
        <v>25000</v>
      </c>
      <c r="K1194" s="30">
        <v>15000</v>
      </c>
      <c r="L1194" s="30">
        <v>15105</v>
      </c>
      <c r="M1194" s="31">
        <f t="shared" si="90"/>
        <v>21076</v>
      </c>
      <c r="N1194" s="32">
        <f t="shared" si="91"/>
        <v>5.3710499490316002</v>
      </c>
      <c r="O1194" s="6" t="str">
        <f>IF(ABS(M1194)&lt;Overview!$B$6,"OK",IF(I1194=0,"REVIEW (zero base)",IF(ABS(M1194/ABS(I1194))&gt;=Overview!$B$5,"REVIEW","OK")))</f>
        <v>OK</v>
      </c>
      <c r="P1194" s="31">
        <f t="shared" si="92"/>
        <v>-10000</v>
      </c>
      <c r="Q1194" s="32">
        <f t="shared" si="93"/>
        <v>-0.4</v>
      </c>
      <c r="R1194" s="6" t="str">
        <f>IF(ABS(P1194)&lt;Overview!$B$6,"OK",IF(J1194=0,"REVIEW (zero base)",IF(ABS(P1194/ABS(J1194))&gt;=Overview!$B$5,"REVIEW","OK")))</f>
        <v>OK</v>
      </c>
      <c r="S1194" s="33">
        <f t="shared" si="94"/>
        <v>21076.001194</v>
      </c>
    </row>
    <row r="1195" spans="1:19" x14ac:dyDescent="0.2">
      <c r="A1195" s="17">
        <v>1193</v>
      </c>
      <c r="B1195" s="17" t="s">
        <v>171</v>
      </c>
      <c r="C1195" s="17" t="s">
        <v>338</v>
      </c>
      <c r="D1195" s="17" t="s">
        <v>55</v>
      </c>
      <c r="E1195" s="17" t="s">
        <v>79</v>
      </c>
      <c r="F1195" s="17" t="s">
        <v>364</v>
      </c>
      <c r="G1195" s="17" t="s">
        <v>379</v>
      </c>
      <c r="H1195" s="30">
        <v>3368</v>
      </c>
      <c r="I1195" s="30">
        <v>1336</v>
      </c>
      <c r="J1195" s="30">
        <v>4500</v>
      </c>
      <c r="K1195" s="30">
        <v>4500</v>
      </c>
      <c r="L1195" s="30">
        <v>4532</v>
      </c>
      <c r="M1195" s="31">
        <f t="shared" si="90"/>
        <v>3164</v>
      </c>
      <c r="N1195" s="32">
        <f t="shared" si="91"/>
        <v>2.3682634730538923</v>
      </c>
      <c r="O1195" s="6" t="str">
        <f>IF(ABS(M1195)&lt;Overview!$B$6,"OK",IF(I1195=0,"REVIEW (zero base)",IF(ABS(M1195/ABS(I1195))&gt;=Overview!$B$5,"REVIEW","OK")))</f>
        <v>OK</v>
      </c>
      <c r="P1195" s="31">
        <f t="shared" si="92"/>
        <v>0</v>
      </c>
      <c r="Q1195" s="32">
        <f t="shared" si="93"/>
        <v>0</v>
      </c>
      <c r="R1195" s="6" t="str">
        <f>IF(ABS(P1195)&lt;Overview!$B$6,"OK",IF(J1195=0,"REVIEW (zero base)",IF(ABS(P1195/ABS(J1195))&gt;=Overview!$B$5,"REVIEW","OK")))</f>
        <v>OK</v>
      </c>
      <c r="S1195" s="33">
        <f t="shared" si="94"/>
        <v>3164.0011949999998</v>
      </c>
    </row>
    <row r="1196" spans="1:19" x14ac:dyDescent="0.2">
      <c r="A1196" s="17">
        <v>1194</v>
      </c>
      <c r="B1196" s="17" t="s">
        <v>171</v>
      </c>
      <c r="C1196" s="17" t="s">
        <v>338</v>
      </c>
      <c r="D1196" s="17" t="s">
        <v>55</v>
      </c>
      <c r="E1196" s="17" t="s">
        <v>79</v>
      </c>
      <c r="F1196" s="17" t="s">
        <v>364</v>
      </c>
      <c r="G1196" s="17" t="s">
        <v>383</v>
      </c>
      <c r="H1196" s="30">
        <v>1464</v>
      </c>
      <c r="I1196" s="30">
        <v>1559</v>
      </c>
      <c r="J1196" s="30">
        <v>2400</v>
      </c>
      <c r="K1196" s="30">
        <v>1600</v>
      </c>
      <c r="L1196" s="30">
        <v>1600</v>
      </c>
      <c r="M1196" s="31">
        <f t="shared" si="90"/>
        <v>841</v>
      </c>
      <c r="N1196" s="32">
        <f t="shared" si="91"/>
        <v>0.53944836433611287</v>
      </c>
      <c r="O1196" s="6" t="str">
        <f>IF(ABS(M1196)&lt;Overview!$B$6,"OK",IF(I1196=0,"REVIEW (zero base)",IF(ABS(M1196/ABS(I1196))&gt;=Overview!$B$5,"REVIEW","OK")))</f>
        <v>OK</v>
      </c>
      <c r="P1196" s="31">
        <f t="shared" si="92"/>
        <v>-800</v>
      </c>
      <c r="Q1196" s="32">
        <f t="shared" si="93"/>
        <v>-0.33333333333333331</v>
      </c>
      <c r="R1196" s="6" t="str">
        <f>IF(ABS(P1196)&lt;Overview!$B$6,"OK",IF(J1196=0,"REVIEW (zero base)",IF(ABS(P1196/ABS(J1196))&gt;=Overview!$B$5,"REVIEW","OK")))</f>
        <v>OK</v>
      </c>
      <c r="S1196" s="33">
        <f t="shared" si="94"/>
        <v>841.00119600000005</v>
      </c>
    </row>
    <row r="1197" spans="1:19" x14ac:dyDescent="0.2">
      <c r="A1197" s="17">
        <v>1195</v>
      </c>
      <c r="B1197" s="17" t="s">
        <v>171</v>
      </c>
      <c r="C1197" s="17" t="s">
        <v>338</v>
      </c>
      <c r="D1197" s="17" t="s">
        <v>55</v>
      </c>
      <c r="E1197" s="17" t="s">
        <v>79</v>
      </c>
      <c r="F1197" s="17" t="s">
        <v>364</v>
      </c>
      <c r="G1197" s="17" t="s">
        <v>443</v>
      </c>
      <c r="H1197" s="30">
        <v>0</v>
      </c>
      <c r="I1197" s="30">
        <v>0</v>
      </c>
      <c r="J1197" s="30">
        <v>0</v>
      </c>
      <c r="K1197" s="30">
        <v>5000</v>
      </c>
      <c r="L1197" s="30">
        <v>5035</v>
      </c>
      <c r="M1197" s="31">
        <f t="shared" si="90"/>
        <v>0</v>
      </c>
      <c r="N1197" s="32" t="str">
        <f t="shared" si="91"/>
        <v>n/a</v>
      </c>
      <c r="O1197" s="6" t="str">
        <f>IF(ABS(M1197)&lt;Overview!$B$6,"OK",IF(I1197=0,"REVIEW (zero base)",IF(ABS(M1197/ABS(I1197))&gt;=Overview!$B$5,"REVIEW","OK")))</f>
        <v>OK</v>
      </c>
      <c r="P1197" s="31">
        <f t="shared" si="92"/>
        <v>5000</v>
      </c>
      <c r="Q1197" s="32" t="str">
        <f t="shared" si="93"/>
        <v>n/a</v>
      </c>
      <c r="R1197" s="6" t="str">
        <f>IF(ABS(P1197)&lt;Overview!$B$6,"OK",IF(J1197=0,"REVIEW (zero base)",IF(ABS(P1197/ABS(J1197))&gt;=Overview!$B$5,"REVIEW","OK")))</f>
        <v>OK</v>
      </c>
      <c r="S1197" s="33">
        <f t="shared" si="94"/>
        <v>1.1969999999999999E-3</v>
      </c>
    </row>
    <row r="1198" spans="1:19" x14ac:dyDescent="0.2">
      <c r="A1198" s="17">
        <v>1196</v>
      </c>
      <c r="B1198" s="17" t="s">
        <v>171</v>
      </c>
      <c r="C1198" s="17" t="s">
        <v>338</v>
      </c>
      <c r="D1198" s="17" t="s">
        <v>55</v>
      </c>
      <c r="E1198" s="17" t="s">
        <v>79</v>
      </c>
      <c r="F1198" s="17" t="s">
        <v>507</v>
      </c>
      <c r="G1198" s="17" t="s">
        <v>508</v>
      </c>
      <c r="H1198" s="30">
        <v>62440</v>
      </c>
      <c r="I1198" s="30">
        <v>0</v>
      </c>
      <c r="J1198" s="30">
        <v>0</v>
      </c>
      <c r="K1198" s="30">
        <v>300000</v>
      </c>
      <c r="L1198" s="30">
        <v>0</v>
      </c>
      <c r="M1198" s="31">
        <f t="shared" si="90"/>
        <v>0</v>
      </c>
      <c r="N1198" s="32" t="str">
        <f t="shared" si="91"/>
        <v>n/a</v>
      </c>
      <c r="O1198" s="6" t="str">
        <f>IF(ABS(M1198)&lt;Overview!$B$6,"OK",IF(I1198=0,"REVIEW (zero base)",IF(ABS(M1198/ABS(I1198))&gt;=Overview!$B$5,"REVIEW","OK")))</f>
        <v>OK</v>
      </c>
      <c r="P1198" s="31">
        <f t="shared" si="92"/>
        <v>300000</v>
      </c>
      <c r="Q1198" s="32" t="str">
        <f t="shared" si="93"/>
        <v>n/a</v>
      </c>
      <c r="R1198" s="6" t="str">
        <f>IF(ABS(P1198)&lt;Overview!$B$6,"OK",IF(J1198=0,"REVIEW (zero base)",IF(ABS(P1198/ABS(J1198))&gt;=Overview!$B$5,"REVIEW","OK")))</f>
        <v>REVIEW (zero base)</v>
      </c>
      <c r="S1198" s="33">
        <f t="shared" si="94"/>
        <v>1.1980000000000001E-3</v>
      </c>
    </row>
    <row r="1199" spans="1:19" x14ac:dyDescent="0.2">
      <c r="A1199" s="17">
        <v>1197</v>
      </c>
      <c r="B1199" s="17" t="s">
        <v>171</v>
      </c>
      <c r="C1199" s="17" t="s">
        <v>338</v>
      </c>
      <c r="D1199" s="17" t="s">
        <v>55</v>
      </c>
      <c r="E1199" s="17" t="s">
        <v>79</v>
      </c>
      <c r="F1199" s="17" t="s">
        <v>400</v>
      </c>
      <c r="G1199" s="17" t="s">
        <v>401</v>
      </c>
      <c r="H1199" s="30">
        <v>0</v>
      </c>
      <c r="I1199" s="30">
        <v>400</v>
      </c>
      <c r="J1199" s="30">
        <v>0</v>
      </c>
      <c r="K1199" s="30">
        <v>74822</v>
      </c>
      <c r="L1199" s="30">
        <v>74822</v>
      </c>
      <c r="M1199" s="31">
        <f t="shared" si="90"/>
        <v>-400</v>
      </c>
      <c r="N1199" s="32">
        <f t="shared" si="91"/>
        <v>-1</v>
      </c>
      <c r="O1199" s="6" t="str">
        <f>IF(ABS(M1199)&lt;Overview!$B$6,"OK",IF(I1199=0,"REVIEW (zero base)",IF(ABS(M1199/ABS(I1199))&gt;=Overview!$B$5,"REVIEW","OK")))</f>
        <v>OK</v>
      </c>
      <c r="P1199" s="31">
        <f t="shared" si="92"/>
        <v>74822</v>
      </c>
      <c r="Q1199" s="32" t="str">
        <f t="shared" si="93"/>
        <v>n/a</v>
      </c>
      <c r="R1199" s="6" t="str">
        <f>IF(ABS(P1199)&lt;Overview!$B$6,"OK",IF(J1199=0,"REVIEW (zero base)",IF(ABS(P1199/ABS(J1199))&gt;=Overview!$B$5,"REVIEW","OK")))</f>
        <v>OK</v>
      </c>
      <c r="S1199" s="33">
        <f t="shared" si="94"/>
        <v>400.00119899999999</v>
      </c>
    </row>
    <row r="1200" spans="1:19" x14ac:dyDescent="0.2">
      <c r="A1200" s="17">
        <v>1198</v>
      </c>
      <c r="B1200" s="17" t="s">
        <v>171</v>
      </c>
      <c r="C1200" s="17" t="s">
        <v>338</v>
      </c>
      <c r="D1200" s="17" t="s">
        <v>55</v>
      </c>
      <c r="E1200" s="17" t="s">
        <v>79</v>
      </c>
      <c r="F1200" s="17" t="s">
        <v>400</v>
      </c>
      <c r="G1200" s="17" t="s">
        <v>510</v>
      </c>
      <c r="H1200" s="30">
        <v>105117</v>
      </c>
      <c r="I1200" s="30">
        <v>155460</v>
      </c>
      <c r="J1200" s="30">
        <v>78000</v>
      </c>
      <c r="K1200" s="30">
        <v>81000</v>
      </c>
      <c r="L1200" s="30">
        <v>81000</v>
      </c>
      <c r="M1200" s="31">
        <f t="shared" si="90"/>
        <v>-77460</v>
      </c>
      <c r="N1200" s="32">
        <f t="shared" si="91"/>
        <v>-0.49826321883442687</v>
      </c>
      <c r="O1200" s="6" t="str">
        <f>IF(ABS(M1200)&lt;Overview!$B$6,"OK",IF(I1200=0,"REVIEW (zero base)",IF(ABS(M1200/ABS(I1200))&gt;=Overview!$B$5,"REVIEW","OK")))</f>
        <v>OK</v>
      </c>
      <c r="P1200" s="31">
        <f t="shared" si="92"/>
        <v>3000</v>
      </c>
      <c r="Q1200" s="32">
        <f t="shared" si="93"/>
        <v>3.8461538461538464E-2</v>
      </c>
      <c r="R1200" s="6" t="str">
        <f>IF(ABS(P1200)&lt;Overview!$B$6,"OK",IF(J1200=0,"REVIEW (zero base)",IF(ABS(P1200/ABS(J1200))&gt;=Overview!$B$5,"REVIEW","OK")))</f>
        <v>OK</v>
      </c>
      <c r="S1200" s="33">
        <f t="shared" si="94"/>
        <v>77460.001199999999</v>
      </c>
    </row>
    <row r="1201" spans="1:19" x14ac:dyDescent="0.2">
      <c r="A1201" s="17">
        <v>1199</v>
      </c>
      <c r="B1201" s="17" t="s">
        <v>171</v>
      </c>
      <c r="C1201" s="17" t="s">
        <v>338</v>
      </c>
      <c r="D1201" s="17" t="s">
        <v>55</v>
      </c>
      <c r="E1201" s="17" t="s">
        <v>79</v>
      </c>
      <c r="F1201" s="17" t="s">
        <v>404</v>
      </c>
      <c r="G1201" s="17" t="s">
        <v>477</v>
      </c>
      <c r="H1201" s="30">
        <v>110</v>
      </c>
      <c r="I1201" s="30">
        <v>719</v>
      </c>
      <c r="J1201" s="30">
        <v>0</v>
      </c>
      <c r="K1201" s="30">
        <v>0</v>
      </c>
      <c r="L1201" s="30">
        <v>0</v>
      </c>
      <c r="M1201" s="31">
        <f t="shared" si="90"/>
        <v>-719</v>
      </c>
      <c r="N1201" s="32">
        <f t="shared" si="91"/>
        <v>-1</v>
      </c>
      <c r="O1201" s="6" t="str">
        <f>IF(ABS(M1201)&lt;Overview!$B$6,"OK",IF(I1201=0,"REVIEW (zero base)",IF(ABS(M1201/ABS(I1201))&gt;=Overview!$B$5,"REVIEW","OK")))</f>
        <v>OK</v>
      </c>
      <c r="P1201" s="31">
        <f t="shared" si="92"/>
        <v>0</v>
      </c>
      <c r="Q1201" s="32" t="str">
        <f t="shared" si="93"/>
        <v>n/a</v>
      </c>
      <c r="R1201" s="6" t="str">
        <f>IF(ABS(P1201)&lt;Overview!$B$6,"OK",IF(J1201=0,"REVIEW (zero base)",IF(ABS(P1201/ABS(J1201))&gt;=Overview!$B$5,"REVIEW","OK")))</f>
        <v>OK</v>
      </c>
      <c r="S1201" s="33">
        <f t="shared" si="94"/>
        <v>719.00120100000004</v>
      </c>
    </row>
    <row r="1202" spans="1:19" x14ac:dyDescent="0.2">
      <c r="A1202" s="17">
        <v>1200</v>
      </c>
      <c r="B1202" s="17" t="s">
        <v>171</v>
      </c>
      <c r="C1202" s="17" t="s">
        <v>338</v>
      </c>
      <c r="D1202" s="17" t="s">
        <v>55</v>
      </c>
      <c r="E1202" s="17" t="s">
        <v>79</v>
      </c>
      <c r="F1202" s="17" t="s">
        <v>402</v>
      </c>
      <c r="G1202" s="17" t="s">
        <v>403</v>
      </c>
      <c r="H1202" s="30">
        <v>17558</v>
      </c>
      <c r="I1202" s="30">
        <v>45142</v>
      </c>
      <c r="J1202" s="30">
        <v>58888</v>
      </c>
      <c r="K1202" s="30">
        <v>49890</v>
      </c>
      <c r="L1202" s="30">
        <v>50239</v>
      </c>
      <c r="M1202" s="31">
        <f t="shared" si="90"/>
        <v>13746</v>
      </c>
      <c r="N1202" s="32">
        <f t="shared" si="91"/>
        <v>0.30450578175534976</v>
      </c>
      <c r="O1202" s="6" t="str">
        <f>IF(ABS(M1202)&lt;Overview!$B$6,"OK",IF(I1202=0,"REVIEW (zero base)",IF(ABS(M1202/ABS(I1202))&gt;=Overview!$B$5,"REVIEW","OK")))</f>
        <v>OK</v>
      </c>
      <c r="P1202" s="31">
        <f t="shared" si="92"/>
        <v>-8998</v>
      </c>
      <c r="Q1202" s="32">
        <f t="shared" si="93"/>
        <v>-0.1527985328080424</v>
      </c>
      <c r="R1202" s="6" t="str">
        <f>IF(ABS(P1202)&lt;Overview!$B$6,"OK",IF(J1202=0,"REVIEW (zero base)",IF(ABS(P1202/ABS(J1202))&gt;=Overview!$B$5,"REVIEW","OK")))</f>
        <v>OK</v>
      </c>
      <c r="S1202" s="33">
        <f t="shared" si="94"/>
        <v>13746.001201999999</v>
      </c>
    </row>
    <row r="1203" spans="1:19" x14ac:dyDescent="0.2">
      <c r="A1203" s="17">
        <v>1201</v>
      </c>
      <c r="B1203" s="17" t="s">
        <v>171</v>
      </c>
      <c r="C1203" s="17" t="s">
        <v>338</v>
      </c>
      <c r="D1203" s="17" t="s">
        <v>55</v>
      </c>
      <c r="E1203" s="17" t="s">
        <v>79</v>
      </c>
      <c r="F1203" s="17" t="s">
        <v>402</v>
      </c>
      <c r="G1203" s="17" t="s">
        <v>445</v>
      </c>
      <c r="H1203" s="30">
        <v>4087</v>
      </c>
      <c r="I1203" s="30">
        <v>6046</v>
      </c>
      <c r="J1203" s="30">
        <v>50000</v>
      </c>
      <c r="K1203" s="30">
        <v>10500</v>
      </c>
      <c r="L1203" s="30">
        <v>10574</v>
      </c>
      <c r="M1203" s="31">
        <f t="shared" si="90"/>
        <v>43954</v>
      </c>
      <c r="N1203" s="32">
        <f t="shared" si="91"/>
        <v>7.2699305325835262</v>
      </c>
      <c r="O1203" s="6" t="str">
        <f>IF(ABS(M1203)&lt;Overview!$B$6,"OK",IF(I1203=0,"REVIEW (zero base)",IF(ABS(M1203/ABS(I1203))&gt;=Overview!$B$5,"REVIEW","OK")))</f>
        <v>OK</v>
      </c>
      <c r="P1203" s="31">
        <f t="shared" si="92"/>
        <v>-39500</v>
      </c>
      <c r="Q1203" s="32">
        <f t="shared" si="93"/>
        <v>-0.79</v>
      </c>
      <c r="R1203" s="6" t="str">
        <f>IF(ABS(P1203)&lt;Overview!$B$6,"OK",IF(J1203=0,"REVIEW (zero base)",IF(ABS(P1203/ABS(J1203))&gt;=Overview!$B$5,"REVIEW","OK")))</f>
        <v>OK</v>
      </c>
      <c r="S1203" s="33">
        <f t="shared" si="94"/>
        <v>43954.001203</v>
      </c>
    </row>
    <row r="1204" spans="1:19" x14ac:dyDescent="0.2">
      <c r="A1204" s="17">
        <v>1202</v>
      </c>
      <c r="B1204" s="17" t="s">
        <v>171</v>
      </c>
      <c r="C1204" s="17" t="s">
        <v>338</v>
      </c>
      <c r="D1204" s="17" t="s">
        <v>55</v>
      </c>
      <c r="E1204" s="17" t="s">
        <v>79</v>
      </c>
      <c r="F1204" s="17" t="s">
        <v>402</v>
      </c>
      <c r="G1204" s="17" t="s">
        <v>416</v>
      </c>
      <c r="H1204" s="30">
        <v>0</v>
      </c>
      <c r="I1204" s="30">
        <v>0</v>
      </c>
      <c r="J1204" s="30">
        <v>0</v>
      </c>
      <c r="K1204" s="30">
        <v>8998</v>
      </c>
      <c r="L1204" s="30">
        <v>9061</v>
      </c>
      <c r="M1204" s="31">
        <f t="shared" si="90"/>
        <v>0</v>
      </c>
      <c r="N1204" s="32" t="str">
        <f t="shared" si="91"/>
        <v>n/a</v>
      </c>
      <c r="O1204" s="6" t="str">
        <f>IF(ABS(M1204)&lt;Overview!$B$6,"OK",IF(I1204=0,"REVIEW (zero base)",IF(ABS(M1204/ABS(I1204))&gt;=Overview!$B$5,"REVIEW","OK")))</f>
        <v>OK</v>
      </c>
      <c r="P1204" s="31">
        <f t="shared" si="92"/>
        <v>8998</v>
      </c>
      <c r="Q1204" s="32" t="str">
        <f t="shared" si="93"/>
        <v>n/a</v>
      </c>
      <c r="R1204" s="6" t="str">
        <f>IF(ABS(P1204)&lt;Overview!$B$6,"OK",IF(J1204=0,"REVIEW (zero base)",IF(ABS(P1204/ABS(J1204))&gt;=Overview!$B$5,"REVIEW","OK")))</f>
        <v>OK</v>
      </c>
      <c r="S1204" s="33">
        <f t="shared" si="94"/>
        <v>1.204E-3</v>
      </c>
    </row>
    <row r="1205" spans="1:19" x14ac:dyDescent="0.2">
      <c r="A1205" s="17">
        <v>1203</v>
      </c>
      <c r="B1205" s="17" t="s">
        <v>171</v>
      </c>
      <c r="C1205" s="17" t="s">
        <v>338</v>
      </c>
      <c r="D1205" s="17" t="s">
        <v>55</v>
      </c>
      <c r="E1205" s="17" t="s">
        <v>79</v>
      </c>
      <c r="F1205" s="17" t="s">
        <v>402</v>
      </c>
      <c r="G1205" s="17" t="s">
        <v>460</v>
      </c>
      <c r="H1205" s="30">
        <v>13474</v>
      </c>
      <c r="I1205" s="30">
        <v>19474</v>
      </c>
      <c r="J1205" s="30">
        <v>10000</v>
      </c>
      <c r="K1205" s="30">
        <v>15000</v>
      </c>
      <c r="L1205" s="30">
        <v>15105</v>
      </c>
      <c r="M1205" s="31">
        <f t="shared" si="90"/>
        <v>-9474</v>
      </c>
      <c r="N1205" s="32">
        <f t="shared" si="91"/>
        <v>-0.48649481359761731</v>
      </c>
      <c r="O1205" s="6" t="str">
        <f>IF(ABS(M1205)&lt;Overview!$B$6,"OK",IF(I1205=0,"REVIEW (zero base)",IF(ABS(M1205/ABS(I1205))&gt;=Overview!$B$5,"REVIEW","OK")))</f>
        <v>OK</v>
      </c>
      <c r="P1205" s="31">
        <f t="shared" si="92"/>
        <v>5000</v>
      </c>
      <c r="Q1205" s="32">
        <f t="shared" si="93"/>
        <v>0.5</v>
      </c>
      <c r="R1205" s="6" t="str">
        <f>IF(ABS(P1205)&lt;Overview!$B$6,"OK",IF(J1205=0,"REVIEW (zero base)",IF(ABS(P1205/ABS(J1205))&gt;=Overview!$B$5,"REVIEW","OK")))</f>
        <v>OK</v>
      </c>
      <c r="S1205" s="33">
        <f t="shared" si="94"/>
        <v>9474.0012050000005</v>
      </c>
    </row>
    <row r="1206" spans="1:19" x14ac:dyDescent="0.2">
      <c r="A1206" s="17">
        <v>1204</v>
      </c>
      <c r="B1206" s="17" t="s">
        <v>171</v>
      </c>
      <c r="C1206" s="17" t="s">
        <v>338</v>
      </c>
      <c r="D1206" s="17" t="s">
        <v>55</v>
      </c>
      <c r="E1206" s="17" t="s">
        <v>79</v>
      </c>
      <c r="F1206" s="17" t="s">
        <v>407</v>
      </c>
      <c r="G1206" s="17" t="s">
        <v>408</v>
      </c>
      <c r="H1206" s="30">
        <v>15007</v>
      </c>
      <c r="I1206" s="30">
        <v>42730</v>
      </c>
      <c r="J1206" s="30">
        <v>50000</v>
      </c>
      <c r="K1206" s="30">
        <v>0</v>
      </c>
      <c r="L1206" s="30">
        <v>0</v>
      </c>
      <c r="M1206" s="31">
        <f t="shared" si="90"/>
        <v>7270</v>
      </c>
      <c r="N1206" s="32">
        <f t="shared" si="91"/>
        <v>0.17013807629300257</v>
      </c>
      <c r="O1206" s="6" t="str">
        <f>IF(ABS(M1206)&lt;Overview!$B$6,"OK",IF(I1206=0,"REVIEW (zero base)",IF(ABS(M1206/ABS(I1206))&gt;=Overview!$B$5,"REVIEW","OK")))</f>
        <v>OK</v>
      </c>
      <c r="P1206" s="31">
        <f t="shared" si="92"/>
        <v>-50000</v>
      </c>
      <c r="Q1206" s="32">
        <f t="shared" si="93"/>
        <v>-1</v>
      </c>
      <c r="R1206" s="6" t="str">
        <f>IF(ABS(P1206)&lt;Overview!$B$6,"OK",IF(J1206=0,"REVIEW (zero base)",IF(ABS(P1206/ABS(J1206))&gt;=Overview!$B$5,"REVIEW","OK")))</f>
        <v>OK</v>
      </c>
      <c r="S1206" s="33">
        <f t="shared" si="94"/>
        <v>7270.0012059999999</v>
      </c>
    </row>
    <row r="1207" spans="1:19" x14ac:dyDescent="0.2">
      <c r="A1207" s="17">
        <v>1205</v>
      </c>
      <c r="B1207" s="17" t="s">
        <v>171</v>
      </c>
      <c r="C1207" s="17" t="s">
        <v>338</v>
      </c>
      <c r="D1207" s="17" t="s">
        <v>55</v>
      </c>
      <c r="E1207" s="17" t="s">
        <v>79</v>
      </c>
      <c r="F1207" s="17" t="s">
        <v>384</v>
      </c>
      <c r="G1207" s="17" t="s">
        <v>426</v>
      </c>
      <c r="H1207" s="30">
        <v>120190</v>
      </c>
      <c r="I1207" s="30">
        <v>120175</v>
      </c>
      <c r="J1207" s="30">
        <v>120000</v>
      </c>
      <c r="K1207" s="30">
        <v>120000</v>
      </c>
      <c r="L1207" s="30">
        <v>120000</v>
      </c>
      <c r="M1207" s="31">
        <f t="shared" si="90"/>
        <v>-175</v>
      </c>
      <c r="N1207" s="32">
        <f t="shared" si="91"/>
        <v>-1.4562096941959641E-3</v>
      </c>
      <c r="O1207" s="6" t="str">
        <f>IF(ABS(M1207)&lt;Overview!$B$6,"OK",IF(I1207=0,"REVIEW (zero base)",IF(ABS(M1207/ABS(I1207))&gt;=Overview!$B$5,"REVIEW","OK")))</f>
        <v>OK</v>
      </c>
      <c r="P1207" s="31">
        <f t="shared" si="92"/>
        <v>0</v>
      </c>
      <c r="Q1207" s="32">
        <f t="shared" si="93"/>
        <v>0</v>
      </c>
      <c r="R1207" s="6" t="str">
        <f>IF(ABS(P1207)&lt;Overview!$B$6,"OK",IF(J1207=0,"REVIEW (zero base)",IF(ABS(P1207/ABS(J1207))&gt;=Overview!$B$5,"REVIEW","OK")))</f>
        <v>OK</v>
      </c>
      <c r="S1207" s="33">
        <f t="shared" si="94"/>
        <v>175.00120699999999</v>
      </c>
    </row>
    <row r="1208" spans="1:19" x14ac:dyDescent="0.2">
      <c r="A1208" s="17">
        <v>1206</v>
      </c>
      <c r="B1208" s="17" t="s">
        <v>171</v>
      </c>
      <c r="C1208" s="17" t="s">
        <v>338</v>
      </c>
      <c r="D1208" s="17" t="s">
        <v>55</v>
      </c>
      <c r="E1208" s="17" t="s">
        <v>79</v>
      </c>
      <c r="F1208" s="17" t="s">
        <v>384</v>
      </c>
      <c r="G1208" s="17" t="s">
        <v>478</v>
      </c>
      <c r="H1208" s="30">
        <v>0</v>
      </c>
      <c r="I1208" s="30">
        <v>0</v>
      </c>
      <c r="J1208" s="30">
        <v>5000</v>
      </c>
      <c r="K1208" s="30">
        <v>5000</v>
      </c>
      <c r="L1208" s="30">
        <v>5035</v>
      </c>
      <c r="M1208" s="31">
        <f t="shared" si="90"/>
        <v>5000</v>
      </c>
      <c r="N1208" s="32" t="str">
        <f t="shared" si="91"/>
        <v>n/a</v>
      </c>
      <c r="O1208" s="6" t="str">
        <f>IF(ABS(M1208)&lt;Overview!$B$6,"OK",IF(I1208=0,"REVIEW (zero base)",IF(ABS(M1208/ABS(I1208))&gt;=Overview!$B$5,"REVIEW","OK")))</f>
        <v>OK</v>
      </c>
      <c r="P1208" s="31">
        <f t="shared" si="92"/>
        <v>0</v>
      </c>
      <c r="Q1208" s="32">
        <f t="shared" si="93"/>
        <v>0</v>
      </c>
      <c r="R1208" s="6" t="str">
        <f>IF(ABS(P1208)&lt;Overview!$B$6,"OK",IF(J1208=0,"REVIEW (zero base)",IF(ABS(P1208/ABS(J1208))&gt;=Overview!$B$5,"REVIEW","OK")))</f>
        <v>OK</v>
      </c>
      <c r="S1208" s="33">
        <f t="shared" si="94"/>
        <v>5000.0012079999997</v>
      </c>
    </row>
    <row r="1209" spans="1:19" x14ac:dyDescent="0.2">
      <c r="A1209" s="17">
        <v>1207</v>
      </c>
      <c r="B1209" s="17" t="s">
        <v>171</v>
      </c>
      <c r="C1209" s="17" t="s">
        <v>338</v>
      </c>
      <c r="D1209" s="17" t="s">
        <v>55</v>
      </c>
      <c r="E1209" s="17" t="s">
        <v>79</v>
      </c>
      <c r="F1209" s="17" t="s">
        <v>347</v>
      </c>
      <c r="G1209" s="17" t="s">
        <v>348</v>
      </c>
      <c r="H1209" s="30">
        <v>7218</v>
      </c>
      <c r="I1209" s="30">
        <v>44826</v>
      </c>
      <c r="J1209" s="30">
        <v>14500</v>
      </c>
      <c r="K1209" s="30">
        <v>8000</v>
      </c>
      <c r="L1209" s="30">
        <v>8056</v>
      </c>
      <c r="M1209" s="31">
        <f t="shared" si="90"/>
        <v>-30326</v>
      </c>
      <c r="N1209" s="32">
        <f t="shared" si="91"/>
        <v>-0.67652701557132022</v>
      </c>
      <c r="O1209" s="6" t="str">
        <f>IF(ABS(M1209)&lt;Overview!$B$6,"OK",IF(I1209=0,"REVIEW (zero base)",IF(ABS(M1209/ABS(I1209))&gt;=Overview!$B$5,"REVIEW","OK")))</f>
        <v>OK</v>
      </c>
      <c r="P1209" s="31">
        <f t="shared" si="92"/>
        <v>-6500</v>
      </c>
      <c r="Q1209" s="32">
        <f t="shared" si="93"/>
        <v>-0.44827586206896552</v>
      </c>
      <c r="R1209" s="6" t="str">
        <f>IF(ABS(P1209)&lt;Overview!$B$6,"OK",IF(J1209=0,"REVIEW (zero base)",IF(ABS(P1209/ABS(J1209))&gt;=Overview!$B$5,"REVIEW","OK")))</f>
        <v>OK</v>
      </c>
      <c r="S1209" s="33">
        <f t="shared" si="94"/>
        <v>30326.001208999998</v>
      </c>
    </row>
    <row r="1210" spans="1:19" x14ac:dyDescent="0.2">
      <c r="A1210" s="17">
        <v>1208</v>
      </c>
      <c r="B1210" s="17" t="s">
        <v>171</v>
      </c>
      <c r="C1210" s="17" t="s">
        <v>338</v>
      </c>
      <c r="D1210" s="17" t="s">
        <v>55</v>
      </c>
      <c r="E1210" s="17" t="s">
        <v>79</v>
      </c>
      <c r="F1210" s="17" t="s">
        <v>386</v>
      </c>
      <c r="G1210" s="17" t="s">
        <v>413</v>
      </c>
      <c r="H1210" s="30">
        <v>0</v>
      </c>
      <c r="I1210" s="30">
        <v>0</v>
      </c>
      <c r="J1210" s="30">
        <v>0</v>
      </c>
      <c r="K1210" s="30">
        <v>16300</v>
      </c>
      <c r="L1210" s="30">
        <v>16414</v>
      </c>
      <c r="M1210" s="31">
        <f t="shared" si="90"/>
        <v>0</v>
      </c>
      <c r="N1210" s="32" t="str">
        <f t="shared" si="91"/>
        <v>n/a</v>
      </c>
      <c r="O1210" s="6" t="str">
        <f>IF(ABS(M1210)&lt;Overview!$B$6,"OK",IF(I1210=0,"REVIEW (zero base)",IF(ABS(M1210/ABS(I1210))&gt;=Overview!$B$5,"REVIEW","OK")))</f>
        <v>OK</v>
      </c>
      <c r="P1210" s="31">
        <f t="shared" si="92"/>
        <v>16300</v>
      </c>
      <c r="Q1210" s="32" t="str">
        <f t="shared" si="93"/>
        <v>n/a</v>
      </c>
      <c r="R1210" s="6" t="str">
        <f>IF(ABS(P1210)&lt;Overview!$B$6,"OK",IF(J1210=0,"REVIEW (zero base)",IF(ABS(P1210/ABS(J1210))&gt;=Overview!$B$5,"REVIEW","OK")))</f>
        <v>OK</v>
      </c>
      <c r="S1210" s="33">
        <f t="shared" si="94"/>
        <v>1.2099999999999999E-3</v>
      </c>
    </row>
    <row r="1211" spans="1:19" x14ac:dyDescent="0.2">
      <c r="A1211" s="17">
        <v>1209</v>
      </c>
      <c r="B1211" s="17" t="s">
        <v>171</v>
      </c>
      <c r="C1211" s="17" t="s">
        <v>338</v>
      </c>
      <c r="D1211" s="17" t="s">
        <v>55</v>
      </c>
      <c r="E1211" s="17" t="s">
        <v>79</v>
      </c>
      <c r="F1211" s="17" t="s">
        <v>386</v>
      </c>
      <c r="G1211" s="17" t="s">
        <v>387</v>
      </c>
      <c r="H1211" s="30">
        <v>14316</v>
      </c>
      <c r="I1211" s="30">
        <v>9276</v>
      </c>
      <c r="J1211" s="30">
        <v>9800</v>
      </c>
      <c r="K1211" s="30">
        <v>0</v>
      </c>
      <c r="L1211" s="30">
        <v>0</v>
      </c>
      <c r="M1211" s="31">
        <f t="shared" si="90"/>
        <v>524</v>
      </c>
      <c r="N1211" s="32">
        <f t="shared" si="91"/>
        <v>5.6489866321690382E-2</v>
      </c>
      <c r="O1211" s="6" t="str">
        <f>IF(ABS(M1211)&lt;Overview!$B$6,"OK",IF(I1211=0,"REVIEW (zero base)",IF(ABS(M1211/ABS(I1211))&gt;=Overview!$B$5,"REVIEW","OK")))</f>
        <v>OK</v>
      </c>
      <c r="P1211" s="31">
        <f t="shared" si="92"/>
        <v>-9800</v>
      </c>
      <c r="Q1211" s="32">
        <f t="shared" si="93"/>
        <v>-1</v>
      </c>
      <c r="R1211" s="6" t="str">
        <f>IF(ABS(P1211)&lt;Overview!$B$6,"OK",IF(J1211=0,"REVIEW (zero base)",IF(ABS(P1211/ABS(J1211))&gt;=Overview!$B$5,"REVIEW","OK")))</f>
        <v>OK</v>
      </c>
      <c r="S1211" s="33">
        <f t="shared" si="94"/>
        <v>524.00121100000001</v>
      </c>
    </row>
    <row r="1212" spans="1:19" x14ac:dyDescent="0.2">
      <c r="A1212" s="17">
        <v>1210</v>
      </c>
      <c r="B1212" s="17" t="s">
        <v>171</v>
      </c>
      <c r="C1212" s="17" t="s">
        <v>338</v>
      </c>
      <c r="D1212" s="17" t="s">
        <v>55</v>
      </c>
      <c r="E1212" s="17" t="s">
        <v>79</v>
      </c>
      <c r="F1212" s="17" t="s">
        <v>386</v>
      </c>
      <c r="G1212" s="17" t="s">
        <v>447</v>
      </c>
      <c r="H1212" s="30">
        <v>4342</v>
      </c>
      <c r="I1212" s="30">
        <v>5351</v>
      </c>
      <c r="J1212" s="30">
        <v>21430</v>
      </c>
      <c r="K1212" s="30">
        <v>15000</v>
      </c>
      <c r="L1212" s="30">
        <v>15105</v>
      </c>
      <c r="M1212" s="31">
        <f t="shared" si="90"/>
        <v>16079</v>
      </c>
      <c r="N1212" s="32">
        <f t="shared" si="91"/>
        <v>3.0048589048775929</v>
      </c>
      <c r="O1212" s="6" t="str">
        <f>IF(ABS(M1212)&lt;Overview!$B$6,"OK",IF(I1212=0,"REVIEW (zero base)",IF(ABS(M1212/ABS(I1212))&gt;=Overview!$B$5,"REVIEW","OK")))</f>
        <v>OK</v>
      </c>
      <c r="P1212" s="31">
        <f t="shared" si="92"/>
        <v>-6430</v>
      </c>
      <c r="Q1212" s="32">
        <f t="shared" si="93"/>
        <v>-0.30004666355576293</v>
      </c>
      <c r="R1212" s="6" t="str">
        <f>IF(ABS(P1212)&lt;Overview!$B$6,"OK",IF(J1212=0,"REVIEW (zero base)",IF(ABS(P1212/ABS(J1212))&gt;=Overview!$B$5,"REVIEW","OK")))</f>
        <v>OK</v>
      </c>
      <c r="S1212" s="33">
        <f t="shared" si="94"/>
        <v>16079.001211999999</v>
      </c>
    </row>
    <row r="1213" spans="1:19" x14ac:dyDescent="0.2">
      <c r="A1213" s="17">
        <v>1211</v>
      </c>
      <c r="B1213" s="17" t="s">
        <v>171</v>
      </c>
      <c r="C1213" s="17" t="s">
        <v>338</v>
      </c>
      <c r="D1213" s="17" t="s">
        <v>55</v>
      </c>
      <c r="E1213" s="17" t="s">
        <v>79</v>
      </c>
      <c r="F1213" s="17" t="s">
        <v>475</v>
      </c>
      <c r="G1213" s="17" t="s">
        <v>476</v>
      </c>
      <c r="H1213" s="30">
        <v>126052</v>
      </c>
      <c r="I1213" s="30">
        <v>202617</v>
      </c>
      <c r="J1213" s="30">
        <v>141138</v>
      </c>
      <c r="K1213" s="30">
        <v>163138</v>
      </c>
      <c r="L1213" s="30">
        <v>164280</v>
      </c>
      <c r="M1213" s="31">
        <f t="shared" si="90"/>
        <v>-61479</v>
      </c>
      <c r="N1213" s="32">
        <f t="shared" si="91"/>
        <v>-0.30342468795806865</v>
      </c>
      <c r="O1213" s="6" t="str">
        <f>IF(ABS(M1213)&lt;Overview!$B$6,"OK",IF(I1213=0,"REVIEW (zero base)",IF(ABS(M1213/ABS(I1213))&gt;=Overview!$B$5,"REVIEW","OK")))</f>
        <v>OK</v>
      </c>
      <c r="P1213" s="31">
        <f t="shared" si="92"/>
        <v>22000</v>
      </c>
      <c r="Q1213" s="32">
        <f t="shared" si="93"/>
        <v>0.15587580949141974</v>
      </c>
      <c r="R1213" s="6" t="str">
        <f>IF(ABS(P1213)&lt;Overview!$B$6,"OK",IF(J1213=0,"REVIEW (zero base)",IF(ABS(P1213/ABS(J1213))&gt;=Overview!$B$5,"REVIEW","OK")))</f>
        <v>OK</v>
      </c>
      <c r="S1213" s="33">
        <f t="shared" si="94"/>
        <v>61479.001213000003</v>
      </c>
    </row>
    <row r="1214" spans="1:19" x14ac:dyDescent="0.2">
      <c r="A1214" s="17">
        <v>1212</v>
      </c>
      <c r="B1214" s="17" t="s">
        <v>171</v>
      </c>
      <c r="C1214" s="17" t="s">
        <v>338</v>
      </c>
      <c r="D1214" s="17" t="s">
        <v>55</v>
      </c>
      <c r="E1214" s="17" t="s">
        <v>79</v>
      </c>
      <c r="F1214" s="17" t="s">
        <v>461</v>
      </c>
      <c r="G1214" s="17" t="s">
        <v>463</v>
      </c>
      <c r="H1214" s="30">
        <v>52099</v>
      </c>
      <c r="I1214" s="30">
        <v>32682</v>
      </c>
      <c r="J1214" s="30">
        <v>50200</v>
      </c>
      <c r="K1214" s="30">
        <v>50200</v>
      </c>
      <c r="L1214" s="30">
        <v>50551</v>
      </c>
      <c r="M1214" s="31">
        <f t="shared" si="90"/>
        <v>17518</v>
      </c>
      <c r="N1214" s="32">
        <f t="shared" si="91"/>
        <v>0.53601370785141667</v>
      </c>
      <c r="O1214" s="6" t="str">
        <f>IF(ABS(M1214)&lt;Overview!$B$6,"OK",IF(I1214=0,"REVIEW (zero base)",IF(ABS(M1214/ABS(I1214))&gt;=Overview!$B$5,"REVIEW","OK")))</f>
        <v>OK</v>
      </c>
      <c r="P1214" s="31">
        <f t="shared" si="92"/>
        <v>0</v>
      </c>
      <c r="Q1214" s="32">
        <f t="shared" si="93"/>
        <v>0</v>
      </c>
      <c r="R1214" s="6" t="str">
        <f>IF(ABS(P1214)&lt;Overview!$B$6,"OK",IF(J1214=0,"REVIEW (zero base)",IF(ABS(P1214/ABS(J1214))&gt;=Overview!$B$5,"REVIEW","OK")))</f>
        <v>OK</v>
      </c>
      <c r="S1214" s="33">
        <f t="shared" si="94"/>
        <v>17518.001214</v>
      </c>
    </row>
    <row r="1215" spans="1:19" x14ac:dyDescent="0.2">
      <c r="A1215" s="17">
        <v>1213</v>
      </c>
      <c r="B1215" s="17" t="s">
        <v>171</v>
      </c>
      <c r="C1215" s="17" t="s">
        <v>338</v>
      </c>
      <c r="D1215" s="17" t="s">
        <v>55</v>
      </c>
      <c r="E1215" s="17" t="s">
        <v>79</v>
      </c>
      <c r="F1215" s="17" t="s">
        <v>448</v>
      </c>
      <c r="G1215" s="17" t="s">
        <v>449</v>
      </c>
      <c r="H1215" s="30">
        <v>0</v>
      </c>
      <c r="I1215" s="30">
        <v>0</v>
      </c>
      <c r="J1215" s="30">
        <v>0</v>
      </c>
      <c r="K1215" s="30">
        <v>18000</v>
      </c>
      <c r="L1215" s="30">
        <v>18126</v>
      </c>
      <c r="M1215" s="31">
        <f t="shared" si="90"/>
        <v>0</v>
      </c>
      <c r="N1215" s="32" t="str">
        <f t="shared" si="91"/>
        <v>n/a</v>
      </c>
      <c r="O1215" s="6" t="str">
        <f>IF(ABS(M1215)&lt;Overview!$B$6,"OK",IF(I1215=0,"REVIEW (zero base)",IF(ABS(M1215/ABS(I1215))&gt;=Overview!$B$5,"REVIEW","OK")))</f>
        <v>OK</v>
      </c>
      <c r="P1215" s="31">
        <f t="shared" si="92"/>
        <v>18000</v>
      </c>
      <c r="Q1215" s="32" t="str">
        <f t="shared" si="93"/>
        <v>n/a</v>
      </c>
      <c r="R1215" s="6" t="str">
        <f>IF(ABS(P1215)&lt;Overview!$B$6,"OK",IF(J1215=0,"REVIEW (zero base)",IF(ABS(P1215/ABS(J1215))&gt;=Overview!$B$5,"REVIEW","OK")))</f>
        <v>OK</v>
      </c>
      <c r="S1215" s="33">
        <f t="shared" si="94"/>
        <v>1.2149999999999999E-3</v>
      </c>
    </row>
    <row r="1216" spans="1:19" x14ac:dyDescent="0.2">
      <c r="A1216" s="17">
        <v>1214</v>
      </c>
      <c r="B1216" s="17" t="s">
        <v>171</v>
      </c>
      <c r="C1216" s="17" t="s">
        <v>338</v>
      </c>
      <c r="D1216" s="17" t="s">
        <v>55</v>
      </c>
      <c r="E1216" s="17" t="s">
        <v>79</v>
      </c>
      <c r="F1216" s="17" t="s">
        <v>522</v>
      </c>
      <c r="G1216" s="17" t="s">
        <v>523</v>
      </c>
      <c r="H1216" s="30">
        <v>4077</v>
      </c>
      <c r="I1216" s="30">
        <v>5065</v>
      </c>
      <c r="J1216" s="30">
        <v>39617</v>
      </c>
      <c r="K1216" s="30">
        <v>9907</v>
      </c>
      <c r="L1216" s="30">
        <v>9976</v>
      </c>
      <c r="M1216" s="31">
        <f t="shared" si="90"/>
        <v>34552</v>
      </c>
      <c r="N1216" s="32">
        <f t="shared" si="91"/>
        <v>6.8217176702862785</v>
      </c>
      <c r="O1216" s="6" t="str">
        <f>IF(ABS(M1216)&lt;Overview!$B$6,"OK",IF(I1216=0,"REVIEW (zero base)",IF(ABS(M1216/ABS(I1216))&gt;=Overview!$B$5,"REVIEW","OK")))</f>
        <v>OK</v>
      </c>
      <c r="P1216" s="31">
        <f t="shared" si="92"/>
        <v>-29710</v>
      </c>
      <c r="Q1216" s="32">
        <f t="shared" si="93"/>
        <v>-0.74993058535477197</v>
      </c>
      <c r="R1216" s="6" t="str">
        <f>IF(ABS(P1216)&lt;Overview!$B$6,"OK",IF(J1216=0,"REVIEW (zero base)",IF(ABS(P1216/ABS(J1216))&gt;=Overview!$B$5,"REVIEW","OK")))</f>
        <v>OK</v>
      </c>
      <c r="S1216" s="33">
        <f t="shared" si="94"/>
        <v>34552.001215999997</v>
      </c>
    </row>
    <row r="1217" spans="1:19" x14ac:dyDescent="0.2">
      <c r="A1217" s="17">
        <v>1215</v>
      </c>
      <c r="B1217" s="17" t="s">
        <v>171</v>
      </c>
      <c r="C1217" s="17" t="s">
        <v>338</v>
      </c>
      <c r="D1217" s="17" t="s">
        <v>55</v>
      </c>
      <c r="E1217" s="17" t="s">
        <v>79</v>
      </c>
      <c r="F1217" s="17" t="s">
        <v>411</v>
      </c>
      <c r="G1217" s="17" t="s">
        <v>465</v>
      </c>
      <c r="H1217" s="30">
        <v>505016</v>
      </c>
      <c r="I1217" s="30">
        <v>529628</v>
      </c>
      <c r="J1217" s="30">
        <v>400000</v>
      </c>
      <c r="K1217" s="30">
        <v>400000</v>
      </c>
      <c r="L1217" s="30">
        <v>402800</v>
      </c>
      <c r="M1217" s="31">
        <f t="shared" si="90"/>
        <v>-129628</v>
      </c>
      <c r="N1217" s="32">
        <f t="shared" si="91"/>
        <v>-0.24475292091807835</v>
      </c>
      <c r="O1217" s="6" t="str">
        <f>IF(ABS(M1217)&lt;Overview!$B$6,"OK",IF(I1217=0,"REVIEW (zero base)",IF(ABS(M1217/ABS(I1217))&gt;=Overview!$B$5,"REVIEW","OK")))</f>
        <v>OK</v>
      </c>
      <c r="P1217" s="31">
        <f t="shared" si="92"/>
        <v>0</v>
      </c>
      <c r="Q1217" s="32">
        <f t="shared" si="93"/>
        <v>0</v>
      </c>
      <c r="R1217" s="6" t="str">
        <f>IF(ABS(P1217)&lt;Overview!$B$6,"OK",IF(J1217=0,"REVIEW (zero base)",IF(ABS(P1217/ABS(J1217))&gt;=Overview!$B$5,"REVIEW","OK")))</f>
        <v>OK</v>
      </c>
      <c r="S1217" s="33">
        <f t="shared" si="94"/>
        <v>129628.001217</v>
      </c>
    </row>
    <row r="1218" spans="1:19" x14ac:dyDescent="0.2">
      <c r="A1218" s="17">
        <v>1216</v>
      </c>
      <c r="B1218" s="17" t="s">
        <v>171</v>
      </c>
      <c r="C1218" s="17" t="s">
        <v>338</v>
      </c>
      <c r="D1218" s="17" t="s">
        <v>55</v>
      </c>
      <c r="E1218" s="17" t="s">
        <v>79</v>
      </c>
      <c r="F1218" s="17" t="s">
        <v>411</v>
      </c>
      <c r="G1218" s="17" t="s">
        <v>451</v>
      </c>
      <c r="H1218" s="30">
        <v>21936</v>
      </c>
      <c r="I1218" s="30">
        <v>22525</v>
      </c>
      <c r="J1218" s="30">
        <v>21000</v>
      </c>
      <c r="K1218" s="30">
        <v>25000</v>
      </c>
      <c r="L1218" s="30">
        <v>25175</v>
      </c>
      <c r="M1218" s="31">
        <f t="shared" ref="M1218:M1281" si="95">J1218-I1218</f>
        <v>-1525</v>
      </c>
      <c r="N1218" s="32">
        <f t="shared" ref="N1218:N1281" si="96">IF(I1218=0,"n/a",M1218/ABS(I1218))</f>
        <v>-6.7702552719200892E-2</v>
      </c>
      <c r="O1218" s="6" t="str">
        <f>IF(ABS(M1218)&lt;Overview!$B$6,"OK",IF(I1218=0,"REVIEW (zero base)",IF(ABS(M1218/ABS(I1218))&gt;=Overview!$B$5,"REVIEW","OK")))</f>
        <v>OK</v>
      </c>
      <c r="P1218" s="31">
        <f t="shared" ref="P1218:P1281" si="97">K1218-J1218</f>
        <v>4000</v>
      </c>
      <c r="Q1218" s="32">
        <f t="shared" ref="Q1218:Q1281" si="98">IF(J1218=0,"n/a",P1218/ABS(J1218))</f>
        <v>0.19047619047619047</v>
      </c>
      <c r="R1218" s="6" t="str">
        <f>IF(ABS(P1218)&lt;Overview!$B$6,"OK",IF(J1218=0,"REVIEW (zero base)",IF(ABS(P1218/ABS(J1218))&gt;=Overview!$B$5,"REVIEW","OK")))</f>
        <v>OK</v>
      </c>
      <c r="S1218" s="33">
        <f t="shared" ref="S1218:S1281" si="99">IF(C1218="EXPENSES",ABS(M1218)+ROW()/1000000,0)</f>
        <v>1525.0012180000001</v>
      </c>
    </row>
    <row r="1219" spans="1:19" x14ac:dyDescent="0.2">
      <c r="A1219" s="17">
        <v>1217</v>
      </c>
      <c r="B1219" s="17" t="s">
        <v>171</v>
      </c>
      <c r="C1219" s="17" t="s">
        <v>338</v>
      </c>
      <c r="D1219" s="17" t="s">
        <v>55</v>
      </c>
      <c r="E1219" s="17" t="s">
        <v>79</v>
      </c>
      <c r="F1219" s="17" t="s">
        <v>411</v>
      </c>
      <c r="G1219" s="17" t="s">
        <v>467</v>
      </c>
      <c r="H1219" s="30">
        <v>10570</v>
      </c>
      <c r="I1219" s="30">
        <v>7259</v>
      </c>
      <c r="J1219" s="30">
        <v>15000</v>
      </c>
      <c r="K1219" s="30">
        <v>8000</v>
      </c>
      <c r="L1219" s="30">
        <v>8056</v>
      </c>
      <c r="M1219" s="31">
        <f t="shared" si="95"/>
        <v>7741</v>
      </c>
      <c r="N1219" s="32">
        <f t="shared" si="96"/>
        <v>1.0664003306240528</v>
      </c>
      <c r="O1219" s="6" t="str">
        <f>IF(ABS(M1219)&lt;Overview!$B$6,"OK",IF(I1219=0,"REVIEW (zero base)",IF(ABS(M1219/ABS(I1219))&gt;=Overview!$B$5,"REVIEW","OK")))</f>
        <v>OK</v>
      </c>
      <c r="P1219" s="31">
        <f t="shared" si="97"/>
        <v>-7000</v>
      </c>
      <c r="Q1219" s="32">
        <f t="shared" si="98"/>
        <v>-0.46666666666666667</v>
      </c>
      <c r="R1219" s="6" t="str">
        <f>IF(ABS(P1219)&lt;Overview!$B$6,"OK",IF(J1219=0,"REVIEW (zero base)",IF(ABS(P1219/ABS(J1219))&gt;=Overview!$B$5,"REVIEW","OK")))</f>
        <v>OK</v>
      </c>
      <c r="S1219" s="33">
        <f t="shared" si="99"/>
        <v>7741.0012189999998</v>
      </c>
    </row>
    <row r="1220" spans="1:19" x14ac:dyDescent="0.2">
      <c r="A1220" s="17">
        <v>1218</v>
      </c>
      <c r="B1220" s="17" t="s">
        <v>171</v>
      </c>
      <c r="C1220" s="17" t="s">
        <v>338</v>
      </c>
      <c r="D1220" s="17" t="s">
        <v>55</v>
      </c>
      <c r="E1220" s="17" t="s">
        <v>79</v>
      </c>
      <c r="F1220" s="17" t="s">
        <v>411</v>
      </c>
      <c r="G1220" s="17" t="s">
        <v>454</v>
      </c>
      <c r="H1220" s="30">
        <v>71868</v>
      </c>
      <c r="I1220" s="30">
        <v>55988</v>
      </c>
      <c r="J1220" s="30">
        <v>70000</v>
      </c>
      <c r="K1220" s="30">
        <v>55000</v>
      </c>
      <c r="L1220" s="30">
        <v>55385</v>
      </c>
      <c r="M1220" s="31">
        <f t="shared" si="95"/>
        <v>14012</v>
      </c>
      <c r="N1220" s="32">
        <f t="shared" si="96"/>
        <v>0.25026791455311853</v>
      </c>
      <c r="O1220" s="6" t="str">
        <f>IF(ABS(M1220)&lt;Overview!$B$6,"OK",IF(I1220=0,"REVIEW (zero base)",IF(ABS(M1220/ABS(I1220))&gt;=Overview!$B$5,"REVIEW","OK")))</f>
        <v>OK</v>
      </c>
      <c r="P1220" s="31">
        <f t="shared" si="97"/>
        <v>-15000</v>
      </c>
      <c r="Q1220" s="32">
        <f t="shared" si="98"/>
        <v>-0.21428571428571427</v>
      </c>
      <c r="R1220" s="6" t="str">
        <f>IF(ABS(P1220)&lt;Overview!$B$6,"OK",IF(J1220=0,"REVIEW (zero base)",IF(ABS(P1220/ABS(J1220))&gt;=Overview!$B$5,"REVIEW","OK")))</f>
        <v>OK</v>
      </c>
      <c r="S1220" s="33">
        <f t="shared" si="99"/>
        <v>14012.00122</v>
      </c>
    </row>
    <row r="1221" spans="1:19" x14ac:dyDescent="0.2">
      <c r="A1221" s="17">
        <v>1219</v>
      </c>
      <c r="B1221" s="17" t="s">
        <v>171</v>
      </c>
      <c r="C1221" s="17" t="s">
        <v>338</v>
      </c>
      <c r="D1221" s="17" t="s">
        <v>55</v>
      </c>
      <c r="E1221" s="17" t="s">
        <v>79</v>
      </c>
      <c r="F1221" s="17" t="s">
        <v>411</v>
      </c>
      <c r="G1221" s="17" t="s">
        <v>455</v>
      </c>
      <c r="H1221" s="30">
        <v>561514</v>
      </c>
      <c r="I1221" s="30">
        <v>586179</v>
      </c>
      <c r="J1221" s="30">
        <v>731765</v>
      </c>
      <c r="K1221" s="30">
        <v>590000</v>
      </c>
      <c r="L1221" s="30">
        <v>594130</v>
      </c>
      <c r="M1221" s="31">
        <f t="shared" si="95"/>
        <v>145586</v>
      </c>
      <c r="N1221" s="32">
        <f t="shared" si="96"/>
        <v>0.24836440745915497</v>
      </c>
      <c r="O1221" s="6" t="str">
        <f>IF(ABS(M1221)&lt;Overview!$B$6,"OK",IF(I1221=0,"REVIEW (zero base)",IF(ABS(M1221/ABS(I1221))&gt;=Overview!$B$5,"REVIEW","OK")))</f>
        <v>OK</v>
      </c>
      <c r="P1221" s="31">
        <f t="shared" si="97"/>
        <v>-141765</v>
      </c>
      <c r="Q1221" s="32">
        <f t="shared" si="98"/>
        <v>-0.19373022760039083</v>
      </c>
      <c r="R1221" s="6" t="str">
        <f>IF(ABS(P1221)&lt;Overview!$B$6,"OK",IF(J1221=0,"REVIEW (zero base)",IF(ABS(P1221/ABS(J1221))&gt;=Overview!$B$5,"REVIEW","OK")))</f>
        <v>OK</v>
      </c>
      <c r="S1221" s="33">
        <f t="shared" si="99"/>
        <v>145586.00122100001</v>
      </c>
    </row>
    <row r="1222" spans="1:19" x14ac:dyDescent="0.2">
      <c r="A1222" s="17">
        <v>1220</v>
      </c>
      <c r="B1222" s="17" t="s">
        <v>171</v>
      </c>
      <c r="C1222" s="17" t="s">
        <v>338</v>
      </c>
      <c r="D1222" s="17" t="s">
        <v>55</v>
      </c>
      <c r="E1222" s="17" t="s">
        <v>79</v>
      </c>
      <c r="F1222" s="17" t="s">
        <v>411</v>
      </c>
      <c r="G1222" s="17" t="s">
        <v>412</v>
      </c>
      <c r="H1222" s="30">
        <v>74523</v>
      </c>
      <c r="I1222" s="30">
        <v>105538</v>
      </c>
      <c r="J1222" s="30">
        <v>187614</v>
      </c>
      <c r="K1222" s="30">
        <v>150000</v>
      </c>
      <c r="L1222" s="30">
        <v>151050</v>
      </c>
      <c r="M1222" s="31">
        <f t="shared" si="95"/>
        <v>82076</v>
      </c>
      <c r="N1222" s="32">
        <f t="shared" si="96"/>
        <v>0.77769144763023745</v>
      </c>
      <c r="O1222" s="6" t="str">
        <f>IF(ABS(M1222)&lt;Overview!$B$6,"OK",IF(I1222=0,"REVIEW (zero base)",IF(ABS(M1222/ABS(I1222))&gt;=Overview!$B$5,"REVIEW","OK")))</f>
        <v>OK</v>
      </c>
      <c r="P1222" s="31">
        <f t="shared" si="97"/>
        <v>-37614</v>
      </c>
      <c r="Q1222" s="32">
        <f t="shared" si="98"/>
        <v>-0.20048610444849532</v>
      </c>
      <c r="R1222" s="6" t="str">
        <f>IF(ABS(P1222)&lt;Overview!$B$6,"OK",IF(J1222=0,"REVIEW (zero base)",IF(ABS(P1222/ABS(J1222))&gt;=Overview!$B$5,"REVIEW","OK")))</f>
        <v>OK</v>
      </c>
      <c r="S1222" s="33">
        <f t="shared" si="99"/>
        <v>82076.001222000006</v>
      </c>
    </row>
    <row r="1223" spans="1:19" x14ac:dyDescent="0.2">
      <c r="A1223" s="17">
        <v>1221</v>
      </c>
      <c r="B1223" s="17" t="s">
        <v>171</v>
      </c>
      <c r="C1223" s="17" t="s">
        <v>338</v>
      </c>
      <c r="D1223" s="17" t="s">
        <v>55</v>
      </c>
      <c r="E1223" s="17" t="s">
        <v>83</v>
      </c>
      <c r="F1223" s="17" t="s">
        <v>339</v>
      </c>
      <c r="G1223" s="17" t="s">
        <v>340</v>
      </c>
      <c r="H1223" s="30">
        <v>3356809</v>
      </c>
      <c r="I1223" s="30">
        <v>2509881</v>
      </c>
      <c r="J1223" s="30">
        <v>3996901</v>
      </c>
      <c r="K1223" s="30">
        <v>4324684</v>
      </c>
      <c r="L1223" s="30">
        <v>4367931</v>
      </c>
      <c r="M1223" s="31">
        <f t="shared" si="95"/>
        <v>1487020</v>
      </c>
      <c r="N1223" s="32">
        <f t="shared" si="96"/>
        <v>0.59246633605338261</v>
      </c>
      <c r="O1223" s="6" t="str">
        <f>IF(ABS(M1223)&lt;Overview!$B$6,"OK",IF(I1223=0,"REVIEW (zero base)",IF(ABS(M1223/ABS(I1223))&gt;=Overview!$B$5,"REVIEW","OK")))</f>
        <v>REVIEW</v>
      </c>
      <c r="P1223" s="31">
        <f t="shared" si="97"/>
        <v>327783</v>
      </c>
      <c r="Q1223" s="32">
        <f t="shared" si="98"/>
        <v>8.2009286694866845E-2</v>
      </c>
      <c r="R1223" s="6" t="str">
        <f>IF(ABS(P1223)&lt;Overview!$B$6,"OK",IF(J1223=0,"REVIEW (zero base)",IF(ABS(P1223/ABS(J1223))&gt;=Overview!$B$5,"REVIEW","OK")))</f>
        <v>OK</v>
      </c>
      <c r="S1223" s="33">
        <f t="shared" si="99"/>
        <v>1487020.001223</v>
      </c>
    </row>
    <row r="1224" spans="1:19" x14ac:dyDescent="0.2">
      <c r="A1224" s="17">
        <v>1222</v>
      </c>
      <c r="B1224" s="17" t="s">
        <v>171</v>
      </c>
      <c r="C1224" s="17" t="s">
        <v>338</v>
      </c>
      <c r="D1224" s="17" t="s">
        <v>55</v>
      </c>
      <c r="E1224" s="17" t="s">
        <v>83</v>
      </c>
      <c r="F1224" s="17" t="s">
        <v>339</v>
      </c>
      <c r="G1224" s="17" t="s">
        <v>390</v>
      </c>
      <c r="H1224" s="30">
        <v>267952</v>
      </c>
      <c r="I1224" s="30">
        <v>241091</v>
      </c>
      <c r="J1224" s="30">
        <v>275000</v>
      </c>
      <c r="K1224" s="30">
        <v>275000</v>
      </c>
      <c r="L1224" s="30">
        <v>275000</v>
      </c>
      <c r="M1224" s="31">
        <f t="shared" si="95"/>
        <v>33909</v>
      </c>
      <c r="N1224" s="32">
        <f t="shared" si="96"/>
        <v>0.14064813701050641</v>
      </c>
      <c r="O1224" s="6" t="str">
        <f>IF(ABS(M1224)&lt;Overview!$B$6,"OK",IF(I1224=0,"REVIEW (zero base)",IF(ABS(M1224/ABS(I1224))&gt;=Overview!$B$5,"REVIEW","OK")))</f>
        <v>OK</v>
      </c>
      <c r="P1224" s="31">
        <f t="shared" si="97"/>
        <v>0</v>
      </c>
      <c r="Q1224" s="32">
        <f t="shared" si="98"/>
        <v>0</v>
      </c>
      <c r="R1224" s="6" t="str">
        <f>IF(ABS(P1224)&lt;Overview!$B$6,"OK",IF(J1224=0,"REVIEW (zero base)",IF(ABS(P1224/ABS(J1224))&gt;=Overview!$B$5,"REVIEW","OK")))</f>
        <v>OK</v>
      </c>
      <c r="S1224" s="33">
        <f t="shared" si="99"/>
        <v>33909.001224</v>
      </c>
    </row>
    <row r="1225" spans="1:19" x14ac:dyDescent="0.2">
      <c r="A1225" s="17">
        <v>1223</v>
      </c>
      <c r="B1225" s="17" t="s">
        <v>171</v>
      </c>
      <c r="C1225" s="17" t="s">
        <v>338</v>
      </c>
      <c r="D1225" s="17" t="s">
        <v>55</v>
      </c>
      <c r="E1225" s="17" t="s">
        <v>83</v>
      </c>
      <c r="F1225" s="17" t="s">
        <v>339</v>
      </c>
      <c r="G1225" s="17" t="s">
        <v>391</v>
      </c>
      <c r="H1225" s="30">
        <v>190976</v>
      </c>
      <c r="I1225" s="30">
        <v>111284</v>
      </c>
      <c r="J1225" s="30">
        <v>0</v>
      </c>
      <c r="K1225" s="30">
        <v>0</v>
      </c>
      <c r="L1225" s="30">
        <v>0</v>
      </c>
      <c r="M1225" s="31">
        <f t="shared" si="95"/>
        <v>-111284</v>
      </c>
      <c r="N1225" s="32">
        <f t="shared" si="96"/>
        <v>-1</v>
      </c>
      <c r="O1225" s="6" t="str">
        <f>IF(ABS(M1225)&lt;Overview!$B$6,"OK",IF(I1225=0,"REVIEW (zero base)",IF(ABS(M1225/ABS(I1225))&gt;=Overview!$B$5,"REVIEW","OK")))</f>
        <v>OK</v>
      </c>
      <c r="P1225" s="31">
        <f t="shared" si="97"/>
        <v>0</v>
      </c>
      <c r="Q1225" s="32" t="str">
        <f t="shared" si="98"/>
        <v>n/a</v>
      </c>
      <c r="R1225" s="6" t="str">
        <f>IF(ABS(P1225)&lt;Overview!$B$6,"OK",IF(J1225=0,"REVIEW (zero base)",IF(ABS(P1225/ABS(J1225))&gt;=Overview!$B$5,"REVIEW","OK")))</f>
        <v>OK</v>
      </c>
      <c r="S1225" s="33">
        <f t="shared" si="99"/>
        <v>111284.001225</v>
      </c>
    </row>
    <row r="1226" spans="1:19" x14ac:dyDescent="0.2">
      <c r="A1226" s="17">
        <v>1224</v>
      </c>
      <c r="B1226" s="17" t="s">
        <v>171</v>
      </c>
      <c r="C1226" s="17" t="s">
        <v>338</v>
      </c>
      <c r="D1226" s="17" t="s">
        <v>55</v>
      </c>
      <c r="E1226" s="17" t="s">
        <v>83</v>
      </c>
      <c r="F1226" s="17" t="s">
        <v>339</v>
      </c>
      <c r="G1226" s="17" t="s">
        <v>392</v>
      </c>
      <c r="H1226" s="30">
        <v>331615</v>
      </c>
      <c r="I1226" s="30">
        <v>266590</v>
      </c>
      <c r="J1226" s="30">
        <v>0</v>
      </c>
      <c r="K1226" s="30">
        <v>0</v>
      </c>
      <c r="L1226" s="30">
        <v>0</v>
      </c>
      <c r="M1226" s="31">
        <f t="shared" si="95"/>
        <v>-266590</v>
      </c>
      <c r="N1226" s="32">
        <f t="shared" si="96"/>
        <v>-1</v>
      </c>
      <c r="O1226" s="6" t="str">
        <f>IF(ABS(M1226)&lt;Overview!$B$6,"OK",IF(I1226=0,"REVIEW (zero base)",IF(ABS(M1226/ABS(I1226))&gt;=Overview!$B$5,"REVIEW","OK")))</f>
        <v>REVIEW</v>
      </c>
      <c r="P1226" s="31">
        <f t="shared" si="97"/>
        <v>0</v>
      </c>
      <c r="Q1226" s="32" t="str">
        <f t="shared" si="98"/>
        <v>n/a</v>
      </c>
      <c r="R1226" s="6" t="str">
        <f>IF(ABS(P1226)&lt;Overview!$B$6,"OK",IF(J1226=0,"REVIEW (zero base)",IF(ABS(P1226/ABS(J1226))&gt;=Overview!$B$5,"REVIEW","OK")))</f>
        <v>OK</v>
      </c>
      <c r="S1226" s="33">
        <f t="shared" si="99"/>
        <v>266590.00122600002</v>
      </c>
    </row>
    <row r="1227" spans="1:19" x14ac:dyDescent="0.2">
      <c r="A1227" s="17">
        <v>1225</v>
      </c>
      <c r="B1227" s="17" t="s">
        <v>171</v>
      </c>
      <c r="C1227" s="17" t="s">
        <v>338</v>
      </c>
      <c r="D1227" s="17" t="s">
        <v>55</v>
      </c>
      <c r="E1227" s="17" t="s">
        <v>83</v>
      </c>
      <c r="F1227" s="17" t="s">
        <v>339</v>
      </c>
      <c r="G1227" s="17" t="s">
        <v>393</v>
      </c>
      <c r="H1227" s="30">
        <v>122652</v>
      </c>
      <c r="I1227" s="30">
        <v>97598</v>
      </c>
      <c r="J1227" s="30">
        <v>160000</v>
      </c>
      <c r="K1227" s="30">
        <v>125000</v>
      </c>
      <c r="L1227" s="30">
        <v>125000</v>
      </c>
      <c r="M1227" s="31">
        <f t="shared" si="95"/>
        <v>62402</v>
      </c>
      <c r="N1227" s="32">
        <f t="shared" si="96"/>
        <v>0.63937785610360864</v>
      </c>
      <c r="O1227" s="6" t="str">
        <f>IF(ABS(M1227)&lt;Overview!$B$6,"OK",IF(I1227=0,"REVIEW (zero base)",IF(ABS(M1227/ABS(I1227))&gt;=Overview!$B$5,"REVIEW","OK")))</f>
        <v>OK</v>
      </c>
      <c r="P1227" s="31">
        <f t="shared" si="97"/>
        <v>-35000</v>
      </c>
      <c r="Q1227" s="32">
        <f t="shared" si="98"/>
        <v>-0.21875</v>
      </c>
      <c r="R1227" s="6" t="str">
        <f>IF(ABS(P1227)&lt;Overview!$B$6,"OK",IF(J1227=0,"REVIEW (zero base)",IF(ABS(P1227/ABS(J1227))&gt;=Overview!$B$5,"REVIEW","OK")))</f>
        <v>OK</v>
      </c>
      <c r="S1227" s="33">
        <f t="shared" si="99"/>
        <v>62402.001227000001</v>
      </c>
    </row>
    <row r="1228" spans="1:19" x14ac:dyDescent="0.2">
      <c r="A1228" s="17">
        <v>1226</v>
      </c>
      <c r="B1228" s="17" t="s">
        <v>171</v>
      </c>
      <c r="C1228" s="17" t="s">
        <v>338</v>
      </c>
      <c r="D1228" s="17" t="s">
        <v>55</v>
      </c>
      <c r="E1228" s="17" t="s">
        <v>83</v>
      </c>
      <c r="F1228" s="17" t="s">
        <v>339</v>
      </c>
      <c r="G1228" s="17" t="s">
        <v>394</v>
      </c>
      <c r="H1228" s="30">
        <v>322932</v>
      </c>
      <c r="I1228" s="30">
        <v>296917</v>
      </c>
      <c r="J1228" s="30">
        <v>0</v>
      </c>
      <c r="K1228" s="30">
        <v>0</v>
      </c>
      <c r="L1228" s="30">
        <v>0</v>
      </c>
      <c r="M1228" s="31">
        <f t="shared" si="95"/>
        <v>-296917</v>
      </c>
      <c r="N1228" s="32">
        <f t="shared" si="96"/>
        <v>-1</v>
      </c>
      <c r="O1228" s="6" t="str">
        <f>IF(ABS(M1228)&lt;Overview!$B$6,"OK",IF(I1228=0,"REVIEW (zero base)",IF(ABS(M1228/ABS(I1228))&gt;=Overview!$B$5,"REVIEW","OK")))</f>
        <v>REVIEW</v>
      </c>
      <c r="P1228" s="31">
        <f t="shared" si="97"/>
        <v>0</v>
      </c>
      <c r="Q1228" s="32" t="str">
        <f t="shared" si="98"/>
        <v>n/a</v>
      </c>
      <c r="R1228" s="6" t="str">
        <f>IF(ABS(P1228)&lt;Overview!$B$6,"OK",IF(J1228=0,"REVIEW (zero base)",IF(ABS(P1228/ABS(J1228))&gt;=Overview!$B$5,"REVIEW","OK")))</f>
        <v>OK</v>
      </c>
      <c r="S1228" s="33">
        <f t="shared" si="99"/>
        <v>296917.00122799998</v>
      </c>
    </row>
    <row r="1229" spans="1:19" x14ac:dyDescent="0.2">
      <c r="A1229" s="17">
        <v>1227</v>
      </c>
      <c r="B1229" s="17" t="s">
        <v>171</v>
      </c>
      <c r="C1229" s="17" t="s">
        <v>338</v>
      </c>
      <c r="D1229" s="17" t="s">
        <v>55</v>
      </c>
      <c r="E1229" s="17" t="s">
        <v>83</v>
      </c>
      <c r="F1229" s="17" t="s">
        <v>339</v>
      </c>
      <c r="G1229" s="17" t="s">
        <v>395</v>
      </c>
      <c r="H1229" s="30">
        <v>178952</v>
      </c>
      <c r="I1229" s="30">
        <v>181739</v>
      </c>
      <c r="J1229" s="30">
        <v>189927</v>
      </c>
      <c r="K1229" s="30">
        <v>185392</v>
      </c>
      <c r="L1229" s="30">
        <v>187246</v>
      </c>
      <c r="M1229" s="31">
        <f t="shared" si="95"/>
        <v>8188</v>
      </c>
      <c r="N1229" s="32">
        <f t="shared" si="96"/>
        <v>4.5053620851880992E-2</v>
      </c>
      <c r="O1229" s="6" t="str">
        <f>IF(ABS(M1229)&lt;Overview!$B$6,"OK",IF(I1229=0,"REVIEW (zero base)",IF(ABS(M1229/ABS(I1229))&gt;=Overview!$B$5,"REVIEW","OK")))</f>
        <v>OK</v>
      </c>
      <c r="P1229" s="31">
        <f t="shared" si="97"/>
        <v>-4535</v>
      </c>
      <c r="Q1229" s="32">
        <f t="shared" si="98"/>
        <v>-2.3877595076002886E-2</v>
      </c>
      <c r="R1229" s="6" t="str">
        <f>IF(ABS(P1229)&lt;Overview!$B$6,"OK",IF(J1229=0,"REVIEW (zero base)",IF(ABS(P1229/ABS(J1229))&gt;=Overview!$B$5,"REVIEW","OK")))</f>
        <v>OK</v>
      </c>
      <c r="S1229" s="33">
        <f t="shared" si="99"/>
        <v>8188.0012290000004</v>
      </c>
    </row>
    <row r="1230" spans="1:19" x14ac:dyDescent="0.2">
      <c r="A1230" s="17">
        <v>1228</v>
      </c>
      <c r="B1230" s="17" t="s">
        <v>171</v>
      </c>
      <c r="C1230" s="17" t="s">
        <v>338</v>
      </c>
      <c r="D1230" s="17" t="s">
        <v>55</v>
      </c>
      <c r="E1230" s="17" t="s">
        <v>83</v>
      </c>
      <c r="F1230" s="17" t="s">
        <v>339</v>
      </c>
      <c r="G1230" s="17" t="s">
        <v>424</v>
      </c>
      <c r="H1230" s="30">
        <v>47148</v>
      </c>
      <c r="I1230" s="30">
        <v>34194</v>
      </c>
      <c r="J1230" s="30">
        <v>43680</v>
      </c>
      <c r="K1230" s="30">
        <v>43680</v>
      </c>
      <c r="L1230" s="30">
        <v>43680</v>
      </c>
      <c r="M1230" s="31">
        <f t="shared" si="95"/>
        <v>9486</v>
      </c>
      <c r="N1230" s="32">
        <f t="shared" si="96"/>
        <v>0.27741709071766979</v>
      </c>
      <c r="O1230" s="6" t="str">
        <f>IF(ABS(M1230)&lt;Overview!$B$6,"OK",IF(I1230=0,"REVIEW (zero base)",IF(ABS(M1230/ABS(I1230))&gt;=Overview!$B$5,"REVIEW","OK")))</f>
        <v>OK</v>
      </c>
      <c r="P1230" s="31">
        <f t="shared" si="97"/>
        <v>0</v>
      </c>
      <c r="Q1230" s="32">
        <f t="shared" si="98"/>
        <v>0</v>
      </c>
      <c r="R1230" s="6" t="str">
        <f>IF(ABS(P1230)&lt;Overview!$B$6,"OK",IF(J1230=0,"REVIEW (zero base)",IF(ABS(P1230/ABS(J1230))&gt;=Overview!$B$5,"REVIEW","OK")))</f>
        <v>OK</v>
      </c>
      <c r="S1230" s="33">
        <f t="shared" si="99"/>
        <v>9486.0012299999999</v>
      </c>
    </row>
    <row r="1231" spans="1:19" x14ac:dyDescent="0.2">
      <c r="A1231" s="17">
        <v>1229</v>
      </c>
      <c r="B1231" s="17" t="s">
        <v>171</v>
      </c>
      <c r="C1231" s="17" t="s">
        <v>338</v>
      </c>
      <c r="D1231" s="17" t="s">
        <v>55</v>
      </c>
      <c r="E1231" s="17" t="s">
        <v>83</v>
      </c>
      <c r="F1231" s="17" t="s">
        <v>341</v>
      </c>
      <c r="G1231" s="17" t="s">
        <v>342</v>
      </c>
      <c r="H1231" s="30">
        <v>68005</v>
      </c>
      <c r="I1231" s="30">
        <v>64135</v>
      </c>
      <c r="J1231" s="30">
        <v>76872</v>
      </c>
      <c r="K1231" s="30">
        <v>76872</v>
      </c>
      <c r="L1231" s="30">
        <v>76872</v>
      </c>
      <c r="M1231" s="31">
        <f t="shared" si="95"/>
        <v>12737</v>
      </c>
      <c r="N1231" s="32">
        <f t="shared" si="96"/>
        <v>0.19859671006470725</v>
      </c>
      <c r="O1231" s="6" t="str">
        <f>IF(ABS(M1231)&lt;Overview!$B$6,"OK",IF(I1231=0,"REVIEW (zero base)",IF(ABS(M1231/ABS(I1231))&gt;=Overview!$B$5,"REVIEW","OK")))</f>
        <v>OK</v>
      </c>
      <c r="P1231" s="31">
        <f t="shared" si="97"/>
        <v>0</v>
      </c>
      <c r="Q1231" s="32">
        <f t="shared" si="98"/>
        <v>0</v>
      </c>
      <c r="R1231" s="6" t="str">
        <f>IF(ABS(P1231)&lt;Overview!$B$6,"OK",IF(J1231=0,"REVIEW (zero base)",IF(ABS(P1231/ABS(J1231))&gt;=Overview!$B$5,"REVIEW","OK")))</f>
        <v>OK</v>
      </c>
      <c r="S1231" s="33">
        <f t="shared" si="99"/>
        <v>12737.001231</v>
      </c>
    </row>
    <row r="1232" spans="1:19" x14ac:dyDescent="0.2">
      <c r="A1232" s="17">
        <v>1230</v>
      </c>
      <c r="B1232" s="17" t="s">
        <v>171</v>
      </c>
      <c r="C1232" s="17" t="s">
        <v>338</v>
      </c>
      <c r="D1232" s="17" t="s">
        <v>55</v>
      </c>
      <c r="E1232" s="17" t="s">
        <v>83</v>
      </c>
      <c r="F1232" s="17" t="s">
        <v>341</v>
      </c>
      <c r="G1232" s="17" t="s">
        <v>406</v>
      </c>
      <c r="H1232" s="30">
        <v>3000</v>
      </c>
      <c r="I1232" s="30">
        <v>2250</v>
      </c>
      <c r="J1232" s="30">
        <v>0</v>
      </c>
      <c r="K1232" s="30">
        <v>0</v>
      </c>
      <c r="L1232" s="30">
        <v>0</v>
      </c>
      <c r="M1232" s="31">
        <f t="shared" si="95"/>
        <v>-2250</v>
      </c>
      <c r="N1232" s="32">
        <f t="shared" si="96"/>
        <v>-1</v>
      </c>
      <c r="O1232" s="6" t="str">
        <f>IF(ABS(M1232)&lt;Overview!$B$6,"OK",IF(I1232=0,"REVIEW (zero base)",IF(ABS(M1232/ABS(I1232))&gt;=Overview!$B$5,"REVIEW","OK")))</f>
        <v>OK</v>
      </c>
      <c r="P1232" s="31">
        <f t="shared" si="97"/>
        <v>0</v>
      </c>
      <c r="Q1232" s="32" t="str">
        <f t="shared" si="98"/>
        <v>n/a</v>
      </c>
      <c r="R1232" s="6" t="str">
        <f>IF(ABS(P1232)&lt;Overview!$B$6,"OK",IF(J1232=0,"REVIEW (zero base)",IF(ABS(P1232/ABS(J1232))&gt;=Overview!$B$5,"REVIEW","OK")))</f>
        <v>OK</v>
      </c>
      <c r="S1232" s="33">
        <f t="shared" si="99"/>
        <v>2250.0012320000001</v>
      </c>
    </row>
    <row r="1233" spans="1:19" x14ac:dyDescent="0.2">
      <c r="A1233" s="17">
        <v>1231</v>
      </c>
      <c r="B1233" s="17" t="s">
        <v>171</v>
      </c>
      <c r="C1233" s="17" t="s">
        <v>338</v>
      </c>
      <c r="D1233" s="17" t="s">
        <v>55</v>
      </c>
      <c r="E1233" s="17" t="s">
        <v>83</v>
      </c>
      <c r="F1233" s="17" t="s">
        <v>341</v>
      </c>
      <c r="G1233" s="17" t="s">
        <v>521</v>
      </c>
      <c r="H1233" s="30">
        <v>195790</v>
      </c>
      <c r="I1233" s="30">
        <v>190638</v>
      </c>
      <c r="J1233" s="30">
        <v>196560</v>
      </c>
      <c r="K1233" s="30">
        <v>189280</v>
      </c>
      <c r="L1233" s="30">
        <v>189280</v>
      </c>
      <c r="M1233" s="31">
        <f t="shared" si="95"/>
        <v>5922</v>
      </c>
      <c r="N1233" s="32">
        <f t="shared" si="96"/>
        <v>3.1064111037673495E-2</v>
      </c>
      <c r="O1233" s="6" t="str">
        <f>IF(ABS(M1233)&lt;Overview!$B$6,"OK",IF(I1233=0,"REVIEW (zero base)",IF(ABS(M1233/ABS(I1233))&gt;=Overview!$B$5,"REVIEW","OK")))</f>
        <v>OK</v>
      </c>
      <c r="P1233" s="31">
        <f t="shared" si="97"/>
        <v>-7280</v>
      </c>
      <c r="Q1233" s="32">
        <f t="shared" si="98"/>
        <v>-3.7037037037037035E-2</v>
      </c>
      <c r="R1233" s="6" t="str">
        <f>IF(ABS(P1233)&lt;Overview!$B$6,"OK",IF(J1233=0,"REVIEW (zero base)",IF(ABS(P1233/ABS(J1233))&gt;=Overview!$B$5,"REVIEW","OK")))</f>
        <v>OK</v>
      </c>
      <c r="S1233" s="33">
        <f t="shared" si="99"/>
        <v>5922.001233</v>
      </c>
    </row>
    <row r="1234" spans="1:19" x14ac:dyDescent="0.2">
      <c r="A1234" s="17">
        <v>1232</v>
      </c>
      <c r="B1234" s="17" t="s">
        <v>171</v>
      </c>
      <c r="C1234" s="17" t="s">
        <v>338</v>
      </c>
      <c r="D1234" s="17" t="s">
        <v>55</v>
      </c>
      <c r="E1234" s="17" t="s">
        <v>83</v>
      </c>
      <c r="F1234" s="17" t="s">
        <v>341</v>
      </c>
      <c r="G1234" s="17" t="s">
        <v>375</v>
      </c>
      <c r="H1234" s="30">
        <v>303181</v>
      </c>
      <c r="I1234" s="30">
        <v>341441</v>
      </c>
      <c r="J1234" s="30">
        <v>344500</v>
      </c>
      <c r="K1234" s="30">
        <v>339950</v>
      </c>
      <c r="L1234" s="30">
        <v>339950</v>
      </c>
      <c r="M1234" s="31">
        <f t="shared" si="95"/>
        <v>3059</v>
      </c>
      <c r="N1234" s="32">
        <f t="shared" si="96"/>
        <v>8.9590881001402872E-3</v>
      </c>
      <c r="O1234" s="6" t="str">
        <f>IF(ABS(M1234)&lt;Overview!$B$6,"OK",IF(I1234=0,"REVIEW (zero base)",IF(ABS(M1234/ABS(I1234))&gt;=Overview!$B$5,"REVIEW","OK")))</f>
        <v>OK</v>
      </c>
      <c r="P1234" s="31">
        <f t="shared" si="97"/>
        <v>-4550</v>
      </c>
      <c r="Q1234" s="32">
        <f t="shared" si="98"/>
        <v>-1.3207547169811321E-2</v>
      </c>
      <c r="R1234" s="6" t="str">
        <f>IF(ABS(P1234)&lt;Overview!$B$6,"OK",IF(J1234=0,"REVIEW (zero base)",IF(ABS(P1234/ABS(J1234))&gt;=Overview!$B$5,"REVIEW","OK")))</f>
        <v>OK</v>
      </c>
      <c r="S1234" s="33">
        <f t="shared" si="99"/>
        <v>3059.0012339999998</v>
      </c>
    </row>
    <row r="1235" spans="1:19" x14ac:dyDescent="0.2">
      <c r="A1235" s="17">
        <v>1233</v>
      </c>
      <c r="B1235" s="17" t="s">
        <v>171</v>
      </c>
      <c r="C1235" s="17" t="s">
        <v>338</v>
      </c>
      <c r="D1235" s="17" t="s">
        <v>55</v>
      </c>
      <c r="E1235" s="17" t="s">
        <v>83</v>
      </c>
      <c r="F1235" s="17" t="s">
        <v>341</v>
      </c>
      <c r="G1235" s="17" t="s">
        <v>376</v>
      </c>
      <c r="H1235" s="30">
        <v>1295984</v>
      </c>
      <c r="I1235" s="30">
        <v>1344875</v>
      </c>
      <c r="J1235" s="30">
        <v>1071987</v>
      </c>
      <c r="K1235" s="30">
        <v>1401340</v>
      </c>
      <c r="L1235" s="30">
        <v>1474630</v>
      </c>
      <c r="M1235" s="31">
        <f t="shared" si="95"/>
        <v>-272888</v>
      </c>
      <c r="N1235" s="32">
        <f t="shared" si="96"/>
        <v>-0.20290956408588159</v>
      </c>
      <c r="O1235" s="6" t="str">
        <f>IF(ABS(M1235)&lt;Overview!$B$6,"OK",IF(I1235=0,"REVIEW (zero base)",IF(ABS(M1235/ABS(I1235))&gt;=Overview!$B$5,"REVIEW","OK")))</f>
        <v>REVIEW</v>
      </c>
      <c r="P1235" s="31">
        <f t="shared" si="97"/>
        <v>329353</v>
      </c>
      <c r="Q1235" s="32">
        <f t="shared" si="98"/>
        <v>0.30723600192912787</v>
      </c>
      <c r="R1235" s="6" t="str">
        <f>IF(ABS(P1235)&lt;Overview!$B$6,"OK",IF(J1235=0,"REVIEW (zero base)",IF(ABS(P1235/ABS(J1235))&gt;=Overview!$B$5,"REVIEW","OK")))</f>
        <v>REVIEW</v>
      </c>
      <c r="S1235" s="33">
        <f t="shared" si="99"/>
        <v>272888.00123499997</v>
      </c>
    </row>
    <row r="1236" spans="1:19" x14ac:dyDescent="0.2">
      <c r="A1236" s="17">
        <v>1234</v>
      </c>
      <c r="B1236" s="17" t="s">
        <v>171</v>
      </c>
      <c r="C1236" s="17" t="s">
        <v>338</v>
      </c>
      <c r="D1236" s="17" t="s">
        <v>55</v>
      </c>
      <c r="E1236" s="17" t="s">
        <v>83</v>
      </c>
      <c r="F1236" s="17" t="s">
        <v>341</v>
      </c>
      <c r="G1236" s="17" t="s">
        <v>343</v>
      </c>
      <c r="H1236" s="30">
        <v>374573</v>
      </c>
      <c r="I1236" s="30">
        <v>382172</v>
      </c>
      <c r="J1236" s="30">
        <v>395949</v>
      </c>
      <c r="K1236" s="30">
        <v>404673</v>
      </c>
      <c r="L1236" s="30">
        <v>408720</v>
      </c>
      <c r="M1236" s="31">
        <f t="shared" si="95"/>
        <v>13777</v>
      </c>
      <c r="N1236" s="32">
        <f t="shared" si="96"/>
        <v>3.6049213443161719E-2</v>
      </c>
      <c r="O1236" s="6" t="str">
        <f>IF(ABS(M1236)&lt;Overview!$B$6,"OK",IF(I1236=0,"REVIEW (zero base)",IF(ABS(M1236/ABS(I1236))&gt;=Overview!$B$5,"REVIEW","OK")))</f>
        <v>OK</v>
      </c>
      <c r="P1236" s="31">
        <f t="shared" si="97"/>
        <v>8724</v>
      </c>
      <c r="Q1236" s="32">
        <f t="shared" si="98"/>
        <v>2.2033140631748029E-2</v>
      </c>
      <c r="R1236" s="6" t="str">
        <f>IF(ABS(P1236)&lt;Overview!$B$6,"OK",IF(J1236=0,"REVIEW (zero base)",IF(ABS(P1236/ABS(J1236))&gt;=Overview!$B$5,"REVIEW","OK")))</f>
        <v>OK</v>
      </c>
      <c r="S1236" s="33">
        <f t="shared" si="99"/>
        <v>13777.001236</v>
      </c>
    </row>
    <row r="1237" spans="1:19" x14ac:dyDescent="0.2">
      <c r="A1237" s="17">
        <v>1235</v>
      </c>
      <c r="B1237" s="17" t="s">
        <v>171</v>
      </c>
      <c r="C1237" s="17" t="s">
        <v>338</v>
      </c>
      <c r="D1237" s="17" t="s">
        <v>55</v>
      </c>
      <c r="E1237" s="17" t="s">
        <v>83</v>
      </c>
      <c r="F1237" s="17" t="s">
        <v>341</v>
      </c>
      <c r="G1237" s="17" t="s">
        <v>439</v>
      </c>
      <c r="H1237" s="30">
        <v>0</v>
      </c>
      <c r="I1237" s="30">
        <v>0</v>
      </c>
      <c r="J1237" s="30">
        <v>0</v>
      </c>
      <c r="K1237" s="30">
        <v>0</v>
      </c>
      <c r="L1237" s="30">
        <v>0</v>
      </c>
      <c r="M1237" s="31">
        <f t="shared" si="95"/>
        <v>0</v>
      </c>
      <c r="N1237" s="32" t="str">
        <f t="shared" si="96"/>
        <v>n/a</v>
      </c>
      <c r="O1237" s="6" t="str">
        <f>IF(ABS(M1237)&lt;Overview!$B$6,"OK",IF(I1237=0,"REVIEW (zero base)",IF(ABS(M1237/ABS(I1237))&gt;=Overview!$B$5,"REVIEW","OK")))</f>
        <v>OK</v>
      </c>
      <c r="P1237" s="31">
        <f t="shared" si="97"/>
        <v>0</v>
      </c>
      <c r="Q1237" s="32" t="str">
        <f t="shared" si="98"/>
        <v>n/a</v>
      </c>
      <c r="R1237" s="6" t="str">
        <f>IF(ABS(P1237)&lt;Overview!$B$6,"OK",IF(J1237=0,"REVIEW (zero base)",IF(ABS(P1237/ABS(J1237))&gt;=Overview!$B$5,"REVIEW","OK")))</f>
        <v>OK</v>
      </c>
      <c r="S1237" s="33">
        <f t="shared" si="99"/>
        <v>1.237E-3</v>
      </c>
    </row>
    <row r="1238" spans="1:19" x14ac:dyDescent="0.2">
      <c r="A1238" s="17">
        <v>1236</v>
      </c>
      <c r="B1238" s="17" t="s">
        <v>171</v>
      </c>
      <c r="C1238" s="17" t="s">
        <v>338</v>
      </c>
      <c r="D1238" s="17" t="s">
        <v>55</v>
      </c>
      <c r="E1238" s="17" t="s">
        <v>83</v>
      </c>
      <c r="F1238" s="17" t="s">
        <v>341</v>
      </c>
      <c r="G1238" s="17" t="s">
        <v>378</v>
      </c>
      <c r="H1238" s="30">
        <v>248097</v>
      </c>
      <c r="I1238" s="30">
        <v>250905</v>
      </c>
      <c r="J1238" s="30">
        <v>267320</v>
      </c>
      <c r="K1238" s="30">
        <v>271960</v>
      </c>
      <c r="L1238" s="30">
        <v>284008</v>
      </c>
      <c r="M1238" s="31">
        <f t="shared" si="95"/>
        <v>16415</v>
      </c>
      <c r="N1238" s="32">
        <f t="shared" si="96"/>
        <v>6.5423168131364465E-2</v>
      </c>
      <c r="O1238" s="6" t="str">
        <f>IF(ABS(M1238)&lt;Overview!$B$6,"OK",IF(I1238=0,"REVIEW (zero base)",IF(ABS(M1238/ABS(I1238))&gt;=Overview!$B$5,"REVIEW","OK")))</f>
        <v>OK</v>
      </c>
      <c r="P1238" s="31">
        <f t="shared" si="97"/>
        <v>4640</v>
      </c>
      <c r="Q1238" s="32">
        <f t="shared" si="98"/>
        <v>1.7357474188238815E-2</v>
      </c>
      <c r="R1238" s="6" t="str">
        <f>IF(ABS(P1238)&lt;Overview!$B$6,"OK",IF(J1238=0,"REVIEW (zero base)",IF(ABS(P1238/ABS(J1238))&gt;=Overview!$B$5,"REVIEW","OK")))</f>
        <v>OK</v>
      </c>
      <c r="S1238" s="33">
        <f t="shared" si="99"/>
        <v>16415.001238000001</v>
      </c>
    </row>
    <row r="1239" spans="1:19" x14ac:dyDescent="0.2">
      <c r="A1239" s="17">
        <v>1237</v>
      </c>
      <c r="B1239" s="17" t="s">
        <v>171</v>
      </c>
      <c r="C1239" s="17" t="s">
        <v>338</v>
      </c>
      <c r="D1239" s="17" t="s">
        <v>55</v>
      </c>
      <c r="E1239" s="17" t="s">
        <v>83</v>
      </c>
      <c r="F1239" s="17" t="s">
        <v>341</v>
      </c>
      <c r="G1239" s="17" t="s">
        <v>344</v>
      </c>
      <c r="H1239" s="30">
        <v>816071</v>
      </c>
      <c r="I1239" s="30">
        <v>738825</v>
      </c>
      <c r="J1239" s="30">
        <v>951628</v>
      </c>
      <c r="K1239" s="30">
        <v>1086681</v>
      </c>
      <c r="L1239" s="30">
        <v>1108415</v>
      </c>
      <c r="M1239" s="31">
        <f t="shared" si="95"/>
        <v>212803</v>
      </c>
      <c r="N1239" s="32">
        <f t="shared" si="96"/>
        <v>0.28802896491049979</v>
      </c>
      <c r="O1239" s="6" t="str">
        <f>IF(ABS(M1239)&lt;Overview!$B$6,"OK",IF(I1239=0,"REVIEW (zero base)",IF(ABS(M1239/ABS(I1239))&gt;=Overview!$B$5,"REVIEW","OK")))</f>
        <v>OK</v>
      </c>
      <c r="P1239" s="31">
        <f t="shared" si="97"/>
        <v>135053</v>
      </c>
      <c r="Q1239" s="32">
        <f t="shared" si="98"/>
        <v>0.14191785025240955</v>
      </c>
      <c r="R1239" s="6" t="str">
        <f>IF(ABS(P1239)&lt;Overview!$B$6,"OK",IF(J1239=0,"REVIEW (zero base)",IF(ABS(P1239/ABS(J1239))&gt;=Overview!$B$5,"REVIEW","OK")))</f>
        <v>OK</v>
      </c>
      <c r="S1239" s="33">
        <f t="shared" si="99"/>
        <v>212803.001239</v>
      </c>
    </row>
    <row r="1240" spans="1:19" x14ac:dyDescent="0.2">
      <c r="A1240" s="17">
        <v>1238</v>
      </c>
      <c r="B1240" s="17" t="s">
        <v>171</v>
      </c>
      <c r="C1240" s="17" t="s">
        <v>338</v>
      </c>
      <c r="D1240" s="17" t="s">
        <v>55</v>
      </c>
      <c r="E1240" s="17" t="s">
        <v>83</v>
      </c>
      <c r="F1240" s="17" t="s">
        <v>440</v>
      </c>
      <c r="G1240" s="17" t="s">
        <v>505</v>
      </c>
      <c r="H1240" s="30">
        <v>0</v>
      </c>
      <c r="I1240" s="30">
        <v>0</v>
      </c>
      <c r="J1240" s="30">
        <v>0</v>
      </c>
      <c r="K1240" s="30">
        <v>2700</v>
      </c>
      <c r="L1240" s="30">
        <v>2719</v>
      </c>
      <c r="M1240" s="31">
        <f t="shared" si="95"/>
        <v>0</v>
      </c>
      <c r="N1240" s="32" t="str">
        <f t="shared" si="96"/>
        <v>n/a</v>
      </c>
      <c r="O1240" s="6" t="str">
        <f>IF(ABS(M1240)&lt;Overview!$B$6,"OK",IF(I1240=0,"REVIEW (zero base)",IF(ABS(M1240/ABS(I1240))&gt;=Overview!$B$5,"REVIEW","OK")))</f>
        <v>OK</v>
      </c>
      <c r="P1240" s="31">
        <f t="shared" si="97"/>
        <v>2700</v>
      </c>
      <c r="Q1240" s="32" t="str">
        <f t="shared" si="98"/>
        <v>n/a</v>
      </c>
      <c r="R1240" s="6" t="str">
        <f>IF(ABS(P1240)&lt;Overview!$B$6,"OK",IF(J1240=0,"REVIEW (zero base)",IF(ABS(P1240/ABS(J1240))&gt;=Overview!$B$5,"REVIEW","OK")))</f>
        <v>OK</v>
      </c>
      <c r="S1240" s="33">
        <f t="shared" si="99"/>
        <v>1.24E-3</v>
      </c>
    </row>
    <row r="1241" spans="1:19" x14ac:dyDescent="0.2">
      <c r="A1241" s="17">
        <v>1239</v>
      </c>
      <c r="B1241" s="17" t="s">
        <v>171</v>
      </c>
      <c r="C1241" s="17" t="s">
        <v>338</v>
      </c>
      <c r="D1241" s="17" t="s">
        <v>55</v>
      </c>
      <c r="E1241" s="17" t="s">
        <v>83</v>
      </c>
      <c r="F1241" s="17" t="s">
        <v>364</v>
      </c>
      <c r="G1241" s="17" t="s">
        <v>379</v>
      </c>
      <c r="H1241" s="30">
        <v>4731</v>
      </c>
      <c r="I1241" s="30">
        <v>5477</v>
      </c>
      <c r="J1241" s="30">
        <v>14259</v>
      </c>
      <c r="K1241" s="30">
        <v>0</v>
      </c>
      <c r="L1241" s="30">
        <v>0</v>
      </c>
      <c r="M1241" s="31">
        <f t="shared" si="95"/>
        <v>8782</v>
      </c>
      <c r="N1241" s="32">
        <f t="shared" si="96"/>
        <v>1.6034325360598869</v>
      </c>
      <c r="O1241" s="6" t="str">
        <f>IF(ABS(M1241)&lt;Overview!$B$6,"OK",IF(I1241=0,"REVIEW (zero base)",IF(ABS(M1241/ABS(I1241))&gt;=Overview!$B$5,"REVIEW","OK")))</f>
        <v>OK</v>
      </c>
      <c r="P1241" s="31">
        <f t="shared" si="97"/>
        <v>-14259</v>
      </c>
      <c r="Q1241" s="32">
        <f t="shared" si="98"/>
        <v>-1</v>
      </c>
      <c r="R1241" s="6" t="str">
        <f>IF(ABS(P1241)&lt;Overview!$B$6,"OK",IF(J1241=0,"REVIEW (zero base)",IF(ABS(P1241/ABS(J1241))&gt;=Overview!$B$5,"REVIEW","OK")))</f>
        <v>OK</v>
      </c>
      <c r="S1241" s="33">
        <f t="shared" si="99"/>
        <v>8782.0012409999999</v>
      </c>
    </row>
    <row r="1242" spans="1:19" x14ac:dyDescent="0.2">
      <c r="A1242" s="17">
        <v>1240</v>
      </c>
      <c r="B1242" s="17" t="s">
        <v>171</v>
      </c>
      <c r="C1242" s="17" t="s">
        <v>338</v>
      </c>
      <c r="D1242" s="17" t="s">
        <v>55</v>
      </c>
      <c r="E1242" s="17" t="s">
        <v>83</v>
      </c>
      <c r="F1242" s="17" t="s">
        <v>364</v>
      </c>
      <c r="G1242" s="17" t="s">
        <v>383</v>
      </c>
      <c r="H1242" s="30">
        <v>509</v>
      </c>
      <c r="I1242" s="30">
        <v>267</v>
      </c>
      <c r="J1242" s="30">
        <v>600</v>
      </c>
      <c r="K1242" s="30">
        <v>360</v>
      </c>
      <c r="L1242" s="30">
        <v>360</v>
      </c>
      <c r="M1242" s="31">
        <f t="shared" si="95"/>
        <v>333</v>
      </c>
      <c r="N1242" s="32">
        <f t="shared" si="96"/>
        <v>1.247191011235955</v>
      </c>
      <c r="O1242" s="6" t="str">
        <f>IF(ABS(M1242)&lt;Overview!$B$6,"OK",IF(I1242=0,"REVIEW (zero base)",IF(ABS(M1242/ABS(I1242))&gt;=Overview!$B$5,"REVIEW","OK")))</f>
        <v>OK</v>
      </c>
      <c r="P1242" s="31">
        <f t="shared" si="97"/>
        <v>-240</v>
      </c>
      <c r="Q1242" s="32">
        <f t="shared" si="98"/>
        <v>-0.4</v>
      </c>
      <c r="R1242" s="6" t="str">
        <f>IF(ABS(P1242)&lt;Overview!$B$6,"OK",IF(J1242=0,"REVIEW (zero base)",IF(ABS(P1242/ABS(J1242))&gt;=Overview!$B$5,"REVIEW","OK")))</f>
        <v>OK</v>
      </c>
      <c r="S1242" s="33">
        <f t="shared" si="99"/>
        <v>333.00124199999999</v>
      </c>
    </row>
    <row r="1243" spans="1:19" x14ac:dyDescent="0.2">
      <c r="A1243" s="17">
        <v>1241</v>
      </c>
      <c r="B1243" s="17" t="s">
        <v>171</v>
      </c>
      <c r="C1243" s="17" t="s">
        <v>338</v>
      </c>
      <c r="D1243" s="17" t="s">
        <v>55</v>
      </c>
      <c r="E1243" s="17" t="s">
        <v>83</v>
      </c>
      <c r="F1243" s="17" t="s">
        <v>360</v>
      </c>
      <c r="G1243" s="17" t="s">
        <v>328</v>
      </c>
      <c r="H1243" s="30">
        <v>707520</v>
      </c>
      <c r="I1243" s="30">
        <v>916942</v>
      </c>
      <c r="J1243" s="30">
        <v>735121</v>
      </c>
      <c r="K1243" s="30">
        <v>876741</v>
      </c>
      <c r="L1243" s="30">
        <v>882878</v>
      </c>
      <c r="M1243" s="31">
        <f t="shared" si="95"/>
        <v>-181821</v>
      </c>
      <c r="N1243" s="32">
        <f t="shared" si="96"/>
        <v>-0.19829062252574317</v>
      </c>
      <c r="O1243" s="6" t="str">
        <f>IF(ABS(M1243)&lt;Overview!$B$6,"OK",IF(I1243=0,"REVIEW (zero base)",IF(ABS(M1243/ABS(I1243))&gt;=Overview!$B$5,"REVIEW","OK")))</f>
        <v>OK</v>
      </c>
      <c r="P1243" s="31">
        <f t="shared" si="97"/>
        <v>141620</v>
      </c>
      <c r="Q1243" s="32">
        <f t="shared" si="98"/>
        <v>0.19264855717630158</v>
      </c>
      <c r="R1243" s="6" t="str">
        <f>IF(ABS(P1243)&lt;Overview!$B$6,"OK",IF(J1243=0,"REVIEW (zero base)",IF(ABS(P1243/ABS(J1243))&gt;=Overview!$B$5,"REVIEW","OK")))</f>
        <v>OK</v>
      </c>
      <c r="S1243" s="33">
        <f t="shared" si="99"/>
        <v>181821.00124300001</v>
      </c>
    </row>
    <row r="1244" spans="1:19" x14ac:dyDescent="0.2">
      <c r="A1244" s="17">
        <v>1242</v>
      </c>
      <c r="B1244" s="17" t="s">
        <v>171</v>
      </c>
      <c r="C1244" s="17" t="s">
        <v>338</v>
      </c>
      <c r="D1244" s="17" t="s">
        <v>55</v>
      </c>
      <c r="E1244" s="17" t="s">
        <v>83</v>
      </c>
      <c r="F1244" s="17" t="s">
        <v>414</v>
      </c>
      <c r="G1244" s="17" t="s">
        <v>415</v>
      </c>
      <c r="H1244" s="30">
        <v>0</v>
      </c>
      <c r="I1244" s="30">
        <v>376</v>
      </c>
      <c r="J1244" s="30">
        <v>0</v>
      </c>
      <c r="K1244" s="30">
        <v>30000</v>
      </c>
      <c r="L1244" s="30">
        <v>0</v>
      </c>
      <c r="M1244" s="31">
        <f t="shared" si="95"/>
        <v>-376</v>
      </c>
      <c r="N1244" s="32">
        <f t="shared" si="96"/>
        <v>-1</v>
      </c>
      <c r="O1244" s="6" t="str">
        <f>IF(ABS(M1244)&lt;Overview!$B$6,"OK",IF(I1244=0,"REVIEW (zero base)",IF(ABS(M1244/ABS(I1244))&gt;=Overview!$B$5,"REVIEW","OK")))</f>
        <v>OK</v>
      </c>
      <c r="P1244" s="31">
        <f t="shared" si="97"/>
        <v>30000</v>
      </c>
      <c r="Q1244" s="32" t="str">
        <f t="shared" si="98"/>
        <v>n/a</v>
      </c>
      <c r="R1244" s="6" t="str">
        <f>IF(ABS(P1244)&lt;Overview!$B$6,"OK",IF(J1244=0,"REVIEW (zero base)",IF(ABS(P1244/ABS(J1244))&gt;=Overview!$B$5,"REVIEW","OK")))</f>
        <v>OK</v>
      </c>
      <c r="S1244" s="33">
        <f t="shared" si="99"/>
        <v>376.00124399999999</v>
      </c>
    </row>
    <row r="1245" spans="1:19" x14ac:dyDescent="0.2">
      <c r="A1245" s="17">
        <v>1243</v>
      </c>
      <c r="B1245" s="17" t="s">
        <v>171</v>
      </c>
      <c r="C1245" s="17" t="s">
        <v>338</v>
      </c>
      <c r="D1245" s="17" t="s">
        <v>55</v>
      </c>
      <c r="E1245" s="17" t="s">
        <v>83</v>
      </c>
      <c r="F1245" s="17" t="s">
        <v>404</v>
      </c>
      <c r="G1245" s="17" t="s">
        <v>477</v>
      </c>
      <c r="H1245" s="30">
        <v>0</v>
      </c>
      <c r="I1245" s="30">
        <v>640</v>
      </c>
      <c r="J1245" s="30">
        <v>0</v>
      </c>
      <c r="K1245" s="30">
        <v>0</v>
      </c>
      <c r="L1245" s="30">
        <v>0</v>
      </c>
      <c r="M1245" s="31">
        <f t="shared" si="95"/>
        <v>-640</v>
      </c>
      <c r="N1245" s="32">
        <f t="shared" si="96"/>
        <v>-1</v>
      </c>
      <c r="O1245" s="6" t="str">
        <f>IF(ABS(M1245)&lt;Overview!$B$6,"OK",IF(I1245=0,"REVIEW (zero base)",IF(ABS(M1245/ABS(I1245))&gt;=Overview!$B$5,"REVIEW","OK")))</f>
        <v>OK</v>
      </c>
      <c r="P1245" s="31">
        <f t="shared" si="97"/>
        <v>0</v>
      </c>
      <c r="Q1245" s="32" t="str">
        <f t="shared" si="98"/>
        <v>n/a</v>
      </c>
      <c r="R1245" s="6" t="str">
        <f>IF(ABS(P1245)&lt;Overview!$B$6,"OK",IF(J1245=0,"REVIEW (zero base)",IF(ABS(P1245/ABS(J1245))&gt;=Overview!$B$5,"REVIEW","OK")))</f>
        <v>OK</v>
      </c>
      <c r="S1245" s="33">
        <f t="shared" si="99"/>
        <v>640.00124500000004</v>
      </c>
    </row>
    <row r="1246" spans="1:19" x14ac:dyDescent="0.2">
      <c r="A1246" s="17">
        <v>1244</v>
      </c>
      <c r="B1246" s="17" t="s">
        <v>171</v>
      </c>
      <c r="C1246" s="17" t="s">
        <v>338</v>
      </c>
      <c r="D1246" s="17" t="s">
        <v>55</v>
      </c>
      <c r="E1246" s="17" t="s">
        <v>83</v>
      </c>
      <c r="F1246" s="17" t="s">
        <v>402</v>
      </c>
      <c r="G1246" s="17" t="s">
        <v>403</v>
      </c>
      <c r="H1246" s="30">
        <v>444863</v>
      </c>
      <c r="I1246" s="30">
        <v>785572</v>
      </c>
      <c r="J1246" s="30">
        <v>338680</v>
      </c>
      <c r="K1246" s="30">
        <v>347350</v>
      </c>
      <c r="L1246" s="30">
        <v>349781</v>
      </c>
      <c r="M1246" s="31">
        <f t="shared" si="95"/>
        <v>-446892</v>
      </c>
      <c r="N1246" s="32">
        <f t="shared" si="96"/>
        <v>-0.56887465439195894</v>
      </c>
      <c r="O1246" s="6" t="str">
        <f>IF(ABS(M1246)&lt;Overview!$B$6,"OK",IF(I1246=0,"REVIEW (zero base)",IF(ABS(M1246/ABS(I1246))&gt;=Overview!$B$5,"REVIEW","OK")))</f>
        <v>REVIEW</v>
      </c>
      <c r="P1246" s="31">
        <f t="shared" si="97"/>
        <v>8670</v>
      </c>
      <c r="Q1246" s="32">
        <f t="shared" si="98"/>
        <v>2.559938585095075E-2</v>
      </c>
      <c r="R1246" s="6" t="str">
        <f>IF(ABS(P1246)&lt;Overview!$B$6,"OK",IF(J1246=0,"REVIEW (zero base)",IF(ABS(P1246/ABS(J1246))&gt;=Overview!$B$5,"REVIEW","OK")))</f>
        <v>OK</v>
      </c>
      <c r="S1246" s="33">
        <f t="shared" si="99"/>
        <v>446892.001246</v>
      </c>
    </row>
    <row r="1247" spans="1:19" x14ac:dyDescent="0.2">
      <c r="A1247" s="17">
        <v>1245</v>
      </c>
      <c r="B1247" s="17" t="s">
        <v>171</v>
      </c>
      <c r="C1247" s="17" t="s">
        <v>338</v>
      </c>
      <c r="D1247" s="17" t="s">
        <v>55</v>
      </c>
      <c r="E1247" s="17" t="s">
        <v>83</v>
      </c>
      <c r="F1247" s="17" t="s">
        <v>402</v>
      </c>
      <c r="G1247" s="17" t="s">
        <v>445</v>
      </c>
      <c r="H1247" s="30">
        <v>9537</v>
      </c>
      <c r="I1247" s="30">
        <v>260</v>
      </c>
      <c r="J1247" s="30">
        <v>10000</v>
      </c>
      <c r="K1247" s="30">
        <v>500</v>
      </c>
      <c r="L1247" s="30">
        <v>504</v>
      </c>
      <c r="M1247" s="31">
        <f t="shared" si="95"/>
        <v>9740</v>
      </c>
      <c r="N1247" s="32">
        <f t="shared" si="96"/>
        <v>37.46153846153846</v>
      </c>
      <c r="O1247" s="6" t="str">
        <f>IF(ABS(M1247)&lt;Overview!$B$6,"OK",IF(I1247=0,"REVIEW (zero base)",IF(ABS(M1247/ABS(I1247))&gt;=Overview!$B$5,"REVIEW","OK")))</f>
        <v>OK</v>
      </c>
      <c r="P1247" s="31">
        <f t="shared" si="97"/>
        <v>-9500</v>
      </c>
      <c r="Q1247" s="32">
        <f t="shared" si="98"/>
        <v>-0.95</v>
      </c>
      <c r="R1247" s="6" t="str">
        <f>IF(ABS(P1247)&lt;Overview!$B$6,"OK",IF(J1247=0,"REVIEW (zero base)",IF(ABS(P1247/ABS(J1247))&gt;=Overview!$B$5,"REVIEW","OK")))</f>
        <v>OK</v>
      </c>
      <c r="S1247" s="33">
        <f t="shared" si="99"/>
        <v>9740.0012470000001</v>
      </c>
    </row>
    <row r="1248" spans="1:19" x14ac:dyDescent="0.2">
      <c r="A1248" s="17">
        <v>1246</v>
      </c>
      <c r="B1248" s="17" t="s">
        <v>171</v>
      </c>
      <c r="C1248" s="17" t="s">
        <v>338</v>
      </c>
      <c r="D1248" s="17" t="s">
        <v>55</v>
      </c>
      <c r="E1248" s="17" t="s">
        <v>83</v>
      </c>
      <c r="F1248" s="17" t="s">
        <v>402</v>
      </c>
      <c r="G1248" s="17" t="s">
        <v>416</v>
      </c>
      <c r="H1248" s="30">
        <v>0</v>
      </c>
      <c r="I1248" s="30">
        <v>0</v>
      </c>
      <c r="J1248" s="30">
        <v>0</v>
      </c>
      <c r="K1248" s="30">
        <v>2450</v>
      </c>
      <c r="L1248" s="30">
        <v>2467</v>
      </c>
      <c r="M1248" s="31">
        <f t="shared" si="95"/>
        <v>0</v>
      </c>
      <c r="N1248" s="32" t="str">
        <f t="shared" si="96"/>
        <v>n/a</v>
      </c>
      <c r="O1248" s="6" t="str">
        <f>IF(ABS(M1248)&lt;Overview!$B$6,"OK",IF(I1248=0,"REVIEW (zero base)",IF(ABS(M1248/ABS(I1248))&gt;=Overview!$B$5,"REVIEW","OK")))</f>
        <v>OK</v>
      </c>
      <c r="P1248" s="31">
        <f t="shared" si="97"/>
        <v>2450</v>
      </c>
      <c r="Q1248" s="32" t="str">
        <f t="shared" si="98"/>
        <v>n/a</v>
      </c>
      <c r="R1248" s="6" t="str">
        <f>IF(ABS(P1248)&lt;Overview!$B$6,"OK",IF(J1248=0,"REVIEW (zero base)",IF(ABS(P1248/ABS(J1248))&gt;=Overview!$B$5,"REVIEW","OK")))</f>
        <v>OK</v>
      </c>
      <c r="S1248" s="33">
        <f t="shared" si="99"/>
        <v>1.248E-3</v>
      </c>
    </row>
    <row r="1249" spans="1:19" x14ac:dyDescent="0.2">
      <c r="A1249" s="17">
        <v>1247</v>
      </c>
      <c r="B1249" s="17" t="s">
        <v>171</v>
      </c>
      <c r="C1249" s="17" t="s">
        <v>338</v>
      </c>
      <c r="D1249" s="17" t="s">
        <v>55</v>
      </c>
      <c r="E1249" s="17" t="s">
        <v>83</v>
      </c>
      <c r="F1249" s="17" t="s">
        <v>347</v>
      </c>
      <c r="G1249" s="17" t="s">
        <v>348</v>
      </c>
      <c r="H1249" s="30">
        <v>1526</v>
      </c>
      <c r="I1249" s="30">
        <v>2214</v>
      </c>
      <c r="J1249" s="30">
        <v>3000</v>
      </c>
      <c r="K1249" s="30">
        <v>600</v>
      </c>
      <c r="L1249" s="30">
        <v>604</v>
      </c>
      <c r="M1249" s="31">
        <f t="shared" si="95"/>
        <v>786</v>
      </c>
      <c r="N1249" s="32">
        <f t="shared" si="96"/>
        <v>0.35501355013550134</v>
      </c>
      <c r="O1249" s="6" t="str">
        <f>IF(ABS(M1249)&lt;Overview!$B$6,"OK",IF(I1249=0,"REVIEW (zero base)",IF(ABS(M1249/ABS(I1249))&gt;=Overview!$B$5,"REVIEW","OK")))</f>
        <v>OK</v>
      </c>
      <c r="P1249" s="31">
        <f t="shared" si="97"/>
        <v>-2400</v>
      </c>
      <c r="Q1249" s="32">
        <f t="shared" si="98"/>
        <v>-0.8</v>
      </c>
      <c r="R1249" s="6" t="str">
        <f>IF(ABS(P1249)&lt;Overview!$B$6,"OK",IF(J1249=0,"REVIEW (zero base)",IF(ABS(P1249/ABS(J1249))&gt;=Overview!$B$5,"REVIEW","OK")))</f>
        <v>OK</v>
      </c>
      <c r="S1249" s="33">
        <f t="shared" si="99"/>
        <v>786.00124900000003</v>
      </c>
    </row>
    <row r="1250" spans="1:19" x14ac:dyDescent="0.2">
      <c r="A1250" s="17">
        <v>1248</v>
      </c>
      <c r="B1250" s="17" t="s">
        <v>171</v>
      </c>
      <c r="C1250" s="17" t="s">
        <v>338</v>
      </c>
      <c r="D1250" s="17" t="s">
        <v>55</v>
      </c>
      <c r="E1250" s="17" t="s">
        <v>83</v>
      </c>
      <c r="F1250" s="17" t="s">
        <v>386</v>
      </c>
      <c r="G1250" s="17" t="s">
        <v>413</v>
      </c>
      <c r="H1250" s="30">
        <v>0</v>
      </c>
      <c r="I1250" s="30">
        <v>0</v>
      </c>
      <c r="J1250" s="30">
        <v>0</v>
      </c>
      <c r="K1250" s="30">
        <v>5250</v>
      </c>
      <c r="L1250" s="30">
        <v>5287</v>
      </c>
      <c r="M1250" s="31">
        <f t="shared" si="95"/>
        <v>0</v>
      </c>
      <c r="N1250" s="32" t="str">
        <f t="shared" si="96"/>
        <v>n/a</v>
      </c>
      <c r="O1250" s="6" t="str">
        <f>IF(ABS(M1250)&lt;Overview!$B$6,"OK",IF(I1250=0,"REVIEW (zero base)",IF(ABS(M1250/ABS(I1250))&gt;=Overview!$B$5,"REVIEW","OK")))</f>
        <v>OK</v>
      </c>
      <c r="P1250" s="31">
        <f t="shared" si="97"/>
        <v>5250</v>
      </c>
      <c r="Q1250" s="32" t="str">
        <f t="shared" si="98"/>
        <v>n/a</v>
      </c>
      <c r="R1250" s="6" t="str">
        <f>IF(ABS(P1250)&lt;Overview!$B$6,"OK",IF(J1250=0,"REVIEW (zero base)",IF(ABS(P1250/ABS(J1250))&gt;=Overview!$B$5,"REVIEW","OK")))</f>
        <v>OK</v>
      </c>
      <c r="S1250" s="33">
        <f t="shared" si="99"/>
        <v>1.25E-3</v>
      </c>
    </row>
    <row r="1251" spans="1:19" x14ac:dyDescent="0.2">
      <c r="A1251" s="17">
        <v>1249</v>
      </c>
      <c r="B1251" s="17" t="s">
        <v>171</v>
      </c>
      <c r="C1251" s="17" t="s">
        <v>338</v>
      </c>
      <c r="D1251" s="17" t="s">
        <v>55</v>
      </c>
      <c r="E1251" s="17" t="s">
        <v>83</v>
      </c>
      <c r="F1251" s="17" t="s">
        <v>386</v>
      </c>
      <c r="G1251" s="17" t="s">
        <v>387</v>
      </c>
      <c r="H1251" s="30">
        <v>6262</v>
      </c>
      <c r="I1251" s="30">
        <v>7094</v>
      </c>
      <c r="J1251" s="30">
        <v>5250</v>
      </c>
      <c r="K1251" s="30">
        <v>0</v>
      </c>
      <c r="L1251" s="30">
        <v>0</v>
      </c>
      <c r="M1251" s="31">
        <f t="shared" si="95"/>
        <v>-1844</v>
      </c>
      <c r="N1251" s="32">
        <f t="shared" si="96"/>
        <v>-0.25993797575415845</v>
      </c>
      <c r="O1251" s="6" t="str">
        <f>IF(ABS(M1251)&lt;Overview!$B$6,"OK",IF(I1251=0,"REVIEW (zero base)",IF(ABS(M1251/ABS(I1251))&gt;=Overview!$B$5,"REVIEW","OK")))</f>
        <v>OK</v>
      </c>
      <c r="P1251" s="31">
        <f t="shared" si="97"/>
        <v>-5250</v>
      </c>
      <c r="Q1251" s="32">
        <f t="shared" si="98"/>
        <v>-1</v>
      </c>
      <c r="R1251" s="6" t="str">
        <f>IF(ABS(P1251)&lt;Overview!$B$6,"OK",IF(J1251=0,"REVIEW (zero base)",IF(ABS(P1251/ABS(J1251))&gt;=Overview!$B$5,"REVIEW","OK")))</f>
        <v>OK</v>
      </c>
      <c r="S1251" s="33">
        <f t="shared" si="99"/>
        <v>1844.0012509999999</v>
      </c>
    </row>
    <row r="1252" spans="1:19" x14ac:dyDescent="0.2">
      <c r="A1252" s="17">
        <v>1250</v>
      </c>
      <c r="B1252" s="17" t="s">
        <v>171</v>
      </c>
      <c r="C1252" s="17" t="s">
        <v>338</v>
      </c>
      <c r="D1252" s="17" t="s">
        <v>55</v>
      </c>
      <c r="E1252" s="17" t="s">
        <v>83</v>
      </c>
      <c r="F1252" s="17" t="s">
        <v>386</v>
      </c>
      <c r="G1252" s="17" t="s">
        <v>447</v>
      </c>
      <c r="H1252" s="30">
        <v>3950</v>
      </c>
      <c r="I1252" s="30">
        <v>8939</v>
      </c>
      <c r="J1252" s="30">
        <v>7000</v>
      </c>
      <c r="K1252" s="30">
        <v>7000</v>
      </c>
      <c r="L1252" s="30">
        <v>7049</v>
      </c>
      <c r="M1252" s="31">
        <f t="shared" si="95"/>
        <v>-1939</v>
      </c>
      <c r="N1252" s="32">
        <f t="shared" si="96"/>
        <v>-0.2169146436961629</v>
      </c>
      <c r="O1252" s="6" t="str">
        <f>IF(ABS(M1252)&lt;Overview!$B$6,"OK",IF(I1252=0,"REVIEW (zero base)",IF(ABS(M1252/ABS(I1252))&gt;=Overview!$B$5,"REVIEW","OK")))</f>
        <v>OK</v>
      </c>
      <c r="P1252" s="31">
        <f t="shared" si="97"/>
        <v>0</v>
      </c>
      <c r="Q1252" s="32">
        <f t="shared" si="98"/>
        <v>0</v>
      </c>
      <c r="R1252" s="6" t="str">
        <f>IF(ABS(P1252)&lt;Overview!$B$6,"OK",IF(J1252=0,"REVIEW (zero base)",IF(ABS(P1252/ABS(J1252))&gt;=Overview!$B$5,"REVIEW","OK")))</f>
        <v>OK</v>
      </c>
      <c r="S1252" s="33">
        <f t="shared" si="99"/>
        <v>1939.001252</v>
      </c>
    </row>
    <row r="1253" spans="1:19" x14ac:dyDescent="0.2">
      <c r="A1253" s="17">
        <v>1251</v>
      </c>
      <c r="B1253" s="17" t="s">
        <v>171</v>
      </c>
      <c r="C1253" s="17" t="s">
        <v>338</v>
      </c>
      <c r="D1253" s="17" t="s">
        <v>55</v>
      </c>
      <c r="E1253" s="17" t="s">
        <v>83</v>
      </c>
      <c r="F1253" s="17" t="s">
        <v>461</v>
      </c>
      <c r="G1253" s="17" t="s">
        <v>524</v>
      </c>
      <c r="H1253" s="30">
        <v>76844</v>
      </c>
      <c r="I1253" s="30">
        <v>93602</v>
      </c>
      <c r="J1253" s="30">
        <v>107500</v>
      </c>
      <c r="K1253" s="30">
        <v>72500</v>
      </c>
      <c r="L1253" s="30">
        <v>73008</v>
      </c>
      <c r="M1253" s="31">
        <f t="shared" si="95"/>
        <v>13898</v>
      </c>
      <c r="N1253" s="32">
        <f t="shared" si="96"/>
        <v>0.14847973333903122</v>
      </c>
      <c r="O1253" s="6" t="str">
        <f>IF(ABS(M1253)&lt;Overview!$B$6,"OK",IF(I1253=0,"REVIEW (zero base)",IF(ABS(M1253/ABS(I1253))&gt;=Overview!$B$5,"REVIEW","OK")))</f>
        <v>OK</v>
      </c>
      <c r="P1253" s="31">
        <f t="shared" si="97"/>
        <v>-35000</v>
      </c>
      <c r="Q1253" s="32">
        <f t="shared" si="98"/>
        <v>-0.32558139534883723</v>
      </c>
      <c r="R1253" s="6" t="str">
        <f>IF(ABS(P1253)&lt;Overview!$B$6,"OK",IF(J1253=0,"REVIEW (zero base)",IF(ABS(P1253/ABS(J1253))&gt;=Overview!$B$5,"REVIEW","OK")))</f>
        <v>OK</v>
      </c>
      <c r="S1253" s="33">
        <f t="shared" si="99"/>
        <v>13898.001253</v>
      </c>
    </row>
    <row r="1254" spans="1:19" x14ac:dyDescent="0.2">
      <c r="A1254" s="17">
        <v>1252</v>
      </c>
      <c r="B1254" s="17" t="s">
        <v>171</v>
      </c>
      <c r="C1254" s="17" t="s">
        <v>338</v>
      </c>
      <c r="D1254" s="17" t="s">
        <v>55</v>
      </c>
      <c r="E1254" s="17" t="s">
        <v>83</v>
      </c>
      <c r="F1254" s="17" t="s">
        <v>461</v>
      </c>
      <c r="G1254" s="17" t="s">
        <v>525</v>
      </c>
      <c r="H1254" s="30">
        <v>4483</v>
      </c>
      <c r="I1254" s="30">
        <v>5489</v>
      </c>
      <c r="J1254" s="30">
        <v>0</v>
      </c>
      <c r="K1254" s="30">
        <v>0</v>
      </c>
      <c r="L1254" s="30">
        <v>0</v>
      </c>
      <c r="M1254" s="31">
        <f t="shared" si="95"/>
        <v>-5489</v>
      </c>
      <c r="N1254" s="32">
        <f t="shared" si="96"/>
        <v>-1</v>
      </c>
      <c r="O1254" s="6" t="str">
        <f>IF(ABS(M1254)&lt;Overview!$B$6,"OK",IF(I1254=0,"REVIEW (zero base)",IF(ABS(M1254/ABS(I1254))&gt;=Overview!$B$5,"REVIEW","OK")))</f>
        <v>OK</v>
      </c>
      <c r="P1254" s="31">
        <f t="shared" si="97"/>
        <v>0</v>
      </c>
      <c r="Q1254" s="32" t="str">
        <f t="shared" si="98"/>
        <v>n/a</v>
      </c>
      <c r="R1254" s="6" t="str">
        <f>IF(ABS(P1254)&lt;Overview!$B$6,"OK",IF(J1254=0,"REVIEW (zero base)",IF(ABS(P1254/ABS(J1254))&gt;=Overview!$B$5,"REVIEW","OK")))</f>
        <v>OK</v>
      </c>
      <c r="S1254" s="33">
        <f t="shared" si="99"/>
        <v>5489.0012539999998</v>
      </c>
    </row>
    <row r="1255" spans="1:19" x14ac:dyDescent="0.2">
      <c r="A1255" s="17">
        <v>1253</v>
      </c>
      <c r="B1255" s="17" t="s">
        <v>171</v>
      </c>
      <c r="C1255" s="17" t="s">
        <v>338</v>
      </c>
      <c r="D1255" s="17" t="s">
        <v>55</v>
      </c>
      <c r="E1255" s="17" t="s">
        <v>83</v>
      </c>
      <c r="F1255" s="17" t="s">
        <v>461</v>
      </c>
      <c r="G1255" s="17" t="s">
        <v>463</v>
      </c>
      <c r="H1255" s="30">
        <v>36851</v>
      </c>
      <c r="I1255" s="30">
        <v>6131</v>
      </c>
      <c r="J1255" s="30">
        <v>10000</v>
      </c>
      <c r="K1255" s="30">
        <v>10000</v>
      </c>
      <c r="L1255" s="30">
        <v>10070</v>
      </c>
      <c r="M1255" s="31">
        <f t="shared" si="95"/>
        <v>3869</v>
      </c>
      <c r="N1255" s="32">
        <f t="shared" si="96"/>
        <v>0.63105529277442507</v>
      </c>
      <c r="O1255" s="6" t="str">
        <f>IF(ABS(M1255)&lt;Overview!$B$6,"OK",IF(I1255=0,"REVIEW (zero base)",IF(ABS(M1255/ABS(I1255))&gt;=Overview!$B$5,"REVIEW","OK")))</f>
        <v>OK</v>
      </c>
      <c r="P1255" s="31">
        <f t="shared" si="97"/>
        <v>0</v>
      </c>
      <c r="Q1255" s="32">
        <f t="shared" si="98"/>
        <v>0</v>
      </c>
      <c r="R1255" s="6" t="str">
        <f>IF(ABS(P1255)&lt;Overview!$B$6,"OK",IF(J1255=0,"REVIEW (zero base)",IF(ABS(P1255/ABS(J1255))&gt;=Overview!$B$5,"REVIEW","OK")))</f>
        <v>OK</v>
      </c>
      <c r="S1255" s="33">
        <f t="shared" si="99"/>
        <v>3869.0012550000001</v>
      </c>
    </row>
    <row r="1256" spans="1:19" x14ac:dyDescent="0.2">
      <c r="A1256" s="17">
        <v>1254</v>
      </c>
      <c r="B1256" s="17" t="s">
        <v>171</v>
      </c>
      <c r="C1256" s="17" t="s">
        <v>338</v>
      </c>
      <c r="D1256" s="17" t="s">
        <v>55</v>
      </c>
      <c r="E1256" s="17" t="s">
        <v>83</v>
      </c>
      <c r="F1256" s="17" t="s">
        <v>411</v>
      </c>
      <c r="G1256" s="17" t="s">
        <v>465</v>
      </c>
      <c r="H1256" s="30">
        <v>6904</v>
      </c>
      <c r="I1256" s="30">
        <v>6555</v>
      </c>
      <c r="J1256" s="30">
        <v>7000</v>
      </c>
      <c r="K1256" s="30">
        <v>6000</v>
      </c>
      <c r="L1256" s="30">
        <v>6042</v>
      </c>
      <c r="M1256" s="31">
        <f t="shared" si="95"/>
        <v>445</v>
      </c>
      <c r="N1256" s="32">
        <f t="shared" si="96"/>
        <v>6.7887109077040431E-2</v>
      </c>
      <c r="O1256" s="6" t="str">
        <f>IF(ABS(M1256)&lt;Overview!$B$6,"OK",IF(I1256=0,"REVIEW (zero base)",IF(ABS(M1256/ABS(I1256))&gt;=Overview!$B$5,"REVIEW","OK")))</f>
        <v>OK</v>
      </c>
      <c r="P1256" s="31">
        <f t="shared" si="97"/>
        <v>-1000</v>
      </c>
      <c r="Q1256" s="32">
        <f t="shared" si="98"/>
        <v>-0.14285714285714285</v>
      </c>
      <c r="R1256" s="6" t="str">
        <f>IF(ABS(P1256)&lt;Overview!$B$6,"OK",IF(J1256=0,"REVIEW (zero base)",IF(ABS(P1256/ABS(J1256))&gt;=Overview!$B$5,"REVIEW","OK")))</f>
        <v>OK</v>
      </c>
      <c r="S1256" s="33">
        <f t="shared" si="99"/>
        <v>445.00125600000001</v>
      </c>
    </row>
    <row r="1257" spans="1:19" x14ac:dyDescent="0.2">
      <c r="A1257" s="17">
        <v>1255</v>
      </c>
      <c r="B1257" s="17" t="s">
        <v>171</v>
      </c>
      <c r="C1257" s="17" t="s">
        <v>338</v>
      </c>
      <c r="D1257" s="17" t="s">
        <v>55</v>
      </c>
      <c r="E1257" s="17" t="s">
        <v>83</v>
      </c>
      <c r="F1257" s="17" t="s">
        <v>411</v>
      </c>
      <c r="G1257" s="17" t="s">
        <v>451</v>
      </c>
      <c r="H1257" s="30">
        <v>4473</v>
      </c>
      <c r="I1257" s="30">
        <v>5875</v>
      </c>
      <c r="J1257" s="30">
        <v>5000</v>
      </c>
      <c r="K1257" s="30">
        <v>5000</v>
      </c>
      <c r="L1257" s="30">
        <v>5035</v>
      </c>
      <c r="M1257" s="31">
        <f t="shared" si="95"/>
        <v>-875</v>
      </c>
      <c r="N1257" s="32">
        <f t="shared" si="96"/>
        <v>-0.14893617021276595</v>
      </c>
      <c r="O1257" s="6" t="str">
        <f>IF(ABS(M1257)&lt;Overview!$B$6,"OK",IF(I1257=0,"REVIEW (zero base)",IF(ABS(M1257/ABS(I1257))&gt;=Overview!$B$5,"REVIEW","OK")))</f>
        <v>OK</v>
      </c>
      <c r="P1257" s="31">
        <f t="shared" si="97"/>
        <v>0</v>
      </c>
      <c r="Q1257" s="32">
        <f t="shared" si="98"/>
        <v>0</v>
      </c>
      <c r="R1257" s="6" t="str">
        <f>IF(ABS(P1257)&lt;Overview!$B$6,"OK",IF(J1257=0,"REVIEW (zero base)",IF(ABS(P1257/ABS(J1257))&gt;=Overview!$B$5,"REVIEW","OK")))</f>
        <v>OK</v>
      </c>
      <c r="S1257" s="33">
        <f t="shared" si="99"/>
        <v>875.00125700000001</v>
      </c>
    </row>
    <row r="1258" spans="1:19" x14ac:dyDescent="0.2">
      <c r="A1258" s="17">
        <v>1256</v>
      </c>
      <c r="B1258" s="17" t="s">
        <v>171</v>
      </c>
      <c r="C1258" s="17" t="s">
        <v>338</v>
      </c>
      <c r="D1258" s="17" t="s">
        <v>55</v>
      </c>
      <c r="E1258" s="17" t="s">
        <v>123</v>
      </c>
      <c r="F1258" s="17" t="s">
        <v>339</v>
      </c>
      <c r="G1258" s="17" t="s">
        <v>340</v>
      </c>
      <c r="H1258" s="30">
        <v>272508</v>
      </c>
      <c r="I1258" s="30">
        <v>256808</v>
      </c>
      <c r="J1258" s="30">
        <v>408835</v>
      </c>
      <c r="K1258" s="30">
        <v>361696</v>
      </c>
      <c r="L1258" s="30">
        <v>365313</v>
      </c>
      <c r="M1258" s="31">
        <f t="shared" si="95"/>
        <v>152027</v>
      </c>
      <c r="N1258" s="32">
        <f t="shared" si="96"/>
        <v>0.59198700975047502</v>
      </c>
      <c r="O1258" s="6" t="str">
        <f>IF(ABS(M1258)&lt;Overview!$B$6,"OK",IF(I1258=0,"REVIEW (zero base)",IF(ABS(M1258/ABS(I1258))&gt;=Overview!$B$5,"REVIEW","OK")))</f>
        <v>OK</v>
      </c>
      <c r="P1258" s="31">
        <f t="shared" si="97"/>
        <v>-47139</v>
      </c>
      <c r="Q1258" s="32">
        <f t="shared" si="98"/>
        <v>-0.11530079371873739</v>
      </c>
      <c r="R1258" s="6" t="str">
        <f>IF(ABS(P1258)&lt;Overview!$B$6,"OK",IF(J1258=0,"REVIEW (zero base)",IF(ABS(P1258/ABS(J1258))&gt;=Overview!$B$5,"REVIEW","OK")))</f>
        <v>OK</v>
      </c>
      <c r="S1258" s="33">
        <f t="shared" si="99"/>
        <v>152027.001258</v>
      </c>
    </row>
    <row r="1259" spans="1:19" x14ac:dyDescent="0.2">
      <c r="A1259" s="17">
        <v>1257</v>
      </c>
      <c r="B1259" s="17" t="s">
        <v>171</v>
      </c>
      <c r="C1259" s="17" t="s">
        <v>338</v>
      </c>
      <c r="D1259" s="17" t="s">
        <v>55</v>
      </c>
      <c r="E1259" s="17" t="s">
        <v>123</v>
      </c>
      <c r="F1259" s="17" t="s">
        <v>339</v>
      </c>
      <c r="G1259" s="17" t="s">
        <v>390</v>
      </c>
      <c r="H1259" s="30">
        <v>2368</v>
      </c>
      <c r="I1259" s="30">
        <v>718</v>
      </c>
      <c r="J1259" s="30">
        <v>6000</v>
      </c>
      <c r="K1259" s="30">
        <v>4000</v>
      </c>
      <c r="L1259" s="30">
        <v>4000</v>
      </c>
      <c r="M1259" s="31">
        <f t="shared" si="95"/>
        <v>5282</v>
      </c>
      <c r="N1259" s="32">
        <f t="shared" si="96"/>
        <v>7.3565459610027855</v>
      </c>
      <c r="O1259" s="6" t="str">
        <f>IF(ABS(M1259)&lt;Overview!$B$6,"OK",IF(I1259=0,"REVIEW (zero base)",IF(ABS(M1259/ABS(I1259))&gt;=Overview!$B$5,"REVIEW","OK")))</f>
        <v>OK</v>
      </c>
      <c r="P1259" s="31">
        <f t="shared" si="97"/>
        <v>-2000</v>
      </c>
      <c r="Q1259" s="32">
        <f t="shared" si="98"/>
        <v>-0.33333333333333331</v>
      </c>
      <c r="R1259" s="6" t="str">
        <f>IF(ABS(P1259)&lt;Overview!$B$6,"OK",IF(J1259=0,"REVIEW (zero base)",IF(ABS(P1259/ABS(J1259))&gt;=Overview!$B$5,"REVIEW","OK")))</f>
        <v>OK</v>
      </c>
      <c r="S1259" s="33">
        <f t="shared" si="99"/>
        <v>5282.0012589999997</v>
      </c>
    </row>
    <row r="1260" spans="1:19" x14ac:dyDescent="0.2">
      <c r="A1260" s="17">
        <v>1258</v>
      </c>
      <c r="B1260" s="17" t="s">
        <v>171</v>
      </c>
      <c r="C1260" s="17" t="s">
        <v>338</v>
      </c>
      <c r="D1260" s="17" t="s">
        <v>55</v>
      </c>
      <c r="E1260" s="17" t="s">
        <v>123</v>
      </c>
      <c r="F1260" s="17" t="s">
        <v>339</v>
      </c>
      <c r="G1260" s="17" t="s">
        <v>391</v>
      </c>
      <c r="H1260" s="30">
        <v>3168</v>
      </c>
      <c r="I1260" s="30">
        <v>4681</v>
      </c>
      <c r="J1260" s="30">
        <v>0</v>
      </c>
      <c r="K1260" s="30">
        <v>0</v>
      </c>
      <c r="L1260" s="30">
        <v>0</v>
      </c>
      <c r="M1260" s="31">
        <f t="shared" si="95"/>
        <v>-4681</v>
      </c>
      <c r="N1260" s="32">
        <f t="shared" si="96"/>
        <v>-1</v>
      </c>
      <c r="O1260" s="6" t="str">
        <f>IF(ABS(M1260)&lt;Overview!$B$6,"OK",IF(I1260=0,"REVIEW (zero base)",IF(ABS(M1260/ABS(I1260))&gt;=Overview!$B$5,"REVIEW","OK")))</f>
        <v>OK</v>
      </c>
      <c r="P1260" s="31">
        <f t="shared" si="97"/>
        <v>0</v>
      </c>
      <c r="Q1260" s="32" t="str">
        <f t="shared" si="98"/>
        <v>n/a</v>
      </c>
      <c r="R1260" s="6" t="str">
        <f>IF(ABS(P1260)&lt;Overview!$B$6,"OK",IF(J1260=0,"REVIEW (zero base)",IF(ABS(P1260/ABS(J1260))&gt;=Overview!$B$5,"REVIEW","OK")))</f>
        <v>OK</v>
      </c>
      <c r="S1260" s="33">
        <f t="shared" si="99"/>
        <v>4681.00126</v>
      </c>
    </row>
    <row r="1261" spans="1:19" x14ac:dyDescent="0.2">
      <c r="A1261" s="17">
        <v>1259</v>
      </c>
      <c r="B1261" s="17" t="s">
        <v>171</v>
      </c>
      <c r="C1261" s="17" t="s">
        <v>338</v>
      </c>
      <c r="D1261" s="17" t="s">
        <v>55</v>
      </c>
      <c r="E1261" s="17" t="s">
        <v>123</v>
      </c>
      <c r="F1261" s="17" t="s">
        <v>339</v>
      </c>
      <c r="G1261" s="17" t="s">
        <v>392</v>
      </c>
      <c r="H1261" s="30">
        <v>11363</v>
      </c>
      <c r="I1261" s="30">
        <v>16082</v>
      </c>
      <c r="J1261" s="30">
        <v>0</v>
      </c>
      <c r="K1261" s="30">
        <v>0</v>
      </c>
      <c r="L1261" s="30">
        <v>0</v>
      </c>
      <c r="M1261" s="31">
        <f t="shared" si="95"/>
        <v>-16082</v>
      </c>
      <c r="N1261" s="32">
        <f t="shared" si="96"/>
        <v>-1</v>
      </c>
      <c r="O1261" s="6" t="str">
        <f>IF(ABS(M1261)&lt;Overview!$B$6,"OK",IF(I1261=0,"REVIEW (zero base)",IF(ABS(M1261/ABS(I1261))&gt;=Overview!$B$5,"REVIEW","OK")))</f>
        <v>OK</v>
      </c>
      <c r="P1261" s="31">
        <f t="shared" si="97"/>
        <v>0</v>
      </c>
      <c r="Q1261" s="32" t="str">
        <f t="shared" si="98"/>
        <v>n/a</v>
      </c>
      <c r="R1261" s="6" t="str">
        <f>IF(ABS(P1261)&lt;Overview!$B$6,"OK",IF(J1261=0,"REVIEW (zero base)",IF(ABS(P1261/ABS(J1261))&gt;=Overview!$B$5,"REVIEW","OK")))</f>
        <v>OK</v>
      </c>
      <c r="S1261" s="33">
        <f t="shared" si="99"/>
        <v>16082.001260999999</v>
      </c>
    </row>
    <row r="1262" spans="1:19" x14ac:dyDescent="0.2">
      <c r="A1262" s="17">
        <v>1260</v>
      </c>
      <c r="B1262" s="17" t="s">
        <v>171</v>
      </c>
      <c r="C1262" s="17" t="s">
        <v>338</v>
      </c>
      <c r="D1262" s="17" t="s">
        <v>55</v>
      </c>
      <c r="E1262" s="17" t="s">
        <v>123</v>
      </c>
      <c r="F1262" s="17" t="s">
        <v>339</v>
      </c>
      <c r="G1262" s="17" t="s">
        <v>394</v>
      </c>
      <c r="H1262" s="30">
        <v>20503</v>
      </c>
      <c r="I1262" s="30">
        <v>21188</v>
      </c>
      <c r="J1262" s="30">
        <v>0</v>
      </c>
      <c r="K1262" s="30">
        <v>0</v>
      </c>
      <c r="L1262" s="30">
        <v>0</v>
      </c>
      <c r="M1262" s="31">
        <f t="shared" si="95"/>
        <v>-21188</v>
      </c>
      <c r="N1262" s="32">
        <f t="shared" si="96"/>
        <v>-1</v>
      </c>
      <c r="O1262" s="6" t="str">
        <f>IF(ABS(M1262)&lt;Overview!$B$6,"OK",IF(I1262=0,"REVIEW (zero base)",IF(ABS(M1262/ABS(I1262))&gt;=Overview!$B$5,"REVIEW","OK")))</f>
        <v>OK</v>
      </c>
      <c r="P1262" s="31">
        <f t="shared" si="97"/>
        <v>0</v>
      </c>
      <c r="Q1262" s="32" t="str">
        <f t="shared" si="98"/>
        <v>n/a</v>
      </c>
      <c r="R1262" s="6" t="str">
        <f>IF(ABS(P1262)&lt;Overview!$B$6,"OK",IF(J1262=0,"REVIEW (zero base)",IF(ABS(P1262/ABS(J1262))&gt;=Overview!$B$5,"REVIEW","OK")))</f>
        <v>OK</v>
      </c>
      <c r="S1262" s="33">
        <f t="shared" si="99"/>
        <v>21188.001262000002</v>
      </c>
    </row>
    <row r="1263" spans="1:19" x14ac:dyDescent="0.2">
      <c r="A1263" s="17">
        <v>1261</v>
      </c>
      <c r="B1263" s="17" t="s">
        <v>171</v>
      </c>
      <c r="C1263" s="17" t="s">
        <v>338</v>
      </c>
      <c r="D1263" s="17" t="s">
        <v>55</v>
      </c>
      <c r="E1263" s="17" t="s">
        <v>123</v>
      </c>
      <c r="F1263" s="17" t="s">
        <v>339</v>
      </c>
      <c r="G1263" s="17" t="s">
        <v>395</v>
      </c>
      <c r="H1263" s="30">
        <v>1803</v>
      </c>
      <c r="I1263" s="30">
        <v>2254</v>
      </c>
      <c r="J1263" s="30">
        <v>0</v>
      </c>
      <c r="K1263" s="30">
        <v>0</v>
      </c>
      <c r="L1263" s="30">
        <v>0</v>
      </c>
      <c r="M1263" s="31">
        <f t="shared" si="95"/>
        <v>-2254</v>
      </c>
      <c r="N1263" s="32">
        <f t="shared" si="96"/>
        <v>-1</v>
      </c>
      <c r="O1263" s="6" t="str">
        <f>IF(ABS(M1263)&lt;Overview!$B$6,"OK",IF(I1263=0,"REVIEW (zero base)",IF(ABS(M1263/ABS(I1263))&gt;=Overview!$B$5,"REVIEW","OK")))</f>
        <v>OK</v>
      </c>
      <c r="P1263" s="31">
        <f t="shared" si="97"/>
        <v>0</v>
      </c>
      <c r="Q1263" s="32" t="str">
        <f t="shared" si="98"/>
        <v>n/a</v>
      </c>
      <c r="R1263" s="6" t="str">
        <f>IF(ABS(P1263)&lt;Overview!$B$6,"OK",IF(J1263=0,"REVIEW (zero base)",IF(ABS(P1263/ABS(J1263))&gt;=Overview!$B$5,"REVIEW","OK")))</f>
        <v>OK</v>
      </c>
      <c r="S1263" s="33">
        <f t="shared" si="99"/>
        <v>2254.0012630000001</v>
      </c>
    </row>
    <row r="1264" spans="1:19" x14ac:dyDescent="0.2">
      <c r="A1264" s="17">
        <v>1262</v>
      </c>
      <c r="B1264" s="17" t="s">
        <v>171</v>
      </c>
      <c r="C1264" s="17" t="s">
        <v>338</v>
      </c>
      <c r="D1264" s="17" t="s">
        <v>55</v>
      </c>
      <c r="E1264" s="17" t="s">
        <v>123</v>
      </c>
      <c r="F1264" s="17" t="s">
        <v>341</v>
      </c>
      <c r="G1264" s="17" t="s">
        <v>342</v>
      </c>
      <c r="H1264" s="30">
        <v>2395</v>
      </c>
      <c r="I1264" s="30">
        <v>2107</v>
      </c>
      <c r="J1264" s="30">
        <v>5280</v>
      </c>
      <c r="K1264" s="30">
        <v>5280</v>
      </c>
      <c r="L1264" s="30">
        <v>5280</v>
      </c>
      <c r="M1264" s="31">
        <f t="shared" si="95"/>
        <v>3173</v>
      </c>
      <c r="N1264" s="32">
        <f t="shared" si="96"/>
        <v>1.5059326056003797</v>
      </c>
      <c r="O1264" s="6" t="str">
        <f>IF(ABS(M1264)&lt;Overview!$B$6,"OK",IF(I1264=0,"REVIEW (zero base)",IF(ABS(M1264/ABS(I1264))&gt;=Overview!$B$5,"REVIEW","OK")))</f>
        <v>OK</v>
      </c>
      <c r="P1264" s="31">
        <f t="shared" si="97"/>
        <v>0</v>
      </c>
      <c r="Q1264" s="32">
        <f t="shared" si="98"/>
        <v>0</v>
      </c>
      <c r="R1264" s="6" t="str">
        <f>IF(ABS(P1264)&lt;Overview!$B$6,"OK",IF(J1264=0,"REVIEW (zero base)",IF(ABS(P1264/ABS(J1264))&gt;=Overview!$B$5,"REVIEW","OK")))</f>
        <v>OK</v>
      </c>
      <c r="S1264" s="33">
        <f t="shared" si="99"/>
        <v>3173.001264</v>
      </c>
    </row>
    <row r="1265" spans="1:19" x14ac:dyDescent="0.2">
      <c r="A1265" s="17">
        <v>1263</v>
      </c>
      <c r="B1265" s="17" t="s">
        <v>171</v>
      </c>
      <c r="C1265" s="17" t="s">
        <v>338</v>
      </c>
      <c r="D1265" s="17" t="s">
        <v>55</v>
      </c>
      <c r="E1265" s="17" t="s">
        <v>123</v>
      </c>
      <c r="F1265" s="17" t="s">
        <v>341</v>
      </c>
      <c r="G1265" s="17" t="s">
        <v>406</v>
      </c>
      <c r="H1265" s="30">
        <v>0</v>
      </c>
      <c r="I1265" s="30">
        <v>3500</v>
      </c>
      <c r="J1265" s="30">
        <v>0</v>
      </c>
      <c r="K1265" s="30">
        <v>0</v>
      </c>
      <c r="L1265" s="30">
        <v>0</v>
      </c>
      <c r="M1265" s="31">
        <f t="shared" si="95"/>
        <v>-3500</v>
      </c>
      <c r="N1265" s="32">
        <f t="shared" si="96"/>
        <v>-1</v>
      </c>
      <c r="O1265" s="6" t="str">
        <f>IF(ABS(M1265)&lt;Overview!$B$6,"OK",IF(I1265=0,"REVIEW (zero base)",IF(ABS(M1265/ABS(I1265))&gt;=Overview!$B$5,"REVIEW","OK")))</f>
        <v>OK</v>
      </c>
      <c r="P1265" s="31">
        <f t="shared" si="97"/>
        <v>0</v>
      </c>
      <c r="Q1265" s="32" t="str">
        <f t="shared" si="98"/>
        <v>n/a</v>
      </c>
      <c r="R1265" s="6" t="str">
        <f>IF(ABS(P1265)&lt;Overview!$B$6,"OK",IF(J1265=0,"REVIEW (zero base)",IF(ABS(P1265/ABS(J1265))&gt;=Overview!$B$5,"REVIEW","OK")))</f>
        <v>OK</v>
      </c>
      <c r="S1265" s="33">
        <f t="shared" si="99"/>
        <v>3500.0012649999999</v>
      </c>
    </row>
    <row r="1266" spans="1:19" x14ac:dyDescent="0.2">
      <c r="A1266" s="17">
        <v>1264</v>
      </c>
      <c r="B1266" s="17" t="s">
        <v>171</v>
      </c>
      <c r="C1266" s="17" t="s">
        <v>338</v>
      </c>
      <c r="D1266" s="17" t="s">
        <v>55</v>
      </c>
      <c r="E1266" s="17" t="s">
        <v>123</v>
      </c>
      <c r="F1266" s="17" t="s">
        <v>341</v>
      </c>
      <c r="G1266" s="17" t="s">
        <v>375</v>
      </c>
      <c r="H1266" s="30">
        <v>4131</v>
      </c>
      <c r="I1266" s="30">
        <v>3487</v>
      </c>
      <c r="J1266" s="30">
        <v>4550</v>
      </c>
      <c r="K1266" s="30">
        <v>4550</v>
      </c>
      <c r="L1266" s="30">
        <v>4550</v>
      </c>
      <c r="M1266" s="31">
        <f t="shared" si="95"/>
        <v>1063</v>
      </c>
      <c r="N1266" s="32">
        <f t="shared" si="96"/>
        <v>0.30484657298537426</v>
      </c>
      <c r="O1266" s="6" t="str">
        <f>IF(ABS(M1266)&lt;Overview!$B$6,"OK",IF(I1266=0,"REVIEW (zero base)",IF(ABS(M1266/ABS(I1266))&gt;=Overview!$B$5,"REVIEW","OK")))</f>
        <v>OK</v>
      </c>
      <c r="P1266" s="31">
        <f t="shared" si="97"/>
        <v>0</v>
      </c>
      <c r="Q1266" s="32">
        <f t="shared" si="98"/>
        <v>0</v>
      </c>
      <c r="R1266" s="6" t="str">
        <f>IF(ABS(P1266)&lt;Overview!$B$6,"OK",IF(J1266=0,"REVIEW (zero base)",IF(ABS(P1266/ABS(J1266))&gt;=Overview!$B$5,"REVIEW","OK")))</f>
        <v>OK</v>
      </c>
      <c r="S1266" s="33">
        <f t="shared" si="99"/>
        <v>1063.001266</v>
      </c>
    </row>
    <row r="1267" spans="1:19" x14ac:dyDescent="0.2">
      <c r="A1267" s="17">
        <v>1265</v>
      </c>
      <c r="B1267" s="17" t="s">
        <v>171</v>
      </c>
      <c r="C1267" s="17" t="s">
        <v>338</v>
      </c>
      <c r="D1267" s="17" t="s">
        <v>55</v>
      </c>
      <c r="E1267" s="17" t="s">
        <v>123</v>
      </c>
      <c r="F1267" s="17" t="s">
        <v>341</v>
      </c>
      <c r="G1267" s="17" t="s">
        <v>376</v>
      </c>
      <c r="H1267" s="30">
        <v>89209</v>
      </c>
      <c r="I1267" s="30">
        <v>82762</v>
      </c>
      <c r="J1267" s="30">
        <v>116633</v>
      </c>
      <c r="K1267" s="30">
        <v>86232</v>
      </c>
      <c r="L1267" s="30">
        <v>90742</v>
      </c>
      <c r="M1267" s="31">
        <f t="shared" si="95"/>
        <v>33871</v>
      </c>
      <c r="N1267" s="32">
        <f t="shared" si="96"/>
        <v>0.40925787197022789</v>
      </c>
      <c r="O1267" s="6" t="str">
        <f>IF(ABS(M1267)&lt;Overview!$B$6,"OK",IF(I1267=0,"REVIEW (zero base)",IF(ABS(M1267/ABS(I1267))&gt;=Overview!$B$5,"REVIEW","OK")))</f>
        <v>OK</v>
      </c>
      <c r="P1267" s="31">
        <f t="shared" si="97"/>
        <v>-30401</v>
      </c>
      <c r="Q1267" s="32">
        <f t="shared" si="98"/>
        <v>-0.26065521764852145</v>
      </c>
      <c r="R1267" s="6" t="str">
        <f>IF(ABS(P1267)&lt;Overview!$B$6,"OK",IF(J1267=0,"REVIEW (zero base)",IF(ABS(P1267/ABS(J1267))&gt;=Overview!$B$5,"REVIEW","OK")))</f>
        <v>OK</v>
      </c>
      <c r="S1267" s="33">
        <f t="shared" si="99"/>
        <v>33871.001267</v>
      </c>
    </row>
    <row r="1268" spans="1:19" x14ac:dyDescent="0.2">
      <c r="A1268" s="17">
        <v>1266</v>
      </c>
      <c r="B1268" s="17" t="s">
        <v>171</v>
      </c>
      <c r="C1268" s="17" t="s">
        <v>338</v>
      </c>
      <c r="D1268" s="17" t="s">
        <v>55</v>
      </c>
      <c r="E1268" s="17" t="s">
        <v>123</v>
      </c>
      <c r="F1268" s="17" t="s">
        <v>341</v>
      </c>
      <c r="G1268" s="17" t="s">
        <v>343</v>
      </c>
      <c r="H1268" s="30">
        <v>23500</v>
      </c>
      <c r="I1268" s="30">
        <v>22793</v>
      </c>
      <c r="J1268" s="30">
        <v>27003</v>
      </c>
      <c r="K1268" s="30">
        <v>31143</v>
      </c>
      <c r="L1268" s="30">
        <v>31454</v>
      </c>
      <c r="M1268" s="31">
        <f t="shared" si="95"/>
        <v>4210</v>
      </c>
      <c r="N1268" s="32">
        <f t="shared" si="96"/>
        <v>0.18470583073750713</v>
      </c>
      <c r="O1268" s="6" t="str">
        <f>IF(ABS(M1268)&lt;Overview!$B$6,"OK",IF(I1268=0,"REVIEW (zero base)",IF(ABS(M1268/ABS(I1268))&gt;=Overview!$B$5,"REVIEW","OK")))</f>
        <v>OK</v>
      </c>
      <c r="P1268" s="31">
        <f t="shared" si="97"/>
        <v>4140</v>
      </c>
      <c r="Q1268" s="32">
        <f t="shared" si="98"/>
        <v>0.15331629818909009</v>
      </c>
      <c r="R1268" s="6" t="str">
        <f>IF(ABS(P1268)&lt;Overview!$B$6,"OK",IF(J1268=0,"REVIEW (zero base)",IF(ABS(P1268/ABS(J1268))&gt;=Overview!$B$5,"REVIEW","OK")))</f>
        <v>OK</v>
      </c>
      <c r="S1268" s="33">
        <f t="shared" si="99"/>
        <v>4210.001268</v>
      </c>
    </row>
    <row r="1269" spans="1:19" x14ac:dyDescent="0.2">
      <c r="A1269" s="17">
        <v>1267</v>
      </c>
      <c r="B1269" s="17" t="s">
        <v>171</v>
      </c>
      <c r="C1269" s="17" t="s">
        <v>338</v>
      </c>
      <c r="D1269" s="17" t="s">
        <v>55</v>
      </c>
      <c r="E1269" s="17" t="s">
        <v>123</v>
      </c>
      <c r="F1269" s="17" t="s">
        <v>341</v>
      </c>
      <c r="G1269" s="17" t="s">
        <v>378</v>
      </c>
      <c r="H1269" s="30">
        <v>3401</v>
      </c>
      <c r="I1269" s="30">
        <v>2632</v>
      </c>
      <c r="J1269" s="30">
        <v>3444</v>
      </c>
      <c r="K1269" s="30">
        <v>3640</v>
      </c>
      <c r="L1269" s="30">
        <v>3801</v>
      </c>
      <c r="M1269" s="31">
        <f t="shared" si="95"/>
        <v>812</v>
      </c>
      <c r="N1269" s="32">
        <f t="shared" si="96"/>
        <v>0.30851063829787234</v>
      </c>
      <c r="O1269" s="6" t="str">
        <f>IF(ABS(M1269)&lt;Overview!$B$6,"OK",IF(I1269=0,"REVIEW (zero base)",IF(ABS(M1269/ABS(I1269))&gt;=Overview!$B$5,"REVIEW","OK")))</f>
        <v>OK</v>
      </c>
      <c r="P1269" s="31">
        <f t="shared" si="97"/>
        <v>196</v>
      </c>
      <c r="Q1269" s="32">
        <f t="shared" si="98"/>
        <v>5.6910569105691054E-2</v>
      </c>
      <c r="R1269" s="6" t="str">
        <f>IF(ABS(P1269)&lt;Overview!$B$6,"OK",IF(J1269=0,"REVIEW (zero base)",IF(ABS(P1269/ABS(J1269))&gt;=Overview!$B$5,"REVIEW","OK")))</f>
        <v>OK</v>
      </c>
      <c r="S1269" s="33">
        <f t="shared" si="99"/>
        <v>812.00126899999998</v>
      </c>
    </row>
    <row r="1270" spans="1:19" x14ac:dyDescent="0.2">
      <c r="A1270" s="17">
        <v>1268</v>
      </c>
      <c r="B1270" s="17" t="s">
        <v>171</v>
      </c>
      <c r="C1270" s="17" t="s">
        <v>338</v>
      </c>
      <c r="D1270" s="17" t="s">
        <v>55</v>
      </c>
      <c r="E1270" s="17" t="s">
        <v>123</v>
      </c>
      <c r="F1270" s="17" t="s">
        <v>341</v>
      </c>
      <c r="G1270" s="17" t="s">
        <v>344</v>
      </c>
      <c r="H1270" s="30">
        <v>25245</v>
      </c>
      <c r="I1270" s="30">
        <v>29755</v>
      </c>
      <c r="J1270" s="30">
        <v>36304</v>
      </c>
      <c r="K1270" s="30">
        <v>43764</v>
      </c>
      <c r="L1270" s="30">
        <v>44639</v>
      </c>
      <c r="M1270" s="31">
        <f t="shared" si="95"/>
        <v>6549</v>
      </c>
      <c r="N1270" s="32">
        <f t="shared" si="96"/>
        <v>0.22009746261132582</v>
      </c>
      <c r="O1270" s="6" t="str">
        <f>IF(ABS(M1270)&lt;Overview!$B$6,"OK",IF(I1270=0,"REVIEW (zero base)",IF(ABS(M1270/ABS(I1270))&gt;=Overview!$B$5,"REVIEW","OK")))</f>
        <v>OK</v>
      </c>
      <c r="P1270" s="31">
        <f t="shared" si="97"/>
        <v>7460</v>
      </c>
      <c r="Q1270" s="32">
        <f t="shared" si="98"/>
        <v>0.20548699867783166</v>
      </c>
      <c r="R1270" s="6" t="str">
        <f>IF(ABS(P1270)&lt;Overview!$B$6,"OK",IF(J1270=0,"REVIEW (zero base)",IF(ABS(P1270/ABS(J1270))&gt;=Overview!$B$5,"REVIEW","OK")))</f>
        <v>OK</v>
      </c>
      <c r="S1270" s="33">
        <f t="shared" si="99"/>
        <v>6549.0012699999997</v>
      </c>
    </row>
    <row r="1271" spans="1:19" x14ac:dyDescent="0.2">
      <c r="A1271" s="17">
        <v>1269</v>
      </c>
      <c r="B1271" s="17" t="s">
        <v>171</v>
      </c>
      <c r="C1271" s="17" t="s">
        <v>338</v>
      </c>
      <c r="D1271" s="17" t="s">
        <v>55</v>
      </c>
      <c r="E1271" s="17" t="s">
        <v>123</v>
      </c>
      <c r="F1271" s="17" t="s">
        <v>440</v>
      </c>
      <c r="G1271" s="17" t="s">
        <v>433</v>
      </c>
      <c r="H1271" s="30">
        <v>4926</v>
      </c>
      <c r="I1271" s="30">
        <v>728</v>
      </c>
      <c r="J1271" s="30">
        <v>4525</v>
      </c>
      <c r="K1271" s="30">
        <v>4000</v>
      </c>
      <c r="L1271" s="30">
        <v>4028</v>
      </c>
      <c r="M1271" s="31">
        <f t="shared" si="95"/>
        <v>3797</v>
      </c>
      <c r="N1271" s="32">
        <f t="shared" si="96"/>
        <v>5.2156593406593403</v>
      </c>
      <c r="O1271" s="6" t="str">
        <f>IF(ABS(M1271)&lt;Overview!$B$6,"OK",IF(I1271=0,"REVIEW (zero base)",IF(ABS(M1271/ABS(I1271))&gt;=Overview!$B$5,"REVIEW","OK")))</f>
        <v>OK</v>
      </c>
      <c r="P1271" s="31">
        <f t="shared" si="97"/>
        <v>-525</v>
      </c>
      <c r="Q1271" s="32">
        <f t="shared" si="98"/>
        <v>-0.11602209944751381</v>
      </c>
      <c r="R1271" s="6" t="str">
        <f>IF(ABS(P1271)&lt;Overview!$B$6,"OK",IF(J1271=0,"REVIEW (zero base)",IF(ABS(P1271/ABS(J1271))&gt;=Overview!$B$5,"REVIEW","OK")))</f>
        <v>OK</v>
      </c>
      <c r="S1271" s="33">
        <f t="shared" si="99"/>
        <v>3797.0012710000001</v>
      </c>
    </row>
    <row r="1272" spans="1:19" x14ac:dyDescent="0.2">
      <c r="A1272" s="17">
        <v>1270</v>
      </c>
      <c r="B1272" s="17" t="s">
        <v>171</v>
      </c>
      <c r="C1272" s="17" t="s">
        <v>338</v>
      </c>
      <c r="D1272" s="17" t="s">
        <v>55</v>
      </c>
      <c r="E1272" s="17" t="s">
        <v>123</v>
      </c>
      <c r="F1272" s="17" t="s">
        <v>364</v>
      </c>
      <c r="G1272" s="17" t="s">
        <v>383</v>
      </c>
      <c r="H1272" s="30">
        <v>8</v>
      </c>
      <c r="I1272" s="30">
        <v>2</v>
      </c>
      <c r="J1272" s="30">
        <v>100</v>
      </c>
      <c r="K1272" s="30">
        <v>50</v>
      </c>
      <c r="L1272" s="30">
        <v>50</v>
      </c>
      <c r="M1272" s="31">
        <f t="shared" si="95"/>
        <v>98</v>
      </c>
      <c r="N1272" s="32">
        <f t="shared" si="96"/>
        <v>49</v>
      </c>
      <c r="O1272" s="6" t="str">
        <f>IF(ABS(M1272)&lt;Overview!$B$6,"OK",IF(I1272=0,"REVIEW (zero base)",IF(ABS(M1272/ABS(I1272))&gt;=Overview!$B$5,"REVIEW","OK")))</f>
        <v>OK</v>
      </c>
      <c r="P1272" s="31">
        <f t="shared" si="97"/>
        <v>-50</v>
      </c>
      <c r="Q1272" s="32">
        <f t="shared" si="98"/>
        <v>-0.5</v>
      </c>
      <c r="R1272" s="6" t="str">
        <f>IF(ABS(P1272)&lt;Overview!$B$6,"OK",IF(J1272=0,"REVIEW (zero base)",IF(ABS(P1272/ABS(J1272))&gt;=Overview!$B$5,"REVIEW","OK")))</f>
        <v>OK</v>
      </c>
      <c r="S1272" s="33">
        <f t="shared" si="99"/>
        <v>98.001272</v>
      </c>
    </row>
    <row r="1273" spans="1:19" x14ac:dyDescent="0.2">
      <c r="A1273" s="17">
        <v>1271</v>
      </c>
      <c r="B1273" s="17" t="s">
        <v>171</v>
      </c>
      <c r="C1273" s="17" t="s">
        <v>338</v>
      </c>
      <c r="D1273" s="17" t="s">
        <v>55</v>
      </c>
      <c r="E1273" s="17" t="s">
        <v>123</v>
      </c>
      <c r="F1273" s="17" t="s">
        <v>364</v>
      </c>
      <c r="G1273" s="17" t="s">
        <v>398</v>
      </c>
      <c r="H1273" s="30">
        <v>0</v>
      </c>
      <c r="I1273" s="30">
        <v>0</v>
      </c>
      <c r="J1273" s="30">
        <v>0</v>
      </c>
      <c r="K1273" s="30">
        <v>150</v>
      </c>
      <c r="L1273" s="30">
        <v>151</v>
      </c>
      <c r="M1273" s="31">
        <f t="shared" si="95"/>
        <v>0</v>
      </c>
      <c r="N1273" s="32" t="str">
        <f t="shared" si="96"/>
        <v>n/a</v>
      </c>
      <c r="O1273" s="6" t="str">
        <f>IF(ABS(M1273)&lt;Overview!$B$6,"OK",IF(I1273=0,"REVIEW (zero base)",IF(ABS(M1273/ABS(I1273))&gt;=Overview!$B$5,"REVIEW","OK")))</f>
        <v>OK</v>
      </c>
      <c r="P1273" s="31">
        <f t="shared" si="97"/>
        <v>150</v>
      </c>
      <c r="Q1273" s="32" t="str">
        <f t="shared" si="98"/>
        <v>n/a</v>
      </c>
      <c r="R1273" s="6" t="str">
        <f>IF(ABS(P1273)&lt;Overview!$B$6,"OK",IF(J1273=0,"REVIEW (zero base)",IF(ABS(P1273/ABS(J1273))&gt;=Overview!$B$5,"REVIEW","OK")))</f>
        <v>OK</v>
      </c>
      <c r="S1273" s="33">
        <f t="shared" si="99"/>
        <v>1.273E-3</v>
      </c>
    </row>
    <row r="1274" spans="1:19" x14ac:dyDescent="0.2">
      <c r="A1274" s="17">
        <v>1272</v>
      </c>
      <c r="B1274" s="17" t="s">
        <v>171</v>
      </c>
      <c r="C1274" s="17" t="s">
        <v>338</v>
      </c>
      <c r="D1274" s="17" t="s">
        <v>55</v>
      </c>
      <c r="E1274" s="17" t="s">
        <v>123</v>
      </c>
      <c r="F1274" s="17" t="s">
        <v>360</v>
      </c>
      <c r="G1274" s="17" t="s">
        <v>328</v>
      </c>
      <c r="H1274" s="30">
        <v>120</v>
      </c>
      <c r="I1274" s="30">
        <v>0</v>
      </c>
      <c r="J1274" s="30">
        <v>480</v>
      </c>
      <c r="K1274" s="30">
        <v>0</v>
      </c>
      <c r="L1274" s="30">
        <v>0</v>
      </c>
      <c r="M1274" s="31">
        <f t="shared" si="95"/>
        <v>480</v>
      </c>
      <c r="N1274" s="32" t="str">
        <f t="shared" si="96"/>
        <v>n/a</v>
      </c>
      <c r="O1274" s="6" t="str">
        <f>IF(ABS(M1274)&lt;Overview!$B$6,"OK",IF(I1274=0,"REVIEW (zero base)",IF(ABS(M1274/ABS(I1274))&gt;=Overview!$B$5,"REVIEW","OK")))</f>
        <v>OK</v>
      </c>
      <c r="P1274" s="31">
        <f t="shared" si="97"/>
        <v>-480</v>
      </c>
      <c r="Q1274" s="32">
        <f t="shared" si="98"/>
        <v>-1</v>
      </c>
      <c r="R1274" s="6" t="str">
        <f>IF(ABS(P1274)&lt;Overview!$B$6,"OK",IF(J1274=0,"REVIEW (zero base)",IF(ABS(P1274/ABS(J1274))&gt;=Overview!$B$5,"REVIEW","OK")))</f>
        <v>OK</v>
      </c>
      <c r="S1274" s="33">
        <f t="shared" si="99"/>
        <v>480.00127400000002</v>
      </c>
    </row>
    <row r="1275" spans="1:19" x14ac:dyDescent="0.2">
      <c r="A1275" s="17">
        <v>1273</v>
      </c>
      <c r="B1275" s="17" t="s">
        <v>171</v>
      </c>
      <c r="C1275" s="17" t="s">
        <v>338</v>
      </c>
      <c r="D1275" s="17" t="s">
        <v>55</v>
      </c>
      <c r="E1275" s="17" t="s">
        <v>123</v>
      </c>
      <c r="F1275" s="17" t="s">
        <v>400</v>
      </c>
      <c r="G1275" s="17" t="s">
        <v>401</v>
      </c>
      <c r="H1275" s="30">
        <v>0</v>
      </c>
      <c r="I1275" s="30">
        <v>2668</v>
      </c>
      <c r="J1275" s="30">
        <v>5162</v>
      </c>
      <c r="K1275" s="30">
        <v>5161</v>
      </c>
      <c r="L1275" s="30">
        <v>5161</v>
      </c>
      <c r="M1275" s="31">
        <f t="shared" si="95"/>
        <v>2494</v>
      </c>
      <c r="N1275" s="32">
        <f t="shared" si="96"/>
        <v>0.93478260869565222</v>
      </c>
      <c r="O1275" s="6" t="str">
        <f>IF(ABS(M1275)&lt;Overview!$B$6,"OK",IF(I1275=0,"REVIEW (zero base)",IF(ABS(M1275/ABS(I1275))&gt;=Overview!$B$5,"REVIEW","OK")))</f>
        <v>OK</v>
      </c>
      <c r="P1275" s="31">
        <f t="shared" si="97"/>
        <v>-1</v>
      </c>
      <c r="Q1275" s="32">
        <f t="shared" si="98"/>
        <v>-1.9372336303758234E-4</v>
      </c>
      <c r="R1275" s="6" t="str">
        <f>IF(ABS(P1275)&lt;Overview!$B$6,"OK",IF(J1275=0,"REVIEW (zero base)",IF(ABS(P1275/ABS(J1275))&gt;=Overview!$B$5,"REVIEW","OK")))</f>
        <v>OK</v>
      </c>
      <c r="S1275" s="33">
        <f t="shared" si="99"/>
        <v>2494.0012750000001</v>
      </c>
    </row>
    <row r="1276" spans="1:19" x14ac:dyDescent="0.2">
      <c r="A1276" s="17">
        <v>1274</v>
      </c>
      <c r="B1276" s="17" t="s">
        <v>171</v>
      </c>
      <c r="C1276" s="17" t="s">
        <v>338</v>
      </c>
      <c r="D1276" s="17" t="s">
        <v>55</v>
      </c>
      <c r="E1276" s="17" t="s">
        <v>123</v>
      </c>
      <c r="F1276" s="17" t="s">
        <v>418</v>
      </c>
      <c r="G1276" s="17" t="s">
        <v>526</v>
      </c>
      <c r="H1276" s="30">
        <v>9427</v>
      </c>
      <c r="I1276" s="30">
        <v>0</v>
      </c>
      <c r="J1276" s="30">
        <v>1000</v>
      </c>
      <c r="K1276" s="30">
        <v>0</v>
      </c>
      <c r="L1276" s="30">
        <v>0</v>
      </c>
      <c r="M1276" s="31">
        <f t="shared" si="95"/>
        <v>1000</v>
      </c>
      <c r="N1276" s="32" t="str">
        <f t="shared" si="96"/>
        <v>n/a</v>
      </c>
      <c r="O1276" s="6" t="str">
        <f>IF(ABS(M1276)&lt;Overview!$B$6,"OK",IF(I1276=0,"REVIEW (zero base)",IF(ABS(M1276/ABS(I1276))&gt;=Overview!$B$5,"REVIEW","OK")))</f>
        <v>OK</v>
      </c>
      <c r="P1276" s="31">
        <f t="shared" si="97"/>
        <v>-1000</v>
      </c>
      <c r="Q1276" s="32">
        <f t="shared" si="98"/>
        <v>-1</v>
      </c>
      <c r="R1276" s="6" t="str">
        <f>IF(ABS(P1276)&lt;Overview!$B$6,"OK",IF(J1276=0,"REVIEW (zero base)",IF(ABS(P1276/ABS(J1276))&gt;=Overview!$B$5,"REVIEW","OK")))</f>
        <v>OK</v>
      </c>
      <c r="S1276" s="33">
        <f t="shared" si="99"/>
        <v>1000.001276</v>
      </c>
    </row>
    <row r="1277" spans="1:19" x14ac:dyDescent="0.2">
      <c r="A1277" s="17">
        <v>1275</v>
      </c>
      <c r="B1277" s="17" t="s">
        <v>171</v>
      </c>
      <c r="C1277" s="17" t="s">
        <v>338</v>
      </c>
      <c r="D1277" s="17" t="s">
        <v>55</v>
      </c>
      <c r="E1277" s="17" t="s">
        <v>123</v>
      </c>
      <c r="F1277" s="17" t="s">
        <v>402</v>
      </c>
      <c r="G1277" s="17" t="s">
        <v>403</v>
      </c>
      <c r="H1277" s="30">
        <v>37417</v>
      </c>
      <c r="I1277" s="30">
        <v>23615</v>
      </c>
      <c r="J1277" s="30">
        <v>28162</v>
      </c>
      <c r="K1277" s="30">
        <v>38982</v>
      </c>
      <c r="L1277" s="30">
        <v>39255</v>
      </c>
      <c r="M1277" s="31">
        <f t="shared" si="95"/>
        <v>4547</v>
      </c>
      <c r="N1277" s="32">
        <f t="shared" si="96"/>
        <v>0.1925471098877832</v>
      </c>
      <c r="O1277" s="6" t="str">
        <f>IF(ABS(M1277)&lt;Overview!$B$6,"OK",IF(I1277=0,"REVIEW (zero base)",IF(ABS(M1277/ABS(I1277))&gt;=Overview!$B$5,"REVIEW","OK")))</f>
        <v>OK</v>
      </c>
      <c r="P1277" s="31">
        <f t="shared" si="97"/>
        <v>10820</v>
      </c>
      <c r="Q1277" s="32">
        <f t="shared" si="98"/>
        <v>0.38420566721113558</v>
      </c>
      <c r="R1277" s="6" t="str">
        <f>IF(ABS(P1277)&lt;Overview!$B$6,"OK",IF(J1277=0,"REVIEW (zero base)",IF(ABS(P1277/ABS(J1277))&gt;=Overview!$B$5,"REVIEW","OK")))</f>
        <v>OK</v>
      </c>
      <c r="S1277" s="33">
        <f t="shared" si="99"/>
        <v>4547.0012770000003</v>
      </c>
    </row>
    <row r="1278" spans="1:19" x14ac:dyDescent="0.2">
      <c r="A1278" s="17">
        <v>1276</v>
      </c>
      <c r="B1278" s="17" t="s">
        <v>171</v>
      </c>
      <c r="C1278" s="17" t="s">
        <v>338</v>
      </c>
      <c r="D1278" s="17" t="s">
        <v>55</v>
      </c>
      <c r="E1278" s="17" t="s">
        <v>123</v>
      </c>
      <c r="F1278" s="17" t="s">
        <v>402</v>
      </c>
      <c r="G1278" s="17" t="s">
        <v>445</v>
      </c>
      <c r="H1278" s="30">
        <v>1419</v>
      </c>
      <c r="I1278" s="30">
        <v>737</v>
      </c>
      <c r="J1278" s="30">
        <v>4500</v>
      </c>
      <c r="K1278" s="30">
        <v>3000</v>
      </c>
      <c r="L1278" s="30">
        <v>3021</v>
      </c>
      <c r="M1278" s="31">
        <f t="shared" si="95"/>
        <v>3763</v>
      </c>
      <c r="N1278" s="32">
        <f t="shared" si="96"/>
        <v>5.1058344640434195</v>
      </c>
      <c r="O1278" s="6" t="str">
        <f>IF(ABS(M1278)&lt;Overview!$B$6,"OK",IF(I1278=0,"REVIEW (zero base)",IF(ABS(M1278/ABS(I1278))&gt;=Overview!$B$5,"REVIEW","OK")))</f>
        <v>OK</v>
      </c>
      <c r="P1278" s="31">
        <f t="shared" si="97"/>
        <v>-1500</v>
      </c>
      <c r="Q1278" s="32">
        <f t="shared" si="98"/>
        <v>-0.33333333333333331</v>
      </c>
      <c r="R1278" s="6" t="str">
        <f>IF(ABS(P1278)&lt;Overview!$B$6,"OK",IF(J1278=0,"REVIEW (zero base)",IF(ABS(P1278/ABS(J1278))&gt;=Overview!$B$5,"REVIEW","OK")))</f>
        <v>OK</v>
      </c>
      <c r="S1278" s="33">
        <f t="shared" si="99"/>
        <v>3763.0012780000002</v>
      </c>
    </row>
    <row r="1279" spans="1:19" x14ac:dyDescent="0.2">
      <c r="A1279" s="17">
        <v>1277</v>
      </c>
      <c r="B1279" s="17" t="s">
        <v>171</v>
      </c>
      <c r="C1279" s="17" t="s">
        <v>338</v>
      </c>
      <c r="D1279" s="17" t="s">
        <v>55</v>
      </c>
      <c r="E1279" s="17" t="s">
        <v>123</v>
      </c>
      <c r="F1279" s="17" t="s">
        <v>402</v>
      </c>
      <c r="G1279" s="17" t="s">
        <v>416</v>
      </c>
      <c r="H1279" s="30">
        <v>0</v>
      </c>
      <c r="I1279" s="30">
        <v>0</v>
      </c>
      <c r="J1279" s="30">
        <v>0</v>
      </c>
      <c r="K1279" s="30">
        <v>3432</v>
      </c>
      <c r="L1279" s="30">
        <v>3456</v>
      </c>
      <c r="M1279" s="31">
        <f t="shared" si="95"/>
        <v>0</v>
      </c>
      <c r="N1279" s="32" t="str">
        <f t="shared" si="96"/>
        <v>n/a</v>
      </c>
      <c r="O1279" s="6" t="str">
        <f>IF(ABS(M1279)&lt;Overview!$B$6,"OK",IF(I1279=0,"REVIEW (zero base)",IF(ABS(M1279/ABS(I1279))&gt;=Overview!$B$5,"REVIEW","OK")))</f>
        <v>OK</v>
      </c>
      <c r="P1279" s="31">
        <f t="shared" si="97"/>
        <v>3432</v>
      </c>
      <c r="Q1279" s="32" t="str">
        <f t="shared" si="98"/>
        <v>n/a</v>
      </c>
      <c r="R1279" s="6" t="str">
        <f>IF(ABS(P1279)&lt;Overview!$B$6,"OK",IF(J1279=0,"REVIEW (zero base)",IF(ABS(P1279/ABS(J1279))&gt;=Overview!$B$5,"REVIEW","OK")))</f>
        <v>OK</v>
      </c>
      <c r="S1279" s="33">
        <f t="shared" si="99"/>
        <v>1.279E-3</v>
      </c>
    </row>
    <row r="1280" spans="1:19" x14ac:dyDescent="0.2">
      <c r="A1280" s="17">
        <v>1278</v>
      </c>
      <c r="B1280" s="17" t="s">
        <v>171</v>
      </c>
      <c r="C1280" s="17" t="s">
        <v>338</v>
      </c>
      <c r="D1280" s="17" t="s">
        <v>55</v>
      </c>
      <c r="E1280" s="17" t="s">
        <v>123</v>
      </c>
      <c r="F1280" s="17" t="s">
        <v>420</v>
      </c>
      <c r="G1280" s="17" t="s">
        <v>421</v>
      </c>
      <c r="H1280" s="30">
        <v>0</v>
      </c>
      <c r="I1280" s="30">
        <v>0</v>
      </c>
      <c r="J1280" s="30">
        <v>46000</v>
      </c>
      <c r="K1280" s="30">
        <v>0</v>
      </c>
      <c r="L1280" s="30">
        <v>0</v>
      </c>
      <c r="M1280" s="31">
        <f t="shared" si="95"/>
        <v>46000</v>
      </c>
      <c r="N1280" s="32" t="str">
        <f t="shared" si="96"/>
        <v>n/a</v>
      </c>
      <c r="O1280" s="6" t="str">
        <f>IF(ABS(M1280)&lt;Overview!$B$6,"OK",IF(I1280=0,"REVIEW (zero base)",IF(ABS(M1280/ABS(I1280))&gt;=Overview!$B$5,"REVIEW","OK")))</f>
        <v>OK</v>
      </c>
      <c r="P1280" s="31">
        <f t="shared" si="97"/>
        <v>-46000</v>
      </c>
      <c r="Q1280" s="32">
        <f t="shared" si="98"/>
        <v>-1</v>
      </c>
      <c r="R1280" s="6" t="str">
        <f>IF(ABS(P1280)&lt;Overview!$B$6,"OK",IF(J1280=0,"REVIEW (zero base)",IF(ABS(P1280/ABS(J1280))&gt;=Overview!$B$5,"REVIEW","OK")))</f>
        <v>OK</v>
      </c>
      <c r="S1280" s="33">
        <f t="shared" si="99"/>
        <v>46000.001279999997</v>
      </c>
    </row>
    <row r="1281" spans="1:19" x14ac:dyDescent="0.2">
      <c r="A1281" s="17">
        <v>1279</v>
      </c>
      <c r="B1281" s="17" t="s">
        <v>171</v>
      </c>
      <c r="C1281" s="17" t="s">
        <v>338</v>
      </c>
      <c r="D1281" s="17" t="s">
        <v>55</v>
      </c>
      <c r="E1281" s="17" t="s">
        <v>123</v>
      </c>
      <c r="F1281" s="17" t="s">
        <v>407</v>
      </c>
      <c r="G1281" s="17" t="s">
        <v>427</v>
      </c>
      <c r="H1281" s="30">
        <v>3375</v>
      </c>
      <c r="I1281" s="30">
        <v>385</v>
      </c>
      <c r="J1281" s="30">
        <v>0</v>
      </c>
      <c r="K1281" s="30">
        <v>0</v>
      </c>
      <c r="L1281" s="30">
        <v>0</v>
      </c>
      <c r="M1281" s="31">
        <f t="shared" si="95"/>
        <v>-385</v>
      </c>
      <c r="N1281" s="32">
        <f t="shared" si="96"/>
        <v>-1</v>
      </c>
      <c r="O1281" s="6" t="str">
        <f>IF(ABS(M1281)&lt;Overview!$B$6,"OK",IF(I1281=0,"REVIEW (zero base)",IF(ABS(M1281/ABS(I1281))&gt;=Overview!$B$5,"REVIEW","OK")))</f>
        <v>OK</v>
      </c>
      <c r="P1281" s="31">
        <f t="shared" si="97"/>
        <v>0</v>
      </c>
      <c r="Q1281" s="32" t="str">
        <f t="shared" si="98"/>
        <v>n/a</v>
      </c>
      <c r="R1281" s="6" t="str">
        <f>IF(ABS(P1281)&lt;Overview!$B$6,"OK",IF(J1281=0,"REVIEW (zero base)",IF(ABS(P1281/ABS(J1281))&gt;=Overview!$B$5,"REVIEW","OK")))</f>
        <v>OK</v>
      </c>
      <c r="S1281" s="33">
        <f t="shared" si="99"/>
        <v>385.00128100000001</v>
      </c>
    </row>
    <row r="1282" spans="1:19" x14ac:dyDescent="0.2">
      <c r="A1282" s="17">
        <v>1280</v>
      </c>
      <c r="B1282" s="17" t="s">
        <v>171</v>
      </c>
      <c r="C1282" s="17" t="s">
        <v>338</v>
      </c>
      <c r="D1282" s="17" t="s">
        <v>55</v>
      </c>
      <c r="E1282" s="17" t="s">
        <v>123</v>
      </c>
      <c r="F1282" s="17" t="s">
        <v>384</v>
      </c>
      <c r="G1282" s="17" t="s">
        <v>478</v>
      </c>
      <c r="H1282" s="30">
        <v>7000</v>
      </c>
      <c r="I1282" s="30">
        <v>14000</v>
      </c>
      <c r="J1282" s="30">
        <v>7000</v>
      </c>
      <c r="K1282" s="30">
        <v>7500</v>
      </c>
      <c r="L1282" s="30">
        <v>7553</v>
      </c>
      <c r="M1282" s="31">
        <f t="shared" ref="M1282:M1345" si="100">J1282-I1282</f>
        <v>-7000</v>
      </c>
      <c r="N1282" s="32">
        <f t="shared" ref="N1282:N1345" si="101">IF(I1282=0,"n/a",M1282/ABS(I1282))</f>
        <v>-0.5</v>
      </c>
      <c r="O1282" s="6" t="str">
        <f>IF(ABS(M1282)&lt;Overview!$B$6,"OK",IF(I1282=0,"REVIEW (zero base)",IF(ABS(M1282/ABS(I1282))&gt;=Overview!$B$5,"REVIEW","OK")))</f>
        <v>OK</v>
      </c>
      <c r="P1282" s="31">
        <f t="shared" ref="P1282:P1345" si="102">K1282-J1282</f>
        <v>500</v>
      </c>
      <c r="Q1282" s="32">
        <f t="shared" ref="Q1282:Q1345" si="103">IF(J1282=0,"n/a",P1282/ABS(J1282))</f>
        <v>7.1428571428571425E-2</v>
      </c>
      <c r="R1282" s="6" t="str">
        <f>IF(ABS(P1282)&lt;Overview!$B$6,"OK",IF(J1282=0,"REVIEW (zero base)",IF(ABS(P1282/ABS(J1282))&gt;=Overview!$B$5,"REVIEW","OK")))</f>
        <v>OK</v>
      </c>
      <c r="S1282" s="33">
        <f t="shared" ref="S1282:S1345" si="104">IF(C1282="EXPENSES",ABS(M1282)+ROW()/1000000,0)</f>
        <v>7000.0012820000002</v>
      </c>
    </row>
    <row r="1283" spans="1:19" x14ac:dyDescent="0.2">
      <c r="A1283" s="17">
        <v>1281</v>
      </c>
      <c r="B1283" s="17" t="s">
        <v>171</v>
      </c>
      <c r="C1283" s="17" t="s">
        <v>338</v>
      </c>
      <c r="D1283" s="17" t="s">
        <v>55</v>
      </c>
      <c r="E1283" s="17" t="s">
        <v>123</v>
      </c>
      <c r="F1283" s="17" t="s">
        <v>347</v>
      </c>
      <c r="G1283" s="17" t="s">
        <v>348</v>
      </c>
      <c r="H1283" s="30">
        <v>22191</v>
      </c>
      <c r="I1283" s="30">
        <v>10814</v>
      </c>
      <c r="J1283" s="30">
        <v>21260</v>
      </c>
      <c r="K1283" s="30">
        <v>22985</v>
      </c>
      <c r="L1283" s="30">
        <v>23146</v>
      </c>
      <c r="M1283" s="31">
        <f t="shared" si="100"/>
        <v>10446</v>
      </c>
      <c r="N1283" s="32">
        <f t="shared" si="101"/>
        <v>0.9659700388385426</v>
      </c>
      <c r="O1283" s="6" t="str">
        <f>IF(ABS(M1283)&lt;Overview!$B$6,"OK",IF(I1283=0,"REVIEW (zero base)",IF(ABS(M1283/ABS(I1283))&gt;=Overview!$B$5,"REVIEW","OK")))</f>
        <v>OK</v>
      </c>
      <c r="P1283" s="31">
        <f t="shared" si="102"/>
        <v>1725</v>
      </c>
      <c r="Q1283" s="32">
        <f t="shared" si="103"/>
        <v>8.1138287864534336E-2</v>
      </c>
      <c r="R1283" s="6" t="str">
        <f>IF(ABS(P1283)&lt;Overview!$B$6,"OK",IF(J1283=0,"REVIEW (zero base)",IF(ABS(P1283/ABS(J1283))&gt;=Overview!$B$5,"REVIEW","OK")))</f>
        <v>OK</v>
      </c>
      <c r="S1283" s="33">
        <f t="shared" si="104"/>
        <v>10446.001283</v>
      </c>
    </row>
    <row r="1284" spans="1:19" x14ac:dyDescent="0.2">
      <c r="A1284" s="17">
        <v>1282</v>
      </c>
      <c r="B1284" s="17" t="s">
        <v>171</v>
      </c>
      <c r="C1284" s="17" t="s">
        <v>338</v>
      </c>
      <c r="D1284" s="17" t="s">
        <v>55</v>
      </c>
      <c r="E1284" s="17" t="s">
        <v>123</v>
      </c>
      <c r="F1284" s="17" t="s">
        <v>386</v>
      </c>
      <c r="G1284" s="17" t="s">
        <v>413</v>
      </c>
      <c r="H1284" s="30">
        <v>0</v>
      </c>
      <c r="I1284" s="30">
        <v>0</v>
      </c>
      <c r="J1284" s="30">
        <v>0</v>
      </c>
      <c r="K1284" s="30">
        <v>1600</v>
      </c>
      <c r="L1284" s="30">
        <v>1611</v>
      </c>
      <c r="M1284" s="31">
        <f t="shared" si="100"/>
        <v>0</v>
      </c>
      <c r="N1284" s="32" t="str">
        <f t="shared" si="101"/>
        <v>n/a</v>
      </c>
      <c r="O1284" s="6" t="str">
        <f>IF(ABS(M1284)&lt;Overview!$B$6,"OK",IF(I1284=0,"REVIEW (zero base)",IF(ABS(M1284/ABS(I1284))&gt;=Overview!$B$5,"REVIEW","OK")))</f>
        <v>OK</v>
      </c>
      <c r="P1284" s="31">
        <f t="shared" si="102"/>
        <v>1600</v>
      </c>
      <c r="Q1284" s="32" t="str">
        <f t="shared" si="103"/>
        <v>n/a</v>
      </c>
      <c r="R1284" s="6" t="str">
        <f>IF(ABS(P1284)&lt;Overview!$B$6,"OK",IF(J1284=0,"REVIEW (zero base)",IF(ABS(P1284/ABS(J1284))&gt;=Overview!$B$5,"REVIEW","OK")))</f>
        <v>OK</v>
      </c>
      <c r="S1284" s="33">
        <f t="shared" si="104"/>
        <v>1.284E-3</v>
      </c>
    </row>
    <row r="1285" spans="1:19" x14ac:dyDescent="0.2">
      <c r="A1285" s="17">
        <v>1283</v>
      </c>
      <c r="B1285" s="17" t="s">
        <v>171</v>
      </c>
      <c r="C1285" s="17" t="s">
        <v>338</v>
      </c>
      <c r="D1285" s="17" t="s">
        <v>55</v>
      </c>
      <c r="E1285" s="17" t="s">
        <v>123</v>
      </c>
      <c r="F1285" s="17" t="s">
        <v>386</v>
      </c>
      <c r="G1285" s="17" t="s">
        <v>387</v>
      </c>
      <c r="H1285" s="30">
        <v>483</v>
      </c>
      <c r="I1285" s="30">
        <v>555</v>
      </c>
      <c r="J1285" s="30">
        <v>2100</v>
      </c>
      <c r="K1285" s="30">
        <v>0</v>
      </c>
      <c r="L1285" s="30">
        <v>0</v>
      </c>
      <c r="M1285" s="31">
        <f t="shared" si="100"/>
        <v>1545</v>
      </c>
      <c r="N1285" s="32">
        <f t="shared" si="101"/>
        <v>2.7837837837837838</v>
      </c>
      <c r="O1285" s="6" t="str">
        <f>IF(ABS(M1285)&lt;Overview!$B$6,"OK",IF(I1285=0,"REVIEW (zero base)",IF(ABS(M1285/ABS(I1285))&gt;=Overview!$B$5,"REVIEW","OK")))</f>
        <v>OK</v>
      </c>
      <c r="P1285" s="31">
        <f t="shared" si="102"/>
        <v>-2100</v>
      </c>
      <c r="Q1285" s="32">
        <f t="shared" si="103"/>
        <v>-1</v>
      </c>
      <c r="R1285" s="6" t="str">
        <f>IF(ABS(P1285)&lt;Overview!$B$6,"OK",IF(J1285=0,"REVIEW (zero base)",IF(ABS(P1285/ABS(J1285))&gt;=Overview!$B$5,"REVIEW","OK")))</f>
        <v>OK</v>
      </c>
      <c r="S1285" s="33">
        <f t="shared" si="104"/>
        <v>1545.0012850000001</v>
      </c>
    </row>
    <row r="1286" spans="1:19" x14ac:dyDescent="0.2">
      <c r="A1286" s="17">
        <v>1284</v>
      </c>
      <c r="B1286" s="17" t="s">
        <v>171</v>
      </c>
      <c r="C1286" s="17" t="s">
        <v>338</v>
      </c>
      <c r="D1286" s="17" t="s">
        <v>55</v>
      </c>
      <c r="E1286" s="17" t="s">
        <v>123</v>
      </c>
      <c r="F1286" s="17" t="s">
        <v>411</v>
      </c>
      <c r="G1286" s="17" t="s">
        <v>527</v>
      </c>
      <c r="H1286" s="30">
        <v>17134</v>
      </c>
      <c r="I1286" s="30">
        <v>2129</v>
      </c>
      <c r="J1286" s="30">
        <v>21765</v>
      </c>
      <c r="K1286" s="30">
        <v>61620</v>
      </c>
      <c r="L1286" s="30">
        <v>62051</v>
      </c>
      <c r="M1286" s="31">
        <f t="shared" si="100"/>
        <v>19636</v>
      </c>
      <c r="N1286" s="32">
        <f t="shared" si="101"/>
        <v>9.2231094410521379</v>
      </c>
      <c r="O1286" s="6" t="str">
        <f>IF(ABS(M1286)&lt;Overview!$B$6,"OK",IF(I1286=0,"REVIEW (zero base)",IF(ABS(M1286/ABS(I1286))&gt;=Overview!$B$5,"REVIEW","OK")))</f>
        <v>OK</v>
      </c>
      <c r="P1286" s="31">
        <f t="shared" si="102"/>
        <v>39855</v>
      </c>
      <c r="Q1286" s="32">
        <f t="shared" si="103"/>
        <v>1.8311509303928326</v>
      </c>
      <c r="R1286" s="6" t="str">
        <f>IF(ABS(P1286)&lt;Overview!$B$6,"OK",IF(J1286=0,"REVIEW (zero base)",IF(ABS(P1286/ABS(J1286))&gt;=Overview!$B$5,"REVIEW","OK")))</f>
        <v>OK</v>
      </c>
      <c r="S1286" s="33">
        <f t="shared" si="104"/>
        <v>19636.001285999999</v>
      </c>
    </row>
    <row r="1287" spans="1:19" x14ac:dyDescent="0.2">
      <c r="A1287" s="17">
        <v>1285</v>
      </c>
      <c r="B1287" s="17" t="s">
        <v>171</v>
      </c>
      <c r="C1287" s="17" t="s">
        <v>338</v>
      </c>
      <c r="D1287" s="17" t="s">
        <v>69</v>
      </c>
      <c r="E1287" s="17" t="s">
        <v>95</v>
      </c>
      <c r="F1287" s="17" t="s">
        <v>339</v>
      </c>
      <c r="G1287" s="17" t="s">
        <v>340</v>
      </c>
      <c r="H1287" s="30">
        <v>941378</v>
      </c>
      <c r="I1287" s="30">
        <v>1032460</v>
      </c>
      <c r="J1287" s="30">
        <v>1145259</v>
      </c>
      <c r="K1287" s="30">
        <v>1540733</v>
      </c>
      <c r="L1287" s="30">
        <v>1556140</v>
      </c>
      <c r="M1287" s="31">
        <f t="shared" si="100"/>
        <v>112799</v>
      </c>
      <c r="N1287" s="32">
        <f t="shared" si="101"/>
        <v>0.10925265869864208</v>
      </c>
      <c r="O1287" s="6" t="str">
        <f>IF(ABS(M1287)&lt;Overview!$B$6,"OK",IF(I1287=0,"REVIEW (zero base)",IF(ABS(M1287/ABS(I1287))&gt;=Overview!$B$5,"REVIEW","OK")))</f>
        <v>OK</v>
      </c>
      <c r="P1287" s="31">
        <f t="shared" si="102"/>
        <v>395474</v>
      </c>
      <c r="Q1287" s="32">
        <f t="shared" si="103"/>
        <v>0.34531402940295602</v>
      </c>
      <c r="R1287" s="6" t="str">
        <f>IF(ABS(P1287)&lt;Overview!$B$6,"OK",IF(J1287=0,"REVIEW (zero base)",IF(ABS(P1287/ABS(J1287))&gt;=Overview!$B$5,"REVIEW","OK")))</f>
        <v>REVIEW</v>
      </c>
      <c r="S1287" s="33">
        <f t="shared" si="104"/>
        <v>112799.00128700001</v>
      </c>
    </row>
    <row r="1288" spans="1:19" x14ac:dyDescent="0.2">
      <c r="A1288" s="17">
        <v>1286</v>
      </c>
      <c r="B1288" s="17" t="s">
        <v>171</v>
      </c>
      <c r="C1288" s="17" t="s">
        <v>338</v>
      </c>
      <c r="D1288" s="17" t="s">
        <v>69</v>
      </c>
      <c r="E1288" s="17" t="s">
        <v>95</v>
      </c>
      <c r="F1288" s="17" t="s">
        <v>339</v>
      </c>
      <c r="G1288" s="17" t="s">
        <v>389</v>
      </c>
      <c r="H1288" s="30">
        <v>4919</v>
      </c>
      <c r="I1288" s="30">
        <v>860</v>
      </c>
      <c r="J1288" s="30">
        <v>9000</v>
      </c>
      <c r="K1288" s="30">
        <v>9000</v>
      </c>
      <c r="L1288" s="30">
        <v>9000</v>
      </c>
      <c r="M1288" s="31">
        <f t="shared" si="100"/>
        <v>8140</v>
      </c>
      <c r="N1288" s="32">
        <f t="shared" si="101"/>
        <v>9.4651162790697683</v>
      </c>
      <c r="O1288" s="6" t="str">
        <f>IF(ABS(M1288)&lt;Overview!$B$6,"OK",IF(I1288=0,"REVIEW (zero base)",IF(ABS(M1288/ABS(I1288))&gt;=Overview!$B$5,"REVIEW","OK")))</f>
        <v>OK</v>
      </c>
      <c r="P1288" s="31">
        <f t="shared" si="102"/>
        <v>0</v>
      </c>
      <c r="Q1288" s="32">
        <f t="shared" si="103"/>
        <v>0</v>
      </c>
      <c r="R1288" s="6" t="str">
        <f>IF(ABS(P1288)&lt;Overview!$B$6,"OK",IF(J1288=0,"REVIEW (zero base)",IF(ABS(P1288/ABS(J1288))&gt;=Overview!$B$5,"REVIEW","OK")))</f>
        <v>OK</v>
      </c>
      <c r="S1288" s="33">
        <f t="shared" si="104"/>
        <v>8140.0012880000004</v>
      </c>
    </row>
    <row r="1289" spans="1:19" x14ac:dyDescent="0.2">
      <c r="A1289" s="17">
        <v>1287</v>
      </c>
      <c r="B1289" s="17" t="s">
        <v>171</v>
      </c>
      <c r="C1289" s="17" t="s">
        <v>338</v>
      </c>
      <c r="D1289" s="17" t="s">
        <v>69</v>
      </c>
      <c r="E1289" s="17" t="s">
        <v>95</v>
      </c>
      <c r="F1289" s="17" t="s">
        <v>339</v>
      </c>
      <c r="G1289" s="17" t="s">
        <v>390</v>
      </c>
      <c r="H1289" s="30">
        <v>492</v>
      </c>
      <c r="I1289" s="30">
        <v>348</v>
      </c>
      <c r="J1289" s="30">
        <v>2876</v>
      </c>
      <c r="K1289" s="30">
        <v>2964</v>
      </c>
      <c r="L1289" s="30">
        <v>2964</v>
      </c>
      <c r="M1289" s="31">
        <f t="shared" si="100"/>
        <v>2528</v>
      </c>
      <c r="N1289" s="32">
        <f t="shared" si="101"/>
        <v>7.264367816091954</v>
      </c>
      <c r="O1289" s="6" t="str">
        <f>IF(ABS(M1289)&lt;Overview!$B$6,"OK",IF(I1289=0,"REVIEW (zero base)",IF(ABS(M1289/ABS(I1289))&gt;=Overview!$B$5,"REVIEW","OK")))</f>
        <v>OK</v>
      </c>
      <c r="P1289" s="31">
        <f t="shared" si="102"/>
        <v>88</v>
      </c>
      <c r="Q1289" s="32">
        <f t="shared" si="103"/>
        <v>3.0598052851182198E-2</v>
      </c>
      <c r="R1289" s="6" t="str">
        <f>IF(ABS(P1289)&lt;Overview!$B$6,"OK",IF(J1289=0,"REVIEW (zero base)",IF(ABS(P1289/ABS(J1289))&gt;=Overview!$B$5,"REVIEW","OK")))</f>
        <v>OK</v>
      </c>
      <c r="S1289" s="33">
        <f t="shared" si="104"/>
        <v>2528.0012889999998</v>
      </c>
    </row>
    <row r="1290" spans="1:19" x14ac:dyDescent="0.2">
      <c r="A1290" s="17">
        <v>1288</v>
      </c>
      <c r="B1290" s="17" t="s">
        <v>171</v>
      </c>
      <c r="C1290" s="17" t="s">
        <v>338</v>
      </c>
      <c r="D1290" s="17" t="s">
        <v>69</v>
      </c>
      <c r="E1290" s="17" t="s">
        <v>95</v>
      </c>
      <c r="F1290" s="17" t="s">
        <v>339</v>
      </c>
      <c r="G1290" s="17" t="s">
        <v>391</v>
      </c>
      <c r="H1290" s="30">
        <v>50529</v>
      </c>
      <c r="I1290" s="30">
        <v>30933</v>
      </c>
      <c r="J1290" s="30">
        <v>0</v>
      </c>
      <c r="K1290" s="30">
        <v>0</v>
      </c>
      <c r="L1290" s="30">
        <v>0</v>
      </c>
      <c r="M1290" s="31">
        <f t="shared" si="100"/>
        <v>-30933</v>
      </c>
      <c r="N1290" s="32">
        <f t="shared" si="101"/>
        <v>-1</v>
      </c>
      <c r="O1290" s="6" t="str">
        <f>IF(ABS(M1290)&lt;Overview!$B$6,"OK",IF(I1290=0,"REVIEW (zero base)",IF(ABS(M1290/ABS(I1290))&gt;=Overview!$B$5,"REVIEW","OK")))</f>
        <v>OK</v>
      </c>
      <c r="P1290" s="31">
        <f t="shared" si="102"/>
        <v>0</v>
      </c>
      <c r="Q1290" s="32" t="str">
        <f t="shared" si="103"/>
        <v>n/a</v>
      </c>
      <c r="R1290" s="6" t="str">
        <f>IF(ABS(P1290)&lt;Overview!$B$6,"OK",IF(J1290=0,"REVIEW (zero base)",IF(ABS(P1290/ABS(J1290))&gt;=Overview!$B$5,"REVIEW","OK")))</f>
        <v>OK</v>
      </c>
      <c r="S1290" s="33">
        <f t="shared" si="104"/>
        <v>30933.00129</v>
      </c>
    </row>
    <row r="1291" spans="1:19" x14ac:dyDescent="0.2">
      <c r="A1291" s="17">
        <v>1289</v>
      </c>
      <c r="B1291" s="17" t="s">
        <v>171</v>
      </c>
      <c r="C1291" s="17" t="s">
        <v>338</v>
      </c>
      <c r="D1291" s="17" t="s">
        <v>69</v>
      </c>
      <c r="E1291" s="17" t="s">
        <v>95</v>
      </c>
      <c r="F1291" s="17" t="s">
        <v>339</v>
      </c>
      <c r="G1291" s="17" t="s">
        <v>392</v>
      </c>
      <c r="H1291" s="30">
        <v>85757</v>
      </c>
      <c r="I1291" s="30">
        <v>59173</v>
      </c>
      <c r="J1291" s="30">
        <v>0</v>
      </c>
      <c r="K1291" s="30">
        <v>0</v>
      </c>
      <c r="L1291" s="30">
        <v>0</v>
      </c>
      <c r="M1291" s="31">
        <f t="shared" si="100"/>
        <v>-59173</v>
      </c>
      <c r="N1291" s="32">
        <f t="shared" si="101"/>
        <v>-1</v>
      </c>
      <c r="O1291" s="6" t="str">
        <f>IF(ABS(M1291)&lt;Overview!$B$6,"OK",IF(I1291=0,"REVIEW (zero base)",IF(ABS(M1291/ABS(I1291))&gt;=Overview!$B$5,"REVIEW","OK")))</f>
        <v>OK</v>
      </c>
      <c r="P1291" s="31">
        <f t="shared" si="102"/>
        <v>0</v>
      </c>
      <c r="Q1291" s="32" t="str">
        <f t="shared" si="103"/>
        <v>n/a</v>
      </c>
      <c r="R1291" s="6" t="str">
        <f>IF(ABS(P1291)&lt;Overview!$B$6,"OK",IF(J1291=0,"REVIEW (zero base)",IF(ABS(P1291/ABS(J1291))&gt;=Overview!$B$5,"REVIEW","OK")))</f>
        <v>OK</v>
      </c>
      <c r="S1291" s="33">
        <f t="shared" si="104"/>
        <v>59173.001291</v>
      </c>
    </row>
    <row r="1292" spans="1:19" x14ac:dyDescent="0.2">
      <c r="A1292" s="17">
        <v>1290</v>
      </c>
      <c r="B1292" s="17" t="s">
        <v>171</v>
      </c>
      <c r="C1292" s="17" t="s">
        <v>338</v>
      </c>
      <c r="D1292" s="17" t="s">
        <v>69</v>
      </c>
      <c r="E1292" s="17" t="s">
        <v>95</v>
      </c>
      <c r="F1292" s="17" t="s">
        <v>339</v>
      </c>
      <c r="G1292" s="17" t="s">
        <v>394</v>
      </c>
      <c r="H1292" s="30">
        <v>75127</v>
      </c>
      <c r="I1292" s="30">
        <v>73907</v>
      </c>
      <c r="J1292" s="30">
        <v>0</v>
      </c>
      <c r="K1292" s="30">
        <v>0</v>
      </c>
      <c r="L1292" s="30">
        <v>0</v>
      </c>
      <c r="M1292" s="31">
        <f t="shared" si="100"/>
        <v>-73907</v>
      </c>
      <c r="N1292" s="32">
        <f t="shared" si="101"/>
        <v>-1</v>
      </c>
      <c r="O1292" s="6" t="str">
        <f>IF(ABS(M1292)&lt;Overview!$B$6,"OK",IF(I1292=0,"REVIEW (zero base)",IF(ABS(M1292/ABS(I1292))&gt;=Overview!$B$5,"REVIEW","OK")))</f>
        <v>OK</v>
      </c>
      <c r="P1292" s="31">
        <f t="shared" si="102"/>
        <v>0</v>
      </c>
      <c r="Q1292" s="32" t="str">
        <f t="shared" si="103"/>
        <v>n/a</v>
      </c>
      <c r="R1292" s="6" t="str">
        <f>IF(ABS(P1292)&lt;Overview!$B$6,"OK",IF(J1292=0,"REVIEW (zero base)",IF(ABS(P1292/ABS(J1292))&gt;=Overview!$B$5,"REVIEW","OK")))</f>
        <v>OK</v>
      </c>
      <c r="S1292" s="33">
        <f t="shared" si="104"/>
        <v>73907.001292000001</v>
      </c>
    </row>
    <row r="1293" spans="1:19" x14ac:dyDescent="0.2">
      <c r="A1293" s="17">
        <v>1291</v>
      </c>
      <c r="B1293" s="17" t="s">
        <v>171</v>
      </c>
      <c r="C1293" s="17" t="s">
        <v>338</v>
      </c>
      <c r="D1293" s="17" t="s">
        <v>69</v>
      </c>
      <c r="E1293" s="17" t="s">
        <v>95</v>
      </c>
      <c r="F1293" s="17" t="s">
        <v>339</v>
      </c>
      <c r="G1293" s="17" t="s">
        <v>395</v>
      </c>
      <c r="H1293" s="30">
        <v>46377</v>
      </c>
      <c r="I1293" s="30">
        <v>43035</v>
      </c>
      <c r="J1293" s="30">
        <v>35442</v>
      </c>
      <c r="K1293" s="30">
        <v>35405</v>
      </c>
      <c r="L1293" s="30">
        <v>35759</v>
      </c>
      <c r="M1293" s="31">
        <f t="shared" si="100"/>
        <v>-7593</v>
      </c>
      <c r="N1293" s="32">
        <f t="shared" si="101"/>
        <v>-0.17643778319972117</v>
      </c>
      <c r="O1293" s="6" t="str">
        <f>IF(ABS(M1293)&lt;Overview!$B$6,"OK",IF(I1293=0,"REVIEW (zero base)",IF(ABS(M1293/ABS(I1293))&gt;=Overview!$B$5,"REVIEW","OK")))</f>
        <v>OK</v>
      </c>
      <c r="P1293" s="31">
        <f t="shared" si="102"/>
        <v>-37</v>
      </c>
      <c r="Q1293" s="32">
        <f t="shared" si="103"/>
        <v>-1.0439591445178037E-3</v>
      </c>
      <c r="R1293" s="6" t="str">
        <f>IF(ABS(P1293)&lt;Overview!$B$6,"OK",IF(J1293=0,"REVIEW (zero base)",IF(ABS(P1293/ABS(J1293))&gt;=Overview!$B$5,"REVIEW","OK")))</f>
        <v>OK</v>
      </c>
      <c r="S1293" s="33">
        <f t="shared" si="104"/>
        <v>7593.0012930000003</v>
      </c>
    </row>
    <row r="1294" spans="1:19" x14ac:dyDescent="0.2">
      <c r="A1294" s="17">
        <v>1292</v>
      </c>
      <c r="B1294" s="17" t="s">
        <v>171</v>
      </c>
      <c r="C1294" s="17" t="s">
        <v>338</v>
      </c>
      <c r="D1294" s="17" t="s">
        <v>69</v>
      </c>
      <c r="E1294" s="17" t="s">
        <v>95</v>
      </c>
      <c r="F1294" s="17" t="s">
        <v>341</v>
      </c>
      <c r="G1294" s="17" t="s">
        <v>342</v>
      </c>
      <c r="H1294" s="30">
        <v>17801</v>
      </c>
      <c r="I1294" s="30">
        <v>17861</v>
      </c>
      <c r="J1294" s="30">
        <v>20292</v>
      </c>
      <c r="K1294" s="30">
        <v>20292</v>
      </c>
      <c r="L1294" s="30">
        <v>20292</v>
      </c>
      <c r="M1294" s="31">
        <f t="shared" si="100"/>
        <v>2431</v>
      </c>
      <c r="N1294" s="32">
        <f t="shared" si="101"/>
        <v>0.13610660097418958</v>
      </c>
      <c r="O1294" s="6" t="str">
        <f>IF(ABS(M1294)&lt;Overview!$B$6,"OK",IF(I1294=0,"REVIEW (zero base)",IF(ABS(M1294/ABS(I1294))&gt;=Overview!$B$5,"REVIEW","OK")))</f>
        <v>OK</v>
      </c>
      <c r="P1294" s="31">
        <f t="shared" si="102"/>
        <v>0</v>
      </c>
      <c r="Q1294" s="32">
        <f t="shared" si="103"/>
        <v>0</v>
      </c>
      <c r="R1294" s="6" t="str">
        <f>IF(ABS(P1294)&lt;Overview!$B$6,"OK",IF(J1294=0,"REVIEW (zero base)",IF(ABS(P1294/ABS(J1294))&gt;=Overview!$B$5,"REVIEW","OK")))</f>
        <v>OK</v>
      </c>
      <c r="S1294" s="33">
        <f t="shared" si="104"/>
        <v>2431.0012940000001</v>
      </c>
    </row>
    <row r="1295" spans="1:19" x14ac:dyDescent="0.2">
      <c r="A1295" s="17">
        <v>1293</v>
      </c>
      <c r="B1295" s="17" t="s">
        <v>171</v>
      </c>
      <c r="C1295" s="17" t="s">
        <v>338</v>
      </c>
      <c r="D1295" s="17" t="s">
        <v>69</v>
      </c>
      <c r="E1295" s="17" t="s">
        <v>95</v>
      </c>
      <c r="F1295" s="17" t="s">
        <v>341</v>
      </c>
      <c r="G1295" s="17" t="s">
        <v>406</v>
      </c>
      <c r="H1295" s="30">
        <v>11000</v>
      </c>
      <c r="I1295" s="30">
        <v>13000</v>
      </c>
      <c r="J1295" s="30">
        <v>0</v>
      </c>
      <c r="K1295" s="30">
        <v>0</v>
      </c>
      <c r="L1295" s="30">
        <v>0</v>
      </c>
      <c r="M1295" s="31">
        <f t="shared" si="100"/>
        <v>-13000</v>
      </c>
      <c r="N1295" s="32">
        <f t="shared" si="101"/>
        <v>-1</v>
      </c>
      <c r="O1295" s="6" t="str">
        <f>IF(ABS(M1295)&lt;Overview!$B$6,"OK",IF(I1295=0,"REVIEW (zero base)",IF(ABS(M1295/ABS(I1295))&gt;=Overview!$B$5,"REVIEW","OK")))</f>
        <v>OK</v>
      </c>
      <c r="P1295" s="31">
        <f t="shared" si="102"/>
        <v>0</v>
      </c>
      <c r="Q1295" s="32" t="str">
        <f t="shared" si="103"/>
        <v>n/a</v>
      </c>
      <c r="R1295" s="6" t="str">
        <f>IF(ABS(P1295)&lt;Overview!$B$6,"OK",IF(J1295=0,"REVIEW (zero base)",IF(ABS(P1295/ABS(J1295))&gt;=Overview!$B$5,"REVIEW","OK")))</f>
        <v>OK</v>
      </c>
      <c r="S1295" s="33">
        <f t="shared" si="104"/>
        <v>13000.001295</v>
      </c>
    </row>
    <row r="1296" spans="1:19" x14ac:dyDescent="0.2">
      <c r="A1296" s="17">
        <v>1294</v>
      </c>
      <c r="B1296" s="17" t="s">
        <v>171</v>
      </c>
      <c r="C1296" s="17" t="s">
        <v>338</v>
      </c>
      <c r="D1296" s="17" t="s">
        <v>69</v>
      </c>
      <c r="E1296" s="17" t="s">
        <v>95</v>
      </c>
      <c r="F1296" s="17" t="s">
        <v>341</v>
      </c>
      <c r="G1296" s="17" t="s">
        <v>375</v>
      </c>
      <c r="H1296" s="30">
        <v>37342</v>
      </c>
      <c r="I1296" s="30">
        <v>45158</v>
      </c>
      <c r="J1296" s="30">
        <v>59150</v>
      </c>
      <c r="K1296" s="30">
        <v>59150</v>
      </c>
      <c r="L1296" s="30">
        <v>59150</v>
      </c>
      <c r="M1296" s="31">
        <f t="shared" si="100"/>
        <v>13992</v>
      </c>
      <c r="N1296" s="32">
        <f t="shared" si="101"/>
        <v>0.30984543159573052</v>
      </c>
      <c r="O1296" s="6" t="str">
        <f>IF(ABS(M1296)&lt;Overview!$B$6,"OK",IF(I1296=0,"REVIEW (zero base)",IF(ABS(M1296/ABS(I1296))&gt;=Overview!$B$5,"REVIEW","OK")))</f>
        <v>OK</v>
      </c>
      <c r="P1296" s="31">
        <f t="shared" si="102"/>
        <v>0</v>
      </c>
      <c r="Q1296" s="32">
        <f t="shared" si="103"/>
        <v>0</v>
      </c>
      <c r="R1296" s="6" t="str">
        <f>IF(ABS(P1296)&lt;Overview!$B$6,"OK",IF(J1296=0,"REVIEW (zero base)",IF(ABS(P1296/ABS(J1296))&gt;=Overview!$B$5,"REVIEW","OK")))</f>
        <v>OK</v>
      </c>
      <c r="S1296" s="33">
        <f t="shared" si="104"/>
        <v>13992.001296</v>
      </c>
    </row>
    <row r="1297" spans="1:19" x14ac:dyDescent="0.2">
      <c r="A1297" s="17">
        <v>1295</v>
      </c>
      <c r="B1297" s="17" t="s">
        <v>171</v>
      </c>
      <c r="C1297" s="17" t="s">
        <v>338</v>
      </c>
      <c r="D1297" s="17" t="s">
        <v>69</v>
      </c>
      <c r="E1297" s="17" t="s">
        <v>95</v>
      </c>
      <c r="F1297" s="17" t="s">
        <v>341</v>
      </c>
      <c r="G1297" s="17" t="s">
        <v>376</v>
      </c>
      <c r="H1297" s="30">
        <v>342315</v>
      </c>
      <c r="I1297" s="30">
        <v>364955</v>
      </c>
      <c r="J1297" s="30">
        <v>343493</v>
      </c>
      <c r="K1297" s="30">
        <v>380280</v>
      </c>
      <c r="L1297" s="30">
        <v>400169</v>
      </c>
      <c r="M1297" s="31">
        <f t="shared" si="100"/>
        <v>-21462</v>
      </c>
      <c r="N1297" s="32">
        <f t="shared" si="101"/>
        <v>-5.8807250208929865E-2</v>
      </c>
      <c r="O1297" s="6" t="str">
        <f>IF(ABS(M1297)&lt;Overview!$B$6,"OK",IF(I1297=0,"REVIEW (zero base)",IF(ABS(M1297/ABS(I1297))&gt;=Overview!$B$5,"REVIEW","OK")))</f>
        <v>OK</v>
      </c>
      <c r="P1297" s="31">
        <f t="shared" si="102"/>
        <v>36787</v>
      </c>
      <c r="Q1297" s="32">
        <f t="shared" si="103"/>
        <v>0.10709679673239338</v>
      </c>
      <c r="R1297" s="6" t="str">
        <f>IF(ABS(P1297)&lt;Overview!$B$6,"OK",IF(J1297=0,"REVIEW (zero base)",IF(ABS(P1297/ABS(J1297))&gt;=Overview!$B$5,"REVIEW","OK")))</f>
        <v>OK</v>
      </c>
      <c r="S1297" s="33">
        <f t="shared" si="104"/>
        <v>21462.001296999999</v>
      </c>
    </row>
    <row r="1298" spans="1:19" x14ac:dyDescent="0.2">
      <c r="A1298" s="17">
        <v>1296</v>
      </c>
      <c r="B1298" s="17" t="s">
        <v>171</v>
      </c>
      <c r="C1298" s="17" t="s">
        <v>338</v>
      </c>
      <c r="D1298" s="17" t="s">
        <v>69</v>
      </c>
      <c r="E1298" s="17" t="s">
        <v>95</v>
      </c>
      <c r="F1298" s="17" t="s">
        <v>341</v>
      </c>
      <c r="G1298" s="17" t="s">
        <v>343</v>
      </c>
      <c r="H1298" s="30">
        <v>87553</v>
      </c>
      <c r="I1298" s="30">
        <v>90352</v>
      </c>
      <c r="J1298" s="30">
        <v>106978</v>
      </c>
      <c r="K1298" s="30">
        <v>103531</v>
      </c>
      <c r="L1298" s="30">
        <v>104566</v>
      </c>
      <c r="M1298" s="31">
        <f t="shared" si="100"/>
        <v>16626</v>
      </c>
      <c r="N1298" s="32">
        <f t="shared" si="101"/>
        <v>0.18401363555870373</v>
      </c>
      <c r="O1298" s="6" t="str">
        <f>IF(ABS(M1298)&lt;Overview!$B$6,"OK",IF(I1298=0,"REVIEW (zero base)",IF(ABS(M1298/ABS(I1298))&gt;=Overview!$B$5,"REVIEW","OK")))</f>
        <v>OK</v>
      </c>
      <c r="P1298" s="31">
        <f t="shared" si="102"/>
        <v>-3447</v>
      </c>
      <c r="Q1298" s="32">
        <f t="shared" si="103"/>
        <v>-3.2221578268429023E-2</v>
      </c>
      <c r="R1298" s="6" t="str">
        <f>IF(ABS(P1298)&lt;Overview!$B$6,"OK",IF(J1298=0,"REVIEW (zero base)",IF(ABS(P1298/ABS(J1298))&gt;=Overview!$B$5,"REVIEW","OK")))</f>
        <v>OK</v>
      </c>
      <c r="S1298" s="33">
        <f t="shared" si="104"/>
        <v>16626.001297999999</v>
      </c>
    </row>
    <row r="1299" spans="1:19" x14ac:dyDescent="0.2">
      <c r="A1299" s="17">
        <v>1297</v>
      </c>
      <c r="B1299" s="17" t="s">
        <v>171</v>
      </c>
      <c r="C1299" s="17" t="s">
        <v>338</v>
      </c>
      <c r="D1299" s="17" t="s">
        <v>69</v>
      </c>
      <c r="E1299" s="17" t="s">
        <v>95</v>
      </c>
      <c r="F1299" s="17" t="s">
        <v>341</v>
      </c>
      <c r="G1299" s="17" t="s">
        <v>396</v>
      </c>
      <c r="H1299" s="30">
        <v>6447</v>
      </c>
      <c r="I1299" s="30">
        <v>6400</v>
      </c>
      <c r="J1299" s="30">
        <v>0</v>
      </c>
      <c r="K1299" s="30">
        <v>0</v>
      </c>
      <c r="L1299" s="30">
        <v>0</v>
      </c>
      <c r="M1299" s="31">
        <f t="shared" si="100"/>
        <v>-6400</v>
      </c>
      <c r="N1299" s="32">
        <f t="shared" si="101"/>
        <v>-1</v>
      </c>
      <c r="O1299" s="6" t="str">
        <f>IF(ABS(M1299)&lt;Overview!$B$6,"OK",IF(I1299=0,"REVIEW (zero base)",IF(ABS(M1299/ABS(I1299))&gt;=Overview!$B$5,"REVIEW","OK")))</f>
        <v>OK</v>
      </c>
      <c r="P1299" s="31">
        <f t="shared" si="102"/>
        <v>0</v>
      </c>
      <c r="Q1299" s="32" t="str">
        <f t="shared" si="103"/>
        <v>n/a</v>
      </c>
      <c r="R1299" s="6" t="str">
        <f>IF(ABS(P1299)&lt;Overview!$B$6,"OK",IF(J1299=0,"REVIEW (zero base)",IF(ABS(P1299/ABS(J1299))&gt;=Overview!$B$5,"REVIEW","OK")))</f>
        <v>OK</v>
      </c>
      <c r="S1299" s="33">
        <f t="shared" si="104"/>
        <v>6400.0012989999996</v>
      </c>
    </row>
    <row r="1300" spans="1:19" x14ac:dyDescent="0.2">
      <c r="A1300" s="17">
        <v>1298</v>
      </c>
      <c r="B1300" s="17" t="s">
        <v>171</v>
      </c>
      <c r="C1300" s="17" t="s">
        <v>338</v>
      </c>
      <c r="D1300" s="17" t="s">
        <v>69</v>
      </c>
      <c r="E1300" s="17" t="s">
        <v>95</v>
      </c>
      <c r="F1300" s="17" t="s">
        <v>341</v>
      </c>
      <c r="G1300" s="17" t="s">
        <v>378</v>
      </c>
      <c r="H1300" s="30">
        <v>29723</v>
      </c>
      <c r="I1300" s="30">
        <v>34084</v>
      </c>
      <c r="J1300" s="30">
        <v>44720</v>
      </c>
      <c r="K1300" s="30">
        <v>47320</v>
      </c>
      <c r="L1300" s="30">
        <v>49416</v>
      </c>
      <c r="M1300" s="31">
        <f t="shared" si="100"/>
        <v>10636</v>
      </c>
      <c r="N1300" s="32">
        <f t="shared" si="101"/>
        <v>0.3120525759887337</v>
      </c>
      <c r="O1300" s="6" t="str">
        <f>IF(ABS(M1300)&lt;Overview!$B$6,"OK",IF(I1300=0,"REVIEW (zero base)",IF(ABS(M1300/ABS(I1300))&gt;=Overview!$B$5,"REVIEW","OK")))</f>
        <v>OK</v>
      </c>
      <c r="P1300" s="31">
        <f t="shared" si="102"/>
        <v>2600</v>
      </c>
      <c r="Q1300" s="32">
        <f t="shared" si="103"/>
        <v>5.8139534883720929E-2</v>
      </c>
      <c r="R1300" s="6" t="str">
        <f>IF(ABS(P1300)&lt;Overview!$B$6,"OK",IF(J1300=0,"REVIEW (zero base)",IF(ABS(P1300/ABS(J1300))&gt;=Overview!$B$5,"REVIEW","OK")))</f>
        <v>OK</v>
      </c>
      <c r="S1300" s="33">
        <f t="shared" si="104"/>
        <v>10636.0013</v>
      </c>
    </row>
    <row r="1301" spans="1:19" x14ac:dyDescent="0.2">
      <c r="A1301" s="17">
        <v>1299</v>
      </c>
      <c r="B1301" s="17" t="s">
        <v>171</v>
      </c>
      <c r="C1301" s="17" t="s">
        <v>338</v>
      </c>
      <c r="D1301" s="17" t="s">
        <v>69</v>
      </c>
      <c r="E1301" s="17" t="s">
        <v>95</v>
      </c>
      <c r="F1301" s="17" t="s">
        <v>341</v>
      </c>
      <c r="G1301" s="17" t="s">
        <v>344</v>
      </c>
      <c r="H1301" s="30">
        <v>215376</v>
      </c>
      <c r="I1301" s="30">
        <v>214298</v>
      </c>
      <c r="J1301" s="30">
        <v>272715</v>
      </c>
      <c r="K1301" s="30">
        <v>315180</v>
      </c>
      <c r="L1301" s="30">
        <v>321484</v>
      </c>
      <c r="M1301" s="31">
        <f t="shared" si="100"/>
        <v>58417</v>
      </c>
      <c r="N1301" s="32">
        <f t="shared" si="101"/>
        <v>0.27259703776983452</v>
      </c>
      <c r="O1301" s="6" t="str">
        <f>IF(ABS(M1301)&lt;Overview!$B$6,"OK",IF(I1301=0,"REVIEW (zero base)",IF(ABS(M1301/ABS(I1301))&gt;=Overview!$B$5,"REVIEW","OK")))</f>
        <v>OK</v>
      </c>
      <c r="P1301" s="31">
        <f t="shared" si="102"/>
        <v>42465</v>
      </c>
      <c r="Q1301" s="32">
        <f t="shared" si="103"/>
        <v>0.15571200704031682</v>
      </c>
      <c r="R1301" s="6" t="str">
        <f>IF(ABS(P1301)&lt;Overview!$B$6,"OK",IF(J1301=0,"REVIEW (zero base)",IF(ABS(P1301/ABS(J1301))&gt;=Overview!$B$5,"REVIEW","OK")))</f>
        <v>OK</v>
      </c>
      <c r="S1301" s="33">
        <f t="shared" si="104"/>
        <v>58417.001300999997</v>
      </c>
    </row>
    <row r="1302" spans="1:19" x14ac:dyDescent="0.2">
      <c r="A1302" s="17">
        <v>1300</v>
      </c>
      <c r="B1302" s="17" t="s">
        <v>171</v>
      </c>
      <c r="C1302" s="17" t="s">
        <v>338</v>
      </c>
      <c r="D1302" s="17" t="s">
        <v>69</v>
      </c>
      <c r="E1302" s="17" t="s">
        <v>95</v>
      </c>
      <c r="F1302" s="17" t="s">
        <v>364</v>
      </c>
      <c r="G1302" s="17" t="s">
        <v>379</v>
      </c>
      <c r="H1302" s="30">
        <v>0</v>
      </c>
      <c r="I1302" s="30">
        <v>1200</v>
      </c>
      <c r="J1302" s="30">
        <v>0</v>
      </c>
      <c r="K1302" s="30">
        <v>0</v>
      </c>
      <c r="L1302" s="30">
        <v>0</v>
      </c>
      <c r="M1302" s="31">
        <f t="shared" si="100"/>
        <v>-1200</v>
      </c>
      <c r="N1302" s="32">
        <f t="shared" si="101"/>
        <v>-1</v>
      </c>
      <c r="O1302" s="6" t="str">
        <f>IF(ABS(M1302)&lt;Overview!$B$6,"OK",IF(I1302=0,"REVIEW (zero base)",IF(ABS(M1302/ABS(I1302))&gt;=Overview!$B$5,"REVIEW","OK")))</f>
        <v>OK</v>
      </c>
      <c r="P1302" s="31">
        <f t="shared" si="102"/>
        <v>0</v>
      </c>
      <c r="Q1302" s="32" t="str">
        <f t="shared" si="103"/>
        <v>n/a</v>
      </c>
      <c r="R1302" s="6" t="str">
        <f>IF(ABS(P1302)&lt;Overview!$B$6,"OK",IF(J1302=0,"REVIEW (zero base)",IF(ABS(P1302/ABS(J1302))&gt;=Overview!$B$5,"REVIEW","OK")))</f>
        <v>OK</v>
      </c>
      <c r="S1302" s="33">
        <f t="shared" si="104"/>
        <v>1200.0013019999999</v>
      </c>
    </row>
    <row r="1303" spans="1:19" x14ac:dyDescent="0.2">
      <c r="A1303" s="17">
        <v>1301</v>
      </c>
      <c r="B1303" s="17" t="s">
        <v>171</v>
      </c>
      <c r="C1303" s="17" t="s">
        <v>338</v>
      </c>
      <c r="D1303" s="17" t="s">
        <v>69</v>
      </c>
      <c r="E1303" s="17" t="s">
        <v>95</v>
      </c>
      <c r="F1303" s="17" t="s">
        <v>364</v>
      </c>
      <c r="G1303" s="17" t="s">
        <v>383</v>
      </c>
      <c r="H1303" s="30">
        <v>8455</v>
      </c>
      <c r="I1303" s="30">
        <v>11113</v>
      </c>
      <c r="J1303" s="30">
        <v>6000</v>
      </c>
      <c r="K1303" s="30">
        <v>6000</v>
      </c>
      <c r="L1303" s="30">
        <v>6000</v>
      </c>
      <c r="M1303" s="31">
        <f t="shared" si="100"/>
        <v>-5113</v>
      </c>
      <c r="N1303" s="32">
        <f t="shared" si="101"/>
        <v>-0.46009178439665255</v>
      </c>
      <c r="O1303" s="6" t="str">
        <f>IF(ABS(M1303)&lt;Overview!$B$6,"OK",IF(I1303=0,"REVIEW (zero base)",IF(ABS(M1303/ABS(I1303))&gt;=Overview!$B$5,"REVIEW","OK")))</f>
        <v>OK</v>
      </c>
      <c r="P1303" s="31">
        <f t="shared" si="102"/>
        <v>0</v>
      </c>
      <c r="Q1303" s="32">
        <f t="shared" si="103"/>
        <v>0</v>
      </c>
      <c r="R1303" s="6" t="str">
        <f>IF(ABS(P1303)&lt;Overview!$B$6,"OK",IF(J1303=0,"REVIEW (zero base)",IF(ABS(P1303/ABS(J1303))&gt;=Overview!$B$5,"REVIEW","OK")))</f>
        <v>OK</v>
      </c>
      <c r="S1303" s="33">
        <f t="shared" si="104"/>
        <v>5113.001303</v>
      </c>
    </row>
    <row r="1304" spans="1:19" x14ac:dyDescent="0.2">
      <c r="A1304" s="17">
        <v>1302</v>
      </c>
      <c r="B1304" s="17" t="s">
        <v>171</v>
      </c>
      <c r="C1304" s="17" t="s">
        <v>338</v>
      </c>
      <c r="D1304" s="17" t="s">
        <v>69</v>
      </c>
      <c r="E1304" s="17" t="s">
        <v>95</v>
      </c>
      <c r="F1304" s="17" t="s">
        <v>364</v>
      </c>
      <c r="G1304" s="17" t="s">
        <v>398</v>
      </c>
      <c r="H1304" s="30">
        <v>452</v>
      </c>
      <c r="I1304" s="30">
        <v>713</v>
      </c>
      <c r="J1304" s="30">
        <v>0</v>
      </c>
      <c r="K1304" s="30">
        <v>0</v>
      </c>
      <c r="L1304" s="30">
        <v>0</v>
      </c>
      <c r="M1304" s="31">
        <f t="shared" si="100"/>
        <v>-713</v>
      </c>
      <c r="N1304" s="32">
        <f t="shared" si="101"/>
        <v>-1</v>
      </c>
      <c r="O1304" s="6" t="str">
        <f>IF(ABS(M1304)&lt;Overview!$B$6,"OK",IF(I1304=0,"REVIEW (zero base)",IF(ABS(M1304/ABS(I1304))&gt;=Overview!$B$5,"REVIEW","OK")))</f>
        <v>OK</v>
      </c>
      <c r="P1304" s="31">
        <f t="shared" si="102"/>
        <v>0</v>
      </c>
      <c r="Q1304" s="32" t="str">
        <f t="shared" si="103"/>
        <v>n/a</v>
      </c>
      <c r="R1304" s="6" t="str">
        <f>IF(ABS(P1304)&lt;Overview!$B$6,"OK",IF(J1304=0,"REVIEW (zero base)",IF(ABS(P1304/ABS(J1304))&gt;=Overview!$B$5,"REVIEW","OK")))</f>
        <v>OK</v>
      </c>
      <c r="S1304" s="33">
        <f t="shared" si="104"/>
        <v>713.001304</v>
      </c>
    </row>
    <row r="1305" spans="1:19" x14ac:dyDescent="0.2">
      <c r="A1305" s="17">
        <v>1303</v>
      </c>
      <c r="B1305" s="17" t="s">
        <v>171</v>
      </c>
      <c r="C1305" s="17" t="s">
        <v>338</v>
      </c>
      <c r="D1305" s="17" t="s">
        <v>69</v>
      </c>
      <c r="E1305" s="17" t="s">
        <v>95</v>
      </c>
      <c r="F1305" s="17" t="s">
        <v>400</v>
      </c>
      <c r="G1305" s="17" t="s">
        <v>401</v>
      </c>
      <c r="H1305" s="30">
        <v>0</v>
      </c>
      <c r="I1305" s="30">
        <v>0</v>
      </c>
      <c r="J1305" s="30">
        <v>0</v>
      </c>
      <c r="K1305" s="30">
        <v>136004</v>
      </c>
      <c r="L1305" s="30">
        <v>136004</v>
      </c>
      <c r="M1305" s="31">
        <f t="shared" si="100"/>
        <v>0</v>
      </c>
      <c r="N1305" s="32" t="str">
        <f t="shared" si="101"/>
        <v>n/a</v>
      </c>
      <c r="O1305" s="6" t="str">
        <f>IF(ABS(M1305)&lt;Overview!$B$6,"OK",IF(I1305=0,"REVIEW (zero base)",IF(ABS(M1305/ABS(I1305))&gt;=Overview!$B$5,"REVIEW","OK")))</f>
        <v>OK</v>
      </c>
      <c r="P1305" s="31">
        <f t="shared" si="102"/>
        <v>136004</v>
      </c>
      <c r="Q1305" s="32" t="str">
        <f t="shared" si="103"/>
        <v>n/a</v>
      </c>
      <c r="R1305" s="6" t="str">
        <f>IF(ABS(P1305)&lt;Overview!$B$6,"OK",IF(J1305=0,"REVIEW (zero base)",IF(ABS(P1305/ABS(J1305))&gt;=Overview!$B$5,"REVIEW","OK")))</f>
        <v>OK</v>
      </c>
      <c r="S1305" s="33">
        <f t="shared" si="104"/>
        <v>1.305E-3</v>
      </c>
    </row>
    <row r="1306" spans="1:19" x14ac:dyDescent="0.2">
      <c r="A1306" s="17">
        <v>1304</v>
      </c>
      <c r="B1306" s="17" t="s">
        <v>171</v>
      </c>
      <c r="C1306" s="17" t="s">
        <v>338</v>
      </c>
      <c r="D1306" s="17" t="s">
        <v>69</v>
      </c>
      <c r="E1306" s="17" t="s">
        <v>95</v>
      </c>
      <c r="F1306" s="17" t="s">
        <v>422</v>
      </c>
      <c r="G1306" s="17" t="s">
        <v>435</v>
      </c>
      <c r="H1306" s="30">
        <v>8963</v>
      </c>
      <c r="I1306" s="30">
        <v>5670</v>
      </c>
      <c r="J1306" s="30">
        <v>12240</v>
      </c>
      <c r="K1306" s="30">
        <v>12484</v>
      </c>
      <c r="L1306" s="30">
        <v>12571</v>
      </c>
      <c r="M1306" s="31">
        <f t="shared" si="100"/>
        <v>6570</v>
      </c>
      <c r="N1306" s="32">
        <f t="shared" si="101"/>
        <v>1.1587301587301588</v>
      </c>
      <c r="O1306" s="6" t="str">
        <f>IF(ABS(M1306)&lt;Overview!$B$6,"OK",IF(I1306=0,"REVIEW (zero base)",IF(ABS(M1306/ABS(I1306))&gt;=Overview!$B$5,"REVIEW","OK")))</f>
        <v>OK</v>
      </c>
      <c r="P1306" s="31">
        <f t="shared" si="102"/>
        <v>244</v>
      </c>
      <c r="Q1306" s="32">
        <f t="shared" si="103"/>
        <v>1.9934640522875816E-2</v>
      </c>
      <c r="R1306" s="6" t="str">
        <f>IF(ABS(P1306)&lt;Overview!$B$6,"OK",IF(J1306=0,"REVIEW (zero base)",IF(ABS(P1306/ABS(J1306))&gt;=Overview!$B$5,"REVIEW","OK")))</f>
        <v>OK</v>
      </c>
      <c r="S1306" s="33">
        <f t="shared" si="104"/>
        <v>6570.0013060000001</v>
      </c>
    </row>
    <row r="1307" spans="1:19" x14ac:dyDescent="0.2">
      <c r="A1307" s="17">
        <v>1305</v>
      </c>
      <c r="B1307" s="17" t="s">
        <v>171</v>
      </c>
      <c r="C1307" s="17" t="s">
        <v>338</v>
      </c>
      <c r="D1307" s="17" t="s">
        <v>69</v>
      </c>
      <c r="E1307" s="17" t="s">
        <v>95</v>
      </c>
      <c r="F1307" s="17" t="s">
        <v>384</v>
      </c>
      <c r="G1307" s="17" t="s">
        <v>426</v>
      </c>
      <c r="H1307" s="30">
        <v>22051</v>
      </c>
      <c r="I1307" s="30">
        <v>17385</v>
      </c>
      <c r="J1307" s="30">
        <v>25000</v>
      </c>
      <c r="K1307" s="30">
        <v>25000</v>
      </c>
      <c r="L1307" s="30">
        <v>25000</v>
      </c>
      <c r="M1307" s="31">
        <f t="shared" si="100"/>
        <v>7615</v>
      </c>
      <c r="N1307" s="32">
        <f t="shared" si="101"/>
        <v>0.43802128271498419</v>
      </c>
      <c r="O1307" s="6" t="str">
        <f>IF(ABS(M1307)&lt;Overview!$B$6,"OK",IF(I1307=0,"REVIEW (zero base)",IF(ABS(M1307/ABS(I1307))&gt;=Overview!$B$5,"REVIEW","OK")))</f>
        <v>OK</v>
      </c>
      <c r="P1307" s="31">
        <f t="shared" si="102"/>
        <v>0</v>
      </c>
      <c r="Q1307" s="32">
        <f t="shared" si="103"/>
        <v>0</v>
      </c>
      <c r="R1307" s="6" t="str">
        <f>IF(ABS(P1307)&lt;Overview!$B$6,"OK",IF(J1307=0,"REVIEW (zero base)",IF(ABS(P1307/ABS(J1307))&gt;=Overview!$B$5,"REVIEW","OK")))</f>
        <v>OK</v>
      </c>
      <c r="S1307" s="33">
        <f t="shared" si="104"/>
        <v>7615.0013070000005</v>
      </c>
    </row>
    <row r="1308" spans="1:19" x14ac:dyDescent="0.2">
      <c r="A1308" s="17">
        <v>1306</v>
      </c>
      <c r="B1308" s="17" t="s">
        <v>171</v>
      </c>
      <c r="C1308" s="17" t="s">
        <v>338</v>
      </c>
      <c r="D1308" s="17" t="s">
        <v>69</v>
      </c>
      <c r="E1308" s="17" t="s">
        <v>95</v>
      </c>
      <c r="F1308" s="17" t="s">
        <v>384</v>
      </c>
      <c r="G1308" s="17" t="s">
        <v>478</v>
      </c>
      <c r="H1308" s="30">
        <v>0</v>
      </c>
      <c r="I1308" s="30">
        <v>0</v>
      </c>
      <c r="J1308" s="30">
        <v>0</v>
      </c>
      <c r="K1308" s="30">
        <v>500</v>
      </c>
      <c r="L1308" s="30">
        <v>504</v>
      </c>
      <c r="M1308" s="31">
        <f t="shared" si="100"/>
        <v>0</v>
      </c>
      <c r="N1308" s="32" t="str">
        <f t="shared" si="101"/>
        <v>n/a</v>
      </c>
      <c r="O1308" s="6" t="str">
        <f>IF(ABS(M1308)&lt;Overview!$B$6,"OK",IF(I1308=0,"REVIEW (zero base)",IF(ABS(M1308/ABS(I1308))&gt;=Overview!$B$5,"REVIEW","OK")))</f>
        <v>OK</v>
      </c>
      <c r="P1308" s="31">
        <f t="shared" si="102"/>
        <v>500</v>
      </c>
      <c r="Q1308" s="32" t="str">
        <f t="shared" si="103"/>
        <v>n/a</v>
      </c>
      <c r="R1308" s="6" t="str">
        <f>IF(ABS(P1308)&lt;Overview!$B$6,"OK",IF(J1308=0,"REVIEW (zero base)",IF(ABS(P1308/ABS(J1308))&gt;=Overview!$B$5,"REVIEW","OK")))</f>
        <v>OK</v>
      </c>
      <c r="S1308" s="33">
        <f t="shared" si="104"/>
        <v>1.3079999999999999E-3</v>
      </c>
    </row>
    <row r="1309" spans="1:19" x14ac:dyDescent="0.2">
      <c r="A1309" s="17">
        <v>1307</v>
      </c>
      <c r="B1309" s="17" t="s">
        <v>171</v>
      </c>
      <c r="C1309" s="17" t="s">
        <v>338</v>
      </c>
      <c r="D1309" s="17" t="s">
        <v>69</v>
      </c>
      <c r="E1309" s="17" t="s">
        <v>95</v>
      </c>
      <c r="F1309" s="17" t="s">
        <v>409</v>
      </c>
      <c r="G1309" s="17" t="s">
        <v>410</v>
      </c>
      <c r="H1309" s="30">
        <v>59616</v>
      </c>
      <c r="I1309" s="30">
        <v>31241</v>
      </c>
      <c r="J1309" s="30">
        <v>212628</v>
      </c>
      <c r="K1309" s="30">
        <v>250928</v>
      </c>
      <c r="L1309" s="30">
        <v>252684</v>
      </c>
      <c r="M1309" s="31">
        <f t="shared" si="100"/>
        <v>181387</v>
      </c>
      <c r="N1309" s="32">
        <f t="shared" si="101"/>
        <v>5.8060561441695206</v>
      </c>
      <c r="O1309" s="6" t="str">
        <f>IF(ABS(M1309)&lt;Overview!$B$6,"OK",IF(I1309=0,"REVIEW (zero base)",IF(ABS(M1309/ABS(I1309))&gt;=Overview!$B$5,"REVIEW","OK")))</f>
        <v>OK</v>
      </c>
      <c r="P1309" s="31">
        <f t="shared" si="102"/>
        <v>38300</v>
      </c>
      <c r="Q1309" s="32">
        <f t="shared" si="103"/>
        <v>0.18012679421336794</v>
      </c>
      <c r="R1309" s="6" t="str">
        <f>IF(ABS(P1309)&lt;Overview!$B$6,"OK",IF(J1309=0,"REVIEW (zero base)",IF(ABS(P1309/ABS(J1309))&gt;=Overview!$B$5,"REVIEW","OK")))</f>
        <v>OK</v>
      </c>
      <c r="S1309" s="33">
        <f t="shared" si="104"/>
        <v>181387.00130900001</v>
      </c>
    </row>
    <row r="1310" spans="1:19" x14ac:dyDescent="0.2">
      <c r="A1310" s="17">
        <v>1308</v>
      </c>
      <c r="B1310" s="17" t="s">
        <v>171</v>
      </c>
      <c r="C1310" s="17" t="s">
        <v>338</v>
      </c>
      <c r="D1310" s="17" t="s">
        <v>69</v>
      </c>
      <c r="E1310" s="17" t="s">
        <v>95</v>
      </c>
      <c r="F1310" s="17" t="s">
        <v>347</v>
      </c>
      <c r="G1310" s="17" t="s">
        <v>348</v>
      </c>
      <c r="H1310" s="30">
        <v>25346</v>
      </c>
      <c r="I1310" s="30">
        <v>19372</v>
      </c>
      <c r="J1310" s="30">
        <v>15000</v>
      </c>
      <c r="K1310" s="30">
        <v>500</v>
      </c>
      <c r="L1310" s="30">
        <v>504</v>
      </c>
      <c r="M1310" s="31">
        <f t="shared" si="100"/>
        <v>-4372</v>
      </c>
      <c r="N1310" s="32">
        <f t="shared" si="101"/>
        <v>-0.22568655791864548</v>
      </c>
      <c r="O1310" s="6" t="str">
        <f>IF(ABS(M1310)&lt;Overview!$B$6,"OK",IF(I1310=0,"REVIEW (zero base)",IF(ABS(M1310/ABS(I1310))&gt;=Overview!$B$5,"REVIEW","OK")))</f>
        <v>OK</v>
      </c>
      <c r="P1310" s="31">
        <f t="shared" si="102"/>
        <v>-14500</v>
      </c>
      <c r="Q1310" s="32">
        <f t="shared" si="103"/>
        <v>-0.96666666666666667</v>
      </c>
      <c r="R1310" s="6" t="str">
        <f>IF(ABS(P1310)&lt;Overview!$B$6,"OK",IF(J1310=0,"REVIEW (zero base)",IF(ABS(P1310/ABS(J1310))&gt;=Overview!$B$5,"REVIEW","OK")))</f>
        <v>OK</v>
      </c>
      <c r="S1310" s="33">
        <f t="shared" si="104"/>
        <v>4372.0013099999996</v>
      </c>
    </row>
    <row r="1311" spans="1:19" x14ac:dyDescent="0.2">
      <c r="A1311" s="17">
        <v>1309</v>
      </c>
      <c r="B1311" s="17" t="s">
        <v>171</v>
      </c>
      <c r="C1311" s="17" t="s">
        <v>338</v>
      </c>
      <c r="D1311" s="17" t="s">
        <v>69</v>
      </c>
      <c r="E1311" s="17" t="s">
        <v>95</v>
      </c>
      <c r="F1311" s="17" t="s">
        <v>386</v>
      </c>
      <c r="G1311" s="17" t="s">
        <v>413</v>
      </c>
      <c r="H1311" s="30">
        <v>0</v>
      </c>
      <c r="I1311" s="30">
        <v>0</v>
      </c>
      <c r="J1311" s="30">
        <v>0</v>
      </c>
      <c r="K1311" s="30">
        <v>8700</v>
      </c>
      <c r="L1311" s="30">
        <v>8761</v>
      </c>
      <c r="M1311" s="31">
        <f t="shared" si="100"/>
        <v>0</v>
      </c>
      <c r="N1311" s="32" t="str">
        <f t="shared" si="101"/>
        <v>n/a</v>
      </c>
      <c r="O1311" s="6" t="str">
        <f>IF(ABS(M1311)&lt;Overview!$B$6,"OK",IF(I1311=0,"REVIEW (zero base)",IF(ABS(M1311/ABS(I1311))&gt;=Overview!$B$5,"REVIEW","OK")))</f>
        <v>OK</v>
      </c>
      <c r="P1311" s="31">
        <f t="shared" si="102"/>
        <v>8700</v>
      </c>
      <c r="Q1311" s="32" t="str">
        <f t="shared" si="103"/>
        <v>n/a</v>
      </c>
      <c r="R1311" s="6" t="str">
        <f>IF(ABS(P1311)&lt;Overview!$B$6,"OK",IF(J1311=0,"REVIEW (zero base)",IF(ABS(P1311/ABS(J1311))&gt;=Overview!$B$5,"REVIEW","OK")))</f>
        <v>OK</v>
      </c>
      <c r="S1311" s="33">
        <f t="shared" si="104"/>
        <v>1.3110000000000001E-3</v>
      </c>
    </row>
    <row r="1312" spans="1:19" x14ac:dyDescent="0.2">
      <c r="A1312" s="17">
        <v>1310</v>
      </c>
      <c r="B1312" s="17" t="s">
        <v>171</v>
      </c>
      <c r="C1312" s="17" t="s">
        <v>338</v>
      </c>
      <c r="D1312" s="17" t="s">
        <v>69</v>
      </c>
      <c r="E1312" s="17" t="s">
        <v>95</v>
      </c>
      <c r="F1312" s="17" t="s">
        <v>386</v>
      </c>
      <c r="G1312" s="17" t="s">
        <v>387</v>
      </c>
      <c r="H1312" s="30">
        <v>590</v>
      </c>
      <c r="I1312" s="30">
        <v>210</v>
      </c>
      <c r="J1312" s="30">
        <v>0</v>
      </c>
      <c r="K1312" s="30">
        <v>0</v>
      </c>
      <c r="L1312" s="30">
        <v>0</v>
      </c>
      <c r="M1312" s="31">
        <f t="shared" si="100"/>
        <v>-210</v>
      </c>
      <c r="N1312" s="32">
        <f t="shared" si="101"/>
        <v>-1</v>
      </c>
      <c r="O1312" s="6" t="str">
        <f>IF(ABS(M1312)&lt;Overview!$B$6,"OK",IF(I1312=0,"REVIEW (zero base)",IF(ABS(M1312/ABS(I1312))&gt;=Overview!$B$5,"REVIEW","OK")))</f>
        <v>OK</v>
      </c>
      <c r="P1312" s="31">
        <f t="shared" si="102"/>
        <v>0</v>
      </c>
      <c r="Q1312" s="32" t="str">
        <f t="shared" si="103"/>
        <v>n/a</v>
      </c>
      <c r="R1312" s="6" t="str">
        <f>IF(ABS(P1312)&lt;Overview!$B$6,"OK",IF(J1312=0,"REVIEW (zero base)",IF(ABS(P1312/ABS(J1312))&gt;=Overview!$B$5,"REVIEW","OK")))</f>
        <v>OK</v>
      </c>
      <c r="S1312" s="33">
        <f t="shared" si="104"/>
        <v>210.00131200000001</v>
      </c>
    </row>
    <row r="1313" spans="1:19" x14ac:dyDescent="0.2">
      <c r="A1313" s="17">
        <v>1311</v>
      </c>
      <c r="B1313" s="17" t="s">
        <v>171</v>
      </c>
      <c r="C1313" s="17" t="s">
        <v>338</v>
      </c>
      <c r="D1313" s="17" t="s">
        <v>64</v>
      </c>
      <c r="E1313" s="17" t="s">
        <v>90</v>
      </c>
      <c r="F1313" s="17" t="s">
        <v>339</v>
      </c>
      <c r="G1313" s="17" t="s">
        <v>340</v>
      </c>
      <c r="H1313" s="30">
        <v>1000169</v>
      </c>
      <c r="I1313" s="30">
        <v>1050481</v>
      </c>
      <c r="J1313" s="30">
        <v>1295364</v>
      </c>
      <c r="K1313" s="30">
        <v>1535506</v>
      </c>
      <c r="L1313" s="30">
        <v>1550861</v>
      </c>
      <c r="M1313" s="31">
        <f t="shared" si="100"/>
        <v>244883</v>
      </c>
      <c r="N1313" s="32">
        <f t="shared" si="101"/>
        <v>0.23311511583741162</v>
      </c>
      <c r="O1313" s="6" t="str">
        <f>IF(ABS(M1313)&lt;Overview!$B$6,"OK",IF(I1313=0,"REVIEW (zero base)",IF(ABS(M1313/ABS(I1313))&gt;=Overview!$B$5,"REVIEW","OK")))</f>
        <v>OK</v>
      </c>
      <c r="P1313" s="31">
        <f t="shared" si="102"/>
        <v>240142</v>
      </c>
      <c r="Q1313" s="32">
        <f t="shared" si="103"/>
        <v>0.18538572941659642</v>
      </c>
      <c r="R1313" s="6" t="str">
        <f>IF(ABS(P1313)&lt;Overview!$B$6,"OK",IF(J1313=0,"REVIEW (zero base)",IF(ABS(P1313/ABS(J1313))&gt;=Overview!$B$5,"REVIEW","OK")))</f>
        <v>OK</v>
      </c>
      <c r="S1313" s="33">
        <f t="shared" si="104"/>
        <v>244883.00131299999</v>
      </c>
    </row>
    <row r="1314" spans="1:19" x14ac:dyDescent="0.2">
      <c r="A1314" s="17">
        <v>1312</v>
      </c>
      <c r="B1314" s="17" t="s">
        <v>171</v>
      </c>
      <c r="C1314" s="17" t="s">
        <v>338</v>
      </c>
      <c r="D1314" s="17" t="s">
        <v>64</v>
      </c>
      <c r="E1314" s="17" t="s">
        <v>90</v>
      </c>
      <c r="F1314" s="17" t="s">
        <v>339</v>
      </c>
      <c r="G1314" s="17" t="s">
        <v>389</v>
      </c>
      <c r="H1314" s="30">
        <v>0</v>
      </c>
      <c r="I1314" s="30">
        <v>0</v>
      </c>
      <c r="J1314" s="30">
        <v>10000</v>
      </c>
      <c r="K1314" s="30">
        <v>10000</v>
      </c>
      <c r="L1314" s="30">
        <v>10000</v>
      </c>
      <c r="M1314" s="31">
        <f t="shared" si="100"/>
        <v>10000</v>
      </c>
      <c r="N1314" s="32" t="str">
        <f t="shared" si="101"/>
        <v>n/a</v>
      </c>
      <c r="O1314" s="6" t="str">
        <f>IF(ABS(M1314)&lt;Overview!$B$6,"OK",IF(I1314=0,"REVIEW (zero base)",IF(ABS(M1314/ABS(I1314))&gt;=Overview!$B$5,"REVIEW","OK")))</f>
        <v>OK</v>
      </c>
      <c r="P1314" s="31">
        <f t="shared" si="102"/>
        <v>0</v>
      </c>
      <c r="Q1314" s="32">
        <f t="shared" si="103"/>
        <v>0</v>
      </c>
      <c r="R1314" s="6" t="str">
        <f>IF(ABS(P1314)&lt;Overview!$B$6,"OK",IF(J1314=0,"REVIEW (zero base)",IF(ABS(P1314/ABS(J1314))&gt;=Overview!$B$5,"REVIEW","OK")))</f>
        <v>OK</v>
      </c>
      <c r="S1314" s="33">
        <f t="shared" si="104"/>
        <v>10000.001313999999</v>
      </c>
    </row>
    <row r="1315" spans="1:19" x14ac:dyDescent="0.2">
      <c r="A1315" s="17">
        <v>1313</v>
      </c>
      <c r="B1315" s="17" t="s">
        <v>171</v>
      </c>
      <c r="C1315" s="17" t="s">
        <v>338</v>
      </c>
      <c r="D1315" s="17" t="s">
        <v>64</v>
      </c>
      <c r="E1315" s="17" t="s">
        <v>90</v>
      </c>
      <c r="F1315" s="17" t="s">
        <v>339</v>
      </c>
      <c r="G1315" s="17" t="s">
        <v>390</v>
      </c>
      <c r="H1315" s="30">
        <v>14294</v>
      </c>
      <c r="I1315" s="30">
        <v>12340</v>
      </c>
      <c r="J1315" s="30">
        <v>9960</v>
      </c>
      <c r="K1315" s="30">
        <v>12000</v>
      </c>
      <c r="L1315" s="30">
        <v>12000</v>
      </c>
      <c r="M1315" s="31">
        <f t="shared" si="100"/>
        <v>-2380</v>
      </c>
      <c r="N1315" s="32">
        <f t="shared" si="101"/>
        <v>-0.19286871961102106</v>
      </c>
      <c r="O1315" s="6" t="str">
        <f>IF(ABS(M1315)&lt;Overview!$B$6,"OK",IF(I1315=0,"REVIEW (zero base)",IF(ABS(M1315/ABS(I1315))&gt;=Overview!$B$5,"REVIEW","OK")))</f>
        <v>OK</v>
      </c>
      <c r="P1315" s="31">
        <f t="shared" si="102"/>
        <v>2040</v>
      </c>
      <c r="Q1315" s="32">
        <f t="shared" si="103"/>
        <v>0.20481927710843373</v>
      </c>
      <c r="R1315" s="6" t="str">
        <f>IF(ABS(P1315)&lt;Overview!$B$6,"OK",IF(J1315=0,"REVIEW (zero base)",IF(ABS(P1315/ABS(J1315))&gt;=Overview!$B$5,"REVIEW","OK")))</f>
        <v>OK</v>
      </c>
      <c r="S1315" s="33">
        <f t="shared" si="104"/>
        <v>2380.001315</v>
      </c>
    </row>
    <row r="1316" spans="1:19" x14ac:dyDescent="0.2">
      <c r="A1316" s="17">
        <v>1314</v>
      </c>
      <c r="B1316" s="17" t="s">
        <v>171</v>
      </c>
      <c r="C1316" s="17" t="s">
        <v>338</v>
      </c>
      <c r="D1316" s="17" t="s">
        <v>64</v>
      </c>
      <c r="E1316" s="17" t="s">
        <v>90</v>
      </c>
      <c r="F1316" s="17" t="s">
        <v>339</v>
      </c>
      <c r="G1316" s="17" t="s">
        <v>391</v>
      </c>
      <c r="H1316" s="30">
        <v>46403</v>
      </c>
      <c r="I1316" s="30">
        <v>38033</v>
      </c>
      <c r="J1316" s="30">
        <v>0</v>
      </c>
      <c r="K1316" s="30">
        <v>0</v>
      </c>
      <c r="L1316" s="30">
        <v>0</v>
      </c>
      <c r="M1316" s="31">
        <f t="shared" si="100"/>
        <v>-38033</v>
      </c>
      <c r="N1316" s="32">
        <f t="shared" si="101"/>
        <v>-1</v>
      </c>
      <c r="O1316" s="6" t="str">
        <f>IF(ABS(M1316)&lt;Overview!$B$6,"OK",IF(I1316=0,"REVIEW (zero base)",IF(ABS(M1316/ABS(I1316))&gt;=Overview!$B$5,"REVIEW","OK")))</f>
        <v>OK</v>
      </c>
      <c r="P1316" s="31">
        <f t="shared" si="102"/>
        <v>0</v>
      </c>
      <c r="Q1316" s="32" t="str">
        <f t="shared" si="103"/>
        <v>n/a</v>
      </c>
      <c r="R1316" s="6" t="str">
        <f>IF(ABS(P1316)&lt;Overview!$B$6,"OK",IF(J1316=0,"REVIEW (zero base)",IF(ABS(P1316/ABS(J1316))&gt;=Overview!$B$5,"REVIEW","OK")))</f>
        <v>OK</v>
      </c>
      <c r="S1316" s="33">
        <f t="shared" si="104"/>
        <v>38033.001316000002</v>
      </c>
    </row>
    <row r="1317" spans="1:19" x14ac:dyDescent="0.2">
      <c r="A1317" s="17">
        <v>1315</v>
      </c>
      <c r="B1317" s="17" t="s">
        <v>171</v>
      </c>
      <c r="C1317" s="17" t="s">
        <v>338</v>
      </c>
      <c r="D1317" s="17" t="s">
        <v>64</v>
      </c>
      <c r="E1317" s="17" t="s">
        <v>90</v>
      </c>
      <c r="F1317" s="17" t="s">
        <v>339</v>
      </c>
      <c r="G1317" s="17" t="s">
        <v>392</v>
      </c>
      <c r="H1317" s="30">
        <v>88887</v>
      </c>
      <c r="I1317" s="30">
        <v>47747</v>
      </c>
      <c r="J1317" s="30">
        <v>0</v>
      </c>
      <c r="K1317" s="30">
        <v>0</v>
      </c>
      <c r="L1317" s="30">
        <v>0</v>
      </c>
      <c r="M1317" s="31">
        <f t="shared" si="100"/>
        <v>-47747</v>
      </c>
      <c r="N1317" s="32">
        <f t="shared" si="101"/>
        <v>-1</v>
      </c>
      <c r="O1317" s="6" t="str">
        <f>IF(ABS(M1317)&lt;Overview!$B$6,"OK",IF(I1317=0,"REVIEW (zero base)",IF(ABS(M1317/ABS(I1317))&gt;=Overview!$B$5,"REVIEW","OK")))</f>
        <v>OK</v>
      </c>
      <c r="P1317" s="31">
        <f t="shared" si="102"/>
        <v>0</v>
      </c>
      <c r="Q1317" s="32" t="str">
        <f t="shared" si="103"/>
        <v>n/a</v>
      </c>
      <c r="R1317" s="6" t="str">
        <f>IF(ABS(P1317)&lt;Overview!$B$6,"OK",IF(J1317=0,"REVIEW (zero base)",IF(ABS(P1317/ABS(J1317))&gt;=Overview!$B$5,"REVIEW","OK")))</f>
        <v>OK</v>
      </c>
      <c r="S1317" s="33">
        <f t="shared" si="104"/>
        <v>47747.001317000002</v>
      </c>
    </row>
    <row r="1318" spans="1:19" x14ac:dyDescent="0.2">
      <c r="A1318" s="17">
        <v>1316</v>
      </c>
      <c r="B1318" s="17" t="s">
        <v>171</v>
      </c>
      <c r="C1318" s="17" t="s">
        <v>338</v>
      </c>
      <c r="D1318" s="17" t="s">
        <v>64</v>
      </c>
      <c r="E1318" s="17" t="s">
        <v>90</v>
      </c>
      <c r="F1318" s="17" t="s">
        <v>339</v>
      </c>
      <c r="G1318" s="17" t="s">
        <v>393</v>
      </c>
      <c r="H1318" s="30">
        <v>0</v>
      </c>
      <c r="I1318" s="30">
        <v>7392</v>
      </c>
      <c r="J1318" s="30">
        <v>0</v>
      </c>
      <c r="K1318" s="30">
        <v>0</v>
      </c>
      <c r="L1318" s="30">
        <v>0</v>
      </c>
      <c r="M1318" s="31">
        <f t="shared" si="100"/>
        <v>-7392</v>
      </c>
      <c r="N1318" s="32">
        <f t="shared" si="101"/>
        <v>-1</v>
      </c>
      <c r="O1318" s="6" t="str">
        <f>IF(ABS(M1318)&lt;Overview!$B$6,"OK",IF(I1318=0,"REVIEW (zero base)",IF(ABS(M1318/ABS(I1318))&gt;=Overview!$B$5,"REVIEW","OK")))</f>
        <v>OK</v>
      </c>
      <c r="P1318" s="31">
        <f t="shared" si="102"/>
        <v>0</v>
      </c>
      <c r="Q1318" s="32" t="str">
        <f t="shared" si="103"/>
        <v>n/a</v>
      </c>
      <c r="R1318" s="6" t="str">
        <f>IF(ABS(P1318)&lt;Overview!$B$6,"OK",IF(J1318=0,"REVIEW (zero base)",IF(ABS(P1318/ABS(J1318))&gt;=Overview!$B$5,"REVIEW","OK")))</f>
        <v>OK</v>
      </c>
      <c r="S1318" s="33">
        <f t="shared" si="104"/>
        <v>7392.0013179999996</v>
      </c>
    </row>
    <row r="1319" spans="1:19" x14ac:dyDescent="0.2">
      <c r="A1319" s="17">
        <v>1317</v>
      </c>
      <c r="B1319" s="17" t="s">
        <v>171</v>
      </c>
      <c r="C1319" s="17" t="s">
        <v>338</v>
      </c>
      <c r="D1319" s="17" t="s">
        <v>64</v>
      </c>
      <c r="E1319" s="17" t="s">
        <v>90</v>
      </c>
      <c r="F1319" s="17" t="s">
        <v>339</v>
      </c>
      <c r="G1319" s="17" t="s">
        <v>394</v>
      </c>
      <c r="H1319" s="30">
        <v>78597</v>
      </c>
      <c r="I1319" s="30">
        <v>75060</v>
      </c>
      <c r="J1319" s="30">
        <v>0</v>
      </c>
      <c r="K1319" s="30">
        <v>0</v>
      </c>
      <c r="L1319" s="30">
        <v>0</v>
      </c>
      <c r="M1319" s="31">
        <f t="shared" si="100"/>
        <v>-75060</v>
      </c>
      <c r="N1319" s="32">
        <f t="shared" si="101"/>
        <v>-1</v>
      </c>
      <c r="O1319" s="6" t="str">
        <f>IF(ABS(M1319)&lt;Overview!$B$6,"OK",IF(I1319=0,"REVIEW (zero base)",IF(ABS(M1319/ABS(I1319))&gt;=Overview!$B$5,"REVIEW","OK")))</f>
        <v>OK</v>
      </c>
      <c r="P1319" s="31">
        <f t="shared" si="102"/>
        <v>0</v>
      </c>
      <c r="Q1319" s="32" t="str">
        <f t="shared" si="103"/>
        <v>n/a</v>
      </c>
      <c r="R1319" s="6" t="str">
        <f>IF(ABS(P1319)&lt;Overview!$B$6,"OK",IF(J1319=0,"REVIEW (zero base)",IF(ABS(P1319/ABS(J1319))&gt;=Overview!$B$5,"REVIEW","OK")))</f>
        <v>OK</v>
      </c>
      <c r="S1319" s="33">
        <f t="shared" si="104"/>
        <v>75060.001319000003</v>
      </c>
    </row>
    <row r="1320" spans="1:19" x14ac:dyDescent="0.2">
      <c r="A1320" s="17">
        <v>1318</v>
      </c>
      <c r="B1320" s="17" t="s">
        <v>171</v>
      </c>
      <c r="C1320" s="17" t="s">
        <v>338</v>
      </c>
      <c r="D1320" s="17" t="s">
        <v>64</v>
      </c>
      <c r="E1320" s="17" t="s">
        <v>90</v>
      </c>
      <c r="F1320" s="17" t="s">
        <v>339</v>
      </c>
      <c r="G1320" s="17" t="s">
        <v>395</v>
      </c>
      <c r="H1320" s="30">
        <v>22742</v>
      </c>
      <c r="I1320" s="30">
        <v>22774</v>
      </c>
      <c r="J1320" s="30">
        <v>24893</v>
      </c>
      <c r="K1320" s="30">
        <v>26743</v>
      </c>
      <c r="L1320" s="30">
        <v>27010</v>
      </c>
      <c r="M1320" s="31">
        <f t="shared" si="100"/>
        <v>2119</v>
      </c>
      <c r="N1320" s="32">
        <f t="shared" si="101"/>
        <v>9.3044700096601388E-2</v>
      </c>
      <c r="O1320" s="6" t="str">
        <f>IF(ABS(M1320)&lt;Overview!$B$6,"OK",IF(I1320=0,"REVIEW (zero base)",IF(ABS(M1320/ABS(I1320))&gt;=Overview!$B$5,"REVIEW","OK")))</f>
        <v>OK</v>
      </c>
      <c r="P1320" s="31">
        <f t="shared" si="102"/>
        <v>1850</v>
      </c>
      <c r="Q1320" s="32">
        <f t="shared" si="103"/>
        <v>7.4318081388342103E-2</v>
      </c>
      <c r="R1320" s="6" t="str">
        <f>IF(ABS(P1320)&lt;Overview!$B$6,"OK",IF(J1320=0,"REVIEW (zero base)",IF(ABS(P1320/ABS(J1320))&gt;=Overview!$B$5,"REVIEW","OK")))</f>
        <v>OK</v>
      </c>
      <c r="S1320" s="33">
        <f t="shared" si="104"/>
        <v>2119.0013199999999</v>
      </c>
    </row>
    <row r="1321" spans="1:19" x14ac:dyDescent="0.2">
      <c r="A1321" s="17">
        <v>1319</v>
      </c>
      <c r="B1321" s="17" t="s">
        <v>171</v>
      </c>
      <c r="C1321" s="17" t="s">
        <v>338</v>
      </c>
      <c r="D1321" s="17" t="s">
        <v>64</v>
      </c>
      <c r="E1321" s="17" t="s">
        <v>90</v>
      </c>
      <c r="F1321" s="17" t="s">
        <v>339</v>
      </c>
      <c r="G1321" s="17" t="s">
        <v>424</v>
      </c>
      <c r="H1321" s="30">
        <v>1365</v>
      </c>
      <c r="I1321" s="30">
        <v>578</v>
      </c>
      <c r="J1321" s="30">
        <v>0</v>
      </c>
      <c r="K1321" s="30">
        <v>0</v>
      </c>
      <c r="L1321" s="30">
        <v>0</v>
      </c>
      <c r="M1321" s="31">
        <f t="shared" si="100"/>
        <v>-578</v>
      </c>
      <c r="N1321" s="32">
        <f t="shared" si="101"/>
        <v>-1</v>
      </c>
      <c r="O1321" s="6" t="str">
        <f>IF(ABS(M1321)&lt;Overview!$B$6,"OK",IF(I1321=0,"REVIEW (zero base)",IF(ABS(M1321/ABS(I1321))&gt;=Overview!$B$5,"REVIEW","OK")))</f>
        <v>OK</v>
      </c>
      <c r="P1321" s="31">
        <f t="shared" si="102"/>
        <v>0</v>
      </c>
      <c r="Q1321" s="32" t="str">
        <f t="shared" si="103"/>
        <v>n/a</v>
      </c>
      <c r="R1321" s="6" t="str">
        <f>IF(ABS(P1321)&lt;Overview!$B$6,"OK",IF(J1321=0,"REVIEW (zero base)",IF(ABS(P1321/ABS(J1321))&gt;=Overview!$B$5,"REVIEW","OK")))</f>
        <v>OK</v>
      </c>
      <c r="S1321" s="33">
        <f t="shared" si="104"/>
        <v>578.00132099999996</v>
      </c>
    </row>
    <row r="1322" spans="1:19" x14ac:dyDescent="0.2">
      <c r="A1322" s="17">
        <v>1320</v>
      </c>
      <c r="B1322" s="17" t="s">
        <v>171</v>
      </c>
      <c r="C1322" s="17" t="s">
        <v>338</v>
      </c>
      <c r="D1322" s="17" t="s">
        <v>64</v>
      </c>
      <c r="E1322" s="17" t="s">
        <v>90</v>
      </c>
      <c r="F1322" s="17" t="s">
        <v>341</v>
      </c>
      <c r="G1322" s="17" t="s">
        <v>342</v>
      </c>
      <c r="H1322" s="30">
        <v>17063</v>
      </c>
      <c r="I1322" s="30">
        <v>15057</v>
      </c>
      <c r="J1322" s="30">
        <v>19068</v>
      </c>
      <c r="K1322" s="30">
        <v>19068</v>
      </c>
      <c r="L1322" s="30">
        <v>19068</v>
      </c>
      <c r="M1322" s="31">
        <f t="shared" si="100"/>
        <v>4011</v>
      </c>
      <c r="N1322" s="32">
        <f t="shared" si="101"/>
        <v>0.26638772663877264</v>
      </c>
      <c r="O1322" s="6" t="str">
        <f>IF(ABS(M1322)&lt;Overview!$B$6,"OK",IF(I1322=0,"REVIEW (zero base)",IF(ABS(M1322/ABS(I1322))&gt;=Overview!$B$5,"REVIEW","OK")))</f>
        <v>OK</v>
      </c>
      <c r="P1322" s="31">
        <f t="shared" si="102"/>
        <v>0</v>
      </c>
      <c r="Q1322" s="32">
        <f t="shared" si="103"/>
        <v>0</v>
      </c>
      <c r="R1322" s="6" t="str">
        <f>IF(ABS(P1322)&lt;Overview!$B$6,"OK",IF(J1322=0,"REVIEW (zero base)",IF(ABS(P1322/ABS(J1322))&gt;=Overview!$B$5,"REVIEW","OK")))</f>
        <v>OK</v>
      </c>
      <c r="S1322" s="33">
        <f t="shared" si="104"/>
        <v>4011.0013220000001</v>
      </c>
    </row>
    <row r="1323" spans="1:19" x14ac:dyDescent="0.2">
      <c r="A1323" s="17">
        <v>1321</v>
      </c>
      <c r="B1323" s="17" t="s">
        <v>171</v>
      </c>
      <c r="C1323" s="17" t="s">
        <v>338</v>
      </c>
      <c r="D1323" s="17" t="s">
        <v>64</v>
      </c>
      <c r="E1323" s="17" t="s">
        <v>90</v>
      </c>
      <c r="F1323" s="17" t="s">
        <v>341</v>
      </c>
      <c r="G1323" s="17" t="s">
        <v>375</v>
      </c>
      <c r="H1323" s="30">
        <v>37977</v>
      </c>
      <c r="I1323" s="30">
        <v>46379</v>
      </c>
      <c r="J1323" s="30">
        <v>63700</v>
      </c>
      <c r="K1323" s="30">
        <v>63700</v>
      </c>
      <c r="L1323" s="30">
        <v>63700</v>
      </c>
      <c r="M1323" s="31">
        <f t="shared" si="100"/>
        <v>17321</v>
      </c>
      <c r="N1323" s="32">
        <f t="shared" si="101"/>
        <v>0.37346643955238362</v>
      </c>
      <c r="O1323" s="6" t="str">
        <f>IF(ABS(M1323)&lt;Overview!$B$6,"OK",IF(I1323=0,"REVIEW (zero base)",IF(ABS(M1323/ABS(I1323))&gt;=Overview!$B$5,"REVIEW","OK")))</f>
        <v>OK</v>
      </c>
      <c r="P1323" s="31">
        <f t="shared" si="102"/>
        <v>0</v>
      </c>
      <c r="Q1323" s="32">
        <f t="shared" si="103"/>
        <v>0</v>
      </c>
      <c r="R1323" s="6" t="str">
        <f>IF(ABS(P1323)&lt;Overview!$B$6,"OK",IF(J1323=0,"REVIEW (zero base)",IF(ABS(P1323/ABS(J1323))&gt;=Overview!$B$5,"REVIEW","OK")))</f>
        <v>OK</v>
      </c>
      <c r="S1323" s="33">
        <f t="shared" si="104"/>
        <v>17321.001323</v>
      </c>
    </row>
    <row r="1324" spans="1:19" x14ac:dyDescent="0.2">
      <c r="A1324" s="17">
        <v>1322</v>
      </c>
      <c r="B1324" s="17" t="s">
        <v>171</v>
      </c>
      <c r="C1324" s="17" t="s">
        <v>338</v>
      </c>
      <c r="D1324" s="17" t="s">
        <v>64</v>
      </c>
      <c r="E1324" s="17" t="s">
        <v>90</v>
      </c>
      <c r="F1324" s="17" t="s">
        <v>341</v>
      </c>
      <c r="G1324" s="17" t="s">
        <v>376</v>
      </c>
      <c r="H1324" s="30">
        <v>352101</v>
      </c>
      <c r="I1324" s="30">
        <v>362698</v>
      </c>
      <c r="J1324" s="30">
        <v>375349</v>
      </c>
      <c r="K1324" s="30">
        <v>377928</v>
      </c>
      <c r="L1324" s="30">
        <v>397694</v>
      </c>
      <c r="M1324" s="31">
        <f t="shared" si="100"/>
        <v>12651</v>
      </c>
      <c r="N1324" s="32">
        <f t="shared" si="101"/>
        <v>3.4880258507077516E-2</v>
      </c>
      <c r="O1324" s="6" t="str">
        <f>IF(ABS(M1324)&lt;Overview!$B$6,"OK",IF(I1324=0,"REVIEW (zero base)",IF(ABS(M1324/ABS(I1324))&gt;=Overview!$B$5,"REVIEW","OK")))</f>
        <v>OK</v>
      </c>
      <c r="P1324" s="31">
        <f t="shared" si="102"/>
        <v>2579</v>
      </c>
      <c r="Q1324" s="32">
        <f t="shared" si="103"/>
        <v>6.8709387796424132E-3</v>
      </c>
      <c r="R1324" s="6" t="str">
        <f>IF(ABS(P1324)&lt;Overview!$B$6,"OK",IF(J1324=0,"REVIEW (zero base)",IF(ABS(P1324/ABS(J1324))&gt;=Overview!$B$5,"REVIEW","OK")))</f>
        <v>OK</v>
      </c>
      <c r="S1324" s="33">
        <f t="shared" si="104"/>
        <v>12651.001324000001</v>
      </c>
    </row>
    <row r="1325" spans="1:19" x14ac:dyDescent="0.2">
      <c r="A1325" s="17">
        <v>1323</v>
      </c>
      <c r="B1325" s="17" t="s">
        <v>171</v>
      </c>
      <c r="C1325" s="17" t="s">
        <v>338</v>
      </c>
      <c r="D1325" s="17" t="s">
        <v>64</v>
      </c>
      <c r="E1325" s="17" t="s">
        <v>90</v>
      </c>
      <c r="F1325" s="17" t="s">
        <v>341</v>
      </c>
      <c r="G1325" s="17" t="s">
        <v>343</v>
      </c>
      <c r="H1325" s="30">
        <v>92670</v>
      </c>
      <c r="I1325" s="30">
        <v>92908</v>
      </c>
      <c r="J1325" s="30">
        <v>128860</v>
      </c>
      <c r="K1325" s="30">
        <v>121116</v>
      </c>
      <c r="L1325" s="30">
        <v>122327</v>
      </c>
      <c r="M1325" s="31">
        <f t="shared" si="100"/>
        <v>35952</v>
      </c>
      <c r="N1325" s="32">
        <f t="shared" si="101"/>
        <v>0.38696344771171481</v>
      </c>
      <c r="O1325" s="6" t="str">
        <f>IF(ABS(M1325)&lt;Overview!$B$6,"OK",IF(I1325=0,"REVIEW (zero base)",IF(ABS(M1325/ABS(I1325))&gt;=Overview!$B$5,"REVIEW","OK")))</f>
        <v>OK</v>
      </c>
      <c r="P1325" s="31">
        <f t="shared" si="102"/>
        <v>-7744</v>
      </c>
      <c r="Q1325" s="32">
        <f t="shared" si="103"/>
        <v>-6.0096228465000776E-2</v>
      </c>
      <c r="R1325" s="6" t="str">
        <f>IF(ABS(P1325)&lt;Overview!$B$6,"OK",IF(J1325=0,"REVIEW (zero base)",IF(ABS(P1325/ABS(J1325))&gt;=Overview!$B$5,"REVIEW","OK")))</f>
        <v>OK</v>
      </c>
      <c r="S1325" s="33">
        <f t="shared" si="104"/>
        <v>35952.001324999997</v>
      </c>
    </row>
    <row r="1326" spans="1:19" x14ac:dyDescent="0.2">
      <c r="A1326" s="17">
        <v>1324</v>
      </c>
      <c r="B1326" s="17" t="s">
        <v>171</v>
      </c>
      <c r="C1326" s="17" t="s">
        <v>338</v>
      </c>
      <c r="D1326" s="17" t="s">
        <v>64</v>
      </c>
      <c r="E1326" s="17" t="s">
        <v>90</v>
      </c>
      <c r="F1326" s="17" t="s">
        <v>341</v>
      </c>
      <c r="G1326" s="17" t="s">
        <v>378</v>
      </c>
      <c r="H1326" s="30">
        <v>29155</v>
      </c>
      <c r="I1326" s="30">
        <v>34969</v>
      </c>
      <c r="J1326" s="30">
        <v>48154</v>
      </c>
      <c r="K1326" s="30">
        <v>50960</v>
      </c>
      <c r="L1326" s="30">
        <v>53218</v>
      </c>
      <c r="M1326" s="31">
        <f t="shared" si="100"/>
        <v>13185</v>
      </c>
      <c r="N1326" s="32">
        <f t="shared" si="101"/>
        <v>0.37704824272927451</v>
      </c>
      <c r="O1326" s="6" t="str">
        <f>IF(ABS(M1326)&lt;Overview!$B$6,"OK",IF(I1326=0,"REVIEW (zero base)",IF(ABS(M1326/ABS(I1326))&gt;=Overview!$B$5,"REVIEW","OK")))</f>
        <v>OK</v>
      </c>
      <c r="P1326" s="31">
        <f t="shared" si="102"/>
        <v>2806</v>
      </c>
      <c r="Q1326" s="32">
        <f t="shared" si="103"/>
        <v>5.8271379324666694E-2</v>
      </c>
      <c r="R1326" s="6" t="str">
        <f>IF(ABS(P1326)&lt;Overview!$B$6,"OK",IF(J1326=0,"REVIEW (zero base)",IF(ABS(P1326/ABS(J1326))&gt;=Overview!$B$5,"REVIEW","OK")))</f>
        <v>OK</v>
      </c>
      <c r="S1326" s="33">
        <f t="shared" si="104"/>
        <v>13185.001326</v>
      </c>
    </row>
    <row r="1327" spans="1:19" x14ac:dyDescent="0.2">
      <c r="A1327" s="17">
        <v>1325</v>
      </c>
      <c r="B1327" s="17" t="s">
        <v>171</v>
      </c>
      <c r="C1327" s="17" t="s">
        <v>338</v>
      </c>
      <c r="D1327" s="17" t="s">
        <v>64</v>
      </c>
      <c r="E1327" s="17" t="s">
        <v>90</v>
      </c>
      <c r="F1327" s="17" t="s">
        <v>341</v>
      </c>
      <c r="G1327" s="17" t="s">
        <v>344</v>
      </c>
      <c r="H1327" s="30">
        <v>231927</v>
      </c>
      <c r="I1327" s="30">
        <v>203827</v>
      </c>
      <c r="J1327" s="30">
        <v>261153</v>
      </c>
      <c r="K1327" s="30">
        <v>299784</v>
      </c>
      <c r="L1327" s="30">
        <v>305780</v>
      </c>
      <c r="M1327" s="31">
        <f t="shared" si="100"/>
        <v>57326</v>
      </c>
      <c r="N1327" s="32">
        <f t="shared" si="101"/>
        <v>0.28124831352077989</v>
      </c>
      <c r="O1327" s="6" t="str">
        <f>IF(ABS(M1327)&lt;Overview!$B$6,"OK",IF(I1327=0,"REVIEW (zero base)",IF(ABS(M1327/ABS(I1327))&gt;=Overview!$B$5,"REVIEW","OK")))</f>
        <v>OK</v>
      </c>
      <c r="P1327" s="31">
        <f t="shared" si="102"/>
        <v>38631</v>
      </c>
      <c r="Q1327" s="32">
        <f t="shared" si="103"/>
        <v>0.1479247797268268</v>
      </c>
      <c r="R1327" s="6" t="str">
        <f>IF(ABS(P1327)&lt;Overview!$B$6,"OK",IF(J1327=0,"REVIEW (zero base)",IF(ABS(P1327/ABS(J1327))&gt;=Overview!$B$5,"REVIEW","OK")))</f>
        <v>OK</v>
      </c>
      <c r="S1327" s="33">
        <f t="shared" si="104"/>
        <v>57326.001326999998</v>
      </c>
    </row>
    <row r="1328" spans="1:19" x14ac:dyDescent="0.2">
      <c r="A1328" s="17">
        <v>1326</v>
      </c>
      <c r="B1328" s="17" t="s">
        <v>171</v>
      </c>
      <c r="C1328" s="17" t="s">
        <v>338</v>
      </c>
      <c r="D1328" s="17" t="s">
        <v>64</v>
      </c>
      <c r="E1328" s="17" t="s">
        <v>90</v>
      </c>
      <c r="F1328" s="17" t="s">
        <v>440</v>
      </c>
      <c r="G1328" s="17" t="s">
        <v>528</v>
      </c>
      <c r="H1328" s="30">
        <v>23540</v>
      </c>
      <c r="I1328" s="30">
        <v>39944</v>
      </c>
      <c r="J1328" s="30">
        <v>0</v>
      </c>
      <c r="K1328" s="30">
        <v>0</v>
      </c>
      <c r="L1328" s="30">
        <v>0</v>
      </c>
      <c r="M1328" s="31">
        <f t="shared" si="100"/>
        <v>-39944</v>
      </c>
      <c r="N1328" s="32">
        <f t="shared" si="101"/>
        <v>-1</v>
      </c>
      <c r="O1328" s="6" t="str">
        <f>IF(ABS(M1328)&lt;Overview!$B$6,"OK",IF(I1328=0,"REVIEW (zero base)",IF(ABS(M1328/ABS(I1328))&gt;=Overview!$B$5,"REVIEW","OK")))</f>
        <v>OK</v>
      </c>
      <c r="P1328" s="31">
        <f t="shared" si="102"/>
        <v>0</v>
      </c>
      <c r="Q1328" s="32" t="str">
        <f t="shared" si="103"/>
        <v>n/a</v>
      </c>
      <c r="R1328" s="6" t="str">
        <f>IF(ABS(P1328)&lt;Overview!$B$6,"OK",IF(J1328=0,"REVIEW (zero base)",IF(ABS(P1328/ABS(J1328))&gt;=Overview!$B$5,"REVIEW","OK")))</f>
        <v>OK</v>
      </c>
      <c r="S1328" s="33">
        <f t="shared" si="104"/>
        <v>39944.001327999998</v>
      </c>
    </row>
    <row r="1329" spans="1:19" x14ac:dyDescent="0.2">
      <c r="A1329" s="17">
        <v>1327</v>
      </c>
      <c r="B1329" s="17" t="s">
        <v>171</v>
      </c>
      <c r="C1329" s="17" t="s">
        <v>338</v>
      </c>
      <c r="D1329" s="17" t="s">
        <v>64</v>
      </c>
      <c r="E1329" s="17" t="s">
        <v>90</v>
      </c>
      <c r="F1329" s="17" t="s">
        <v>364</v>
      </c>
      <c r="G1329" s="17" t="s">
        <v>383</v>
      </c>
      <c r="H1329" s="30">
        <v>1904</v>
      </c>
      <c r="I1329" s="30">
        <v>46</v>
      </c>
      <c r="J1329" s="30">
        <v>0</v>
      </c>
      <c r="K1329" s="30">
        <v>0</v>
      </c>
      <c r="L1329" s="30">
        <v>0</v>
      </c>
      <c r="M1329" s="31">
        <f t="shared" si="100"/>
        <v>-46</v>
      </c>
      <c r="N1329" s="32">
        <f t="shared" si="101"/>
        <v>-1</v>
      </c>
      <c r="O1329" s="6" t="str">
        <f>IF(ABS(M1329)&lt;Overview!$B$6,"OK",IF(I1329=0,"REVIEW (zero base)",IF(ABS(M1329/ABS(I1329))&gt;=Overview!$B$5,"REVIEW","OK")))</f>
        <v>OK</v>
      </c>
      <c r="P1329" s="31">
        <f t="shared" si="102"/>
        <v>0</v>
      </c>
      <c r="Q1329" s="32" t="str">
        <f t="shared" si="103"/>
        <v>n/a</v>
      </c>
      <c r="R1329" s="6" t="str">
        <f>IF(ABS(P1329)&lt;Overview!$B$6,"OK",IF(J1329=0,"REVIEW (zero base)",IF(ABS(P1329/ABS(J1329))&gt;=Overview!$B$5,"REVIEW","OK")))</f>
        <v>OK</v>
      </c>
      <c r="S1329" s="33">
        <f t="shared" si="104"/>
        <v>46.001328999999998</v>
      </c>
    </row>
    <row r="1330" spans="1:19" x14ac:dyDescent="0.2">
      <c r="A1330" s="17">
        <v>1328</v>
      </c>
      <c r="B1330" s="17" t="s">
        <v>171</v>
      </c>
      <c r="C1330" s="17" t="s">
        <v>338</v>
      </c>
      <c r="D1330" s="17" t="s">
        <v>64</v>
      </c>
      <c r="E1330" s="17" t="s">
        <v>90</v>
      </c>
      <c r="F1330" s="17" t="s">
        <v>360</v>
      </c>
      <c r="G1330" s="17" t="s">
        <v>328</v>
      </c>
      <c r="H1330" s="30">
        <v>46384</v>
      </c>
      <c r="I1330" s="30">
        <v>51184</v>
      </c>
      <c r="J1330" s="30">
        <v>60000</v>
      </c>
      <c r="K1330" s="30">
        <v>50000</v>
      </c>
      <c r="L1330" s="30">
        <v>50350</v>
      </c>
      <c r="M1330" s="31">
        <f t="shared" si="100"/>
        <v>8816</v>
      </c>
      <c r="N1330" s="32">
        <f t="shared" si="101"/>
        <v>0.17224132541419193</v>
      </c>
      <c r="O1330" s="6" t="str">
        <f>IF(ABS(M1330)&lt;Overview!$B$6,"OK",IF(I1330=0,"REVIEW (zero base)",IF(ABS(M1330/ABS(I1330))&gt;=Overview!$B$5,"REVIEW","OK")))</f>
        <v>OK</v>
      </c>
      <c r="P1330" s="31">
        <f t="shared" si="102"/>
        <v>-10000</v>
      </c>
      <c r="Q1330" s="32">
        <f t="shared" si="103"/>
        <v>-0.16666666666666666</v>
      </c>
      <c r="R1330" s="6" t="str">
        <f>IF(ABS(P1330)&lt;Overview!$B$6,"OK",IF(J1330=0,"REVIEW (zero base)",IF(ABS(P1330/ABS(J1330))&gt;=Overview!$B$5,"REVIEW","OK")))</f>
        <v>OK</v>
      </c>
      <c r="S1330" s="33">
        <f t="shared" si="104"/>
        <v>8816.0013299999991</v>
      </c>
    </row>
    <row r="1331" spans="1:19" x14ac:dyDescent="0.2">
      <c r="A1331" s="17">
        <v>1329</v>
      </c>
      <c r="B1331" s="17" t="s">
        <v>171</v>
      </c>
      <c r="C1331" s="17" t="s">
        <v>338</v>
      </c>
      <c r="D1331" s="17" t="s">
        <v>64</v>
      </c>
      <c r="E1331" s="17" t="s">
        <v>90</v>
      </c>
      <c r="F1331" s="17" t="s">
        <v>418</v>
      </c>
      <c r="G1331" s="17" t="s">
        <v>419</v>
      </c>
      <c r="H1331" s="30">
        <v>0</v>
      </c>
      <c r="I1331" s="30">
        <v>18</v>
      </c>
      <c r="J1331" s="30">
        <v>0</v>
      </c>
      <c r="K1331" s="30">
        <v>0</v>
      </c>
      <c r="L1331" s="30">
        <v>0</v>
      </c>
      <c r="M1331" s="31">
        <f t="shared" si="100"/>
        <v>-18</v>
      </c>
      <c r="N1331" s="32">
        <f t="shared" si="101"/>
        <v>-1</v>
      </c>
      <c r="O1331" s="6" t="str">
        <f>IF(ABS(M1331)&lt;Overview!$B$6,"OK",IF(I1331=0,"REVIEW (zero base)",IF(ABS(M1331/ABS(I1331))&gt;=Overview!$B$5,"REVIEW","OK")))</f>
        <v>OK</v>
      </c>
      <c r="P1331" s="31">
        <f t="shared" si="102"/>
        <v>0</v>
      </c>
      <c r="Q1331" s="32" t="str">
        <f t="shared" si="103"/>
        <v>n/a</v>
      </c>
      <c r="R1331" s="6" t="str">
        <f>IF(ABS(P1331)&lt;Overview!$B$6,"OK",IF(J1331=0,"REVIEW (zero base)",IF(ABS(P1331/ABS(J1331))&gt;=Overview!$B$5,"REVIEW","OK")))</f>
        <v>OK</v>
      </c>
      <c r="S1331" s="33">
        <f t="shared" si="104"/>
        <v>18.001331</v>
      </c>
    </row>
    <row r="1332" spans="1:19" x14ac:dyDescent="0.2">
      <c r="A1332" s="17">
        <v>1330</v>
      </c>
      <c r="B1332" s="17" t="s">
        <v>171</v>
      </c>
      <c r="C1332" s="17" t="s">
        <v>338</v>
      </c>
      <c r="D1332" s="17" t="s">
        <v>64</v>
      </c>
      <c r="E1332" s="17" t="s">
        <v>90</v>
      </c>
      <c r="F1332" s="17" t="s">
        <v>437</v>
      </c>
      <c r="G1332" s="17" t="s">
        <v>438</v>
      </c>
      <c r="H1332" s="30">
        <v>270756</v>
      </c>
      <c r="I1332" s="30">
        <v>225135</v>
      </c>
      <c r="J1332" s="30">
        <v>203500</v>
      </c>
      <c r="K1332" s="30">
        <v>203500</v>
      </c>
      <c r="L1332" s="30">
        <v>204925</v>
      </c>
      <c r="M1332" s="31">
        <f t="shared" si="100"/>
        <v>-21635</v>
      </c>
      <c r="N1332" s="32">
        <f t="shared" si="101"/>
        <v>-9.609789681746507E-2</v>
      </c>
      <c r="O1332" s="6" t="str">
        <f>IF(ABS(M1332)&lt;Overview!$B$6,"OK",IF(I1332=0,"REVIEW (zero base)",IF(ABS(M1332/ABS(I1332))&gt;=Overview!$B$5,"REVIEW","OK")))</f>
        <v>OK</v>
      </c>
      <c r="P1332" s="31">
        <f t="shared" si="102"/>
        <v>0</v>
      </c>
      <c r="Q1332" s="32">
        <f t="shared" si="103"/>
        <v>0</v>
      </c>
      <c r="R1332" s="6" t="str">
        <f>IF(ABS(P1332)&lt;Overview!$B$6,"OK",IF(J1332=0,"REVIEW (zero base)",IF(ABS(P1332/ABS(J1332))&gt;=Overview!$B$5,"REVIEW","OK")))</f>
        <v>OK</v>
      </c>
      <c r="S1332" s="33">
        <f t="shared" si="104"/>
        <v>21635.001332</v>
      </c>
    </row>
    <row r="1333" spans="1:19" x14ac:dyDescent="0.2">
      <c r="A1333" s="17">
        <v>1331</v>
      </c>
      <c r="B1333" s="17" t="s">
        <v>171</v>
      </c>
      <c r="C1333" s="17" t="s">
        <v>338</v>
      </c>
      <c r="D1333" s="17" t="s">
        <v>64</v>
      </c>
      <c r="E1333" s="17" t="s">
        <v>90</v>
      </c>
      <c r="F1333" s="17" t="s">
        <v>404</v>
      </c>
      <c r="G1333" s="17" t="s">
        <v>477</v>
      </c>
      <c r="H1333" s="30">
        <v>12406</v>
      </c>
      <c r="I1333" s="30">
        <v>18116</v>
      </c>
      <c r="J1333" s="30">
        <v>21900</v>
      </c>
      <c r="K1333" s="30">
        <v>18000</v>
      </c>
      <c r="L1333" s="30">
        <v>18126</v>
      </c>
      <c r="M1333" s="31">
        <f t="shared" si="100"/>
        <v>3784</v>
      </c>
      <c r="N1333" s="32">
        <f t="shared" si="101"/>
        <v>0.20887613159637888</v>
      </c>
      <c r="O1333" s="6" t="str">
        <f>IF(ABS(M1333)&lt;Overview!$B$6,"OK",IF(I1333=0,"REVIEW (zero base)",IF(ABS(M1333/ABS(I1333))&gt;=Overview!$B$5,"REVIEW","OK")))</f>
        <v>OK</v>
      </c>
      <c r="P1333" s="31">
        <f t="shared" si="102"/>
        <v>-3900</v>
      </c>
      <c r="Q1333" s="32">
        <f t="shared" si="103"/>
        <v>-0.17808219178082191</v>
      </c>
      <c r="R1333" s="6" t="str">
        <f>IF(ABS(P1333)&lt;Overview!$B$6,"OK",IF(J1333=0,"REVIEW (zero base)",IF(ABS(P1333/ABS(J1333))&gt;=Overview!$B$5,"REVIEW","OK")))</f>
        <v>OK</v>
      </c>
      <c r="S1333" s="33">
        <f t="shared" si="104"/>
        <v>3784.0013330000002</v>
      </c>
    </row>
    <row r="1334" spans="1:19" x14ac:dyDescent="0.2">
      <c r="A1334" s="17">
        <v>1332</v>
      </c>
      <c r="B1334" s="17" t="s">
        <v>171</v>
      </c>
      <c r="C1334" s="17" t="s">
        <v>338</v>
      </c>
      <c r="D1334" s="17" t="s">
        <v>64</v>
      </c>
      <c r="E1334" s="17" t="s">
        <v>90</v>
      </c>
      <c r="F1334" s="17" t="s">
        <v>402</v>
      </c>
      <c r="G1334" s="17" t="s">
        <v>416</v>
      </c>
      <c r="H1334" s="30">
        <v>0</v>
      </c>
      <c r="I1334" s="30">
        <v>0</v>
      </c>
      <c r="J1334" s="30">
        <v>0</v>
      </c>
      <c r="K1334" s="30">
        <v>10200</v>
      </c>
      <c r="L1334" s="30">
        <v>10271</v>
      </c>
      <c r="M1334" s="31">
        <f t="shared" si="100"/>
        <v>0</v>
      </c>
      <c r="N1334" s="32" t="str">
        <f t="shared" si="101"/>
        <v>n/a</v>
      </c>
      <c r="O1334" s="6" t="str">
        <f>IF(ABS(M1334)&lt;Overview!$B$6,"OK",IF(I1334=0,"REVIEW (zero base)",IF(ABS(M1334/ABS(I1334))&gt;=Overview!$B$5,"REVIEW","OK")))</f>
        <v>OK</v>
      </c>
      <c r="P1334" s="31">
        <f t="shared" si="102"/>
        <v>10200</v>
      </c>
      <c r="Q1334" s="32" t="str">
        <f t="shared" si="103"/>
        <v>n/a</v>
      </c>
      <c r="R1334" s="6" t="str">
        <f>IF(ABS(P1334)&lt;Overview!$B$6,"OK",IF(J1334=0,"REVIEW (zero base)",IF(ABS(P1334/ABS(J1334))&gt;=Overview!$B$5,"REVIEW","OK")))</f>
        <v>OK</v>
      </c>
      <c r="S1334" s="33">
        <f t="shared" si="104"/>
        <v>1.3339999999999999E-3</v>
      </c>
    </row>
    <row r="1335" spans="1:19" x14ac:dyDescent="0.2">
      <c r="A1335" s="17">
        <v>1333</v>
      </c>
      <c r="B1335" s="17" t="s">
        <v>171</v>
      </c>
      <c r="C1335" s="17" t="s">
        <v>338</v>
      </c>
      <c r="D1335" s="17" t="s">
        <v>64</v>
      </c>
      <c r="E1335" s="17" t="s">
        <v>90</v>
      </c>
      <c r="F1335" s="17" t="s">
        <v>407</v>
      </c>
      <c r="G1335" s="17" t="s">
        <v>427</v>
      </c>
      <c r="H1335" s="30">
        <v>4537</v>
      </c>
      <c r="I1335" s="30">
        <v>0</v>
      </c>
      <c r="J1335" s="30">
        <v>500</v>
      </c>
      <c r="K1335" s="30">
        <v>500</v>
      </c>
      <c r="L1335" s="30">
        <v>500</v>
      </c>
      <c r="M1335" s="31">
        <f t="shared" si="100"/>
        <v>500</v>
      </c>
      <c r="N1335" s="32" t="str">
        <f t="shared" si="101"/>
        <v>n/a</v>
      </c>
      <c r="O1335" s="6" t="str">
        <f>IF(ABS(M1335)&lt;Overview!$B$6,"OK",IF(I1335=0,"REVIEW (zero base)",IF(ABS(M1335/ABS(I1335))&gt;=Overview!$B$5,"REVIEW","OK")))</f>
        <v>OK</v>
      </c>
      <c r="P1335" s="31">
        <f t="shared" si="102"/>
        <v>0</v>
      </c>
      <c r="Q1335" s="32">
        <f t="shared" si="103"/>
        <v>0</v>
      </c>
      <c r="R1335" s="6" t="str">
        <f>IF(ABS(P1335)&lt;Overview!$B$6,"OK",IF(J1335=0,"REVIEW (zero base)",IF(ABS(P1335/ABS(J1335))&gt;=Overview!$B$5,"REVIEW","OK")))</f>
        <v>OK</v>
      </c>
      <c r="S1335" s="33">
        <f t="shared" si="104"/>
        <v>500.00133499999998</v>
      </c>
    </row>
    <row r="1336" spans="1:19" x14ac:dyDescent="0.2">
      <c r="A1336" s="17">
        <v>1334</v>
      </c>
      <c r="B1336" s="17" t="s">
        <v>171</v>
      </c>
      <c r="C1336" s="17" t="s">
        <v>338</v>
      </c>
      <c r="D1336" s="17" t="s">
        <v>64</v>
      </c>
      <c r="E1336" s="17" t="s">
        <v>90</v>
      </c>
      <c r="F1336" s="17" t="s">
        <v>409</v>
      </c>
      <c r="G1336" s="17" t="s">
        <v>410</v>
      </c>
      <c r="H1336" s="30">
        <v>183980</v>
      </c>
      <c r="I1336" s="30">
        <v>76449</v>
      </c>
      <c r="J1336" s="30">
        <v>146000</v>
      </c>
      <c r="K1336" s="30">
        <v>379000</v>
      </c>
      <c r="L1336" s="30">
        <v>381653</v>
      </c>
      <c r="M1336" s="31">
        <f t="shared" si="100"/>
        <v>69551</v>
      </c>
      <c r="N1336" s="32">
        <f t="shared" si="101"/>
        <v>0.90976991196745538</v>
      </c>
      <c r="O1336" s="6" t="str">
        <f>IF(ABS(M1336)&lt;Overview!$B$6,"OK",IF(I1336=0,"REVIEW (zero base)",IF(ABS(M1336/ABS(I1336))&gt;=Overview!$B$5,"REVIEW","OK")))</f>
        <v>OK</v>
      </c>
      <c r="P1336" s="31">
        <f t="shared" si="102"/>
        <v>233000</v>
      </c>
      <c r="Q1336" s="32">
        <f t="shared" si="103"/>
        <v>1.595890410958904</v>
      </c>
      <c r="R1336" s="6" t="str">
        <f>IF(ABS(P1336)&lt;Overview!$B$6,"OK",IF(J1336=0,"REVIEW (zero base)",IF(ABS(P1336/ABS(J1336))&gt;=Overview!$B$5,"REVIEW","OK")))</f>
        <v>OK</v>
      </c>
      <c r="S1336" s="33">
        <f t="shared" si="104"/>
        <v>69551.001336000001</v>
      </c>
    </row>
    <row r="1337" spans="1:19" x14ac:dyDescent="0.2">
      <c r="A1337" s="17">
        <v>1335</v>
      </c>
      <c r="B1337" s="17" t="s">
        <v>171</v>
      </c>
      <c r="C1337" s="17" t="s">
        <v>338</v>
      </c>
      <c r="D1337" s="17" t="s">
        <v>64</v>
      </c>
      <c r="E1337" s="17" t="s">
        <v>90</v>
      </c>
      <c r="F1337" s="17" t="s">
        <v>409</v>
      </c>
      <c r="G1337" s="17" t="s">
        <v>529</v>
      </c>
      <c r="H1337" s="30">
        <v>891351</v>
      </c>
      <c r="I1337" s="30">
        <v>954332</v>
      </c>
      <c r="J1337" s="30">
        <v>1100148</v>
      </c>
      <c r="K1337" s="30">
        <v>1088248</v>
      </c>
      <c r="L1337" s="30">
        <v>1095866</v>
      </c>
      <c r="M1337" s="31">
        <f t="shared" si="100"/>
        <v>145816</v>
      </c>
      <c r="N1337" s="32">
        <f t="shared" si="101"/>
        <v>0.15279378664867152</v>
      </c>
      <c r="O1337" s="6" t="str">
        <f>IF(ABS(M1337)&lt;Overview!$B$6,"OK",IF(I1337=0,"REVIEW (zero base)",IF(ABS(M1337/ABS(I1337))&gt;=Overview!$B$5,"REVIEW","OK")))</f>
        <v>OK</v>
      </c>
      <c r="P1337" s="31">
        <f t="shared" si="102"/>
        <v>-11900</v>
      </c>
      <c r="Q1337" s="32">
        <f t="shared" si="103"/>
        <v>-1.0816726476801304E-2</v>
      </c>
      <c r="R1337" s="6" t="str">
        <f>IF(ABS(P1337)&lt;Overview!$B$6,"OK",IF(J1337=0,"REVIEW (zero base)",IF(ABS(P1337/ABS(J1337))&gt;=Overview!$B$5,"REVIEW","OK")))</f>
        <v>OK</v>
      </c>
      <c r="S1337" s="33">
        <f t="shared" si="104"/>
        <v>145816.00133699999</v>
      </c>
    </row>
    <row r="1338" spans="1:19" x14ac:dyDescent="0.2">
      <c r="A1338" s="17">
        <v>1336</v>
      </c>
      <c r="B1338" s="17" t="s">
        <v>171</v>
      </c>
      <c r="C1338" s="17" t="s">
        <v>338</v>
      </c>
      <c r="D1338" s="17" t="s">
        <v>64</v>
      </c>
      <c r="E1338" s="17" t="s">
        <v>90</v>
      </c>
      <c r="F1338" s="17" t="s">
        <v>347</v>
      </c>
      <c r="G1338" s="17" t="s">
        <v>348</v>
      </c>
      <c r="H1338" s="30">
        <v>157</v>
      </c>
      <c r="I1338" s="30">
        <v>89545</v>
      </c>
      <c r="J1338" s="30">
        <v>1200</v>
      </c>
      <c r="K1338" s="30">
        <v>1200</v>
      </c>
      <c r="L1338" s="30">
        <v>1208</v>
      </c>
      <c r="M1338" s="31">
        <f t="shared" si="100"/>
        <v>-88345</v>
      </c>
      <c r="N1338" s="32">
        <f t="shared" si="101"/>
        <v>-0.98659891674577027</v>
      </c>
      <c r="O1338" s="6" t="str">
        <f>IF(ABS(M1338)&lt;Overview!$B$6,"OK",IF(I1338=0,"REVIEW (zero base)",IF(ABS(M1338/ABS(I1338))&gt;=Overview!$B$5,"REVIEW","OK")))</f>
        <v>OK</v>
      </c>
      <c r="P1338" s="31">
        <f t="shared" si="102"/>
        <v>0</v>
      </c>
      <c r="Q1338" s="32">
        <f t="shared" si="103"/>
        <v>0</v>
      </c>
      <c r="R1338" s="6" t="str">
        <f>IF(ABS(P1338)&lt;Overview!$B$6,"OK",IF(J1338=0,"REVIEW (zero base)",IF(ABS(P1338/ABS(J1338))&gt;=Overview!$B$5,"REVIEW","OK")))</f>
        <v>OK</v>
      </c>
      <c r="S1338" s="33">
        <f t="shared" si="104"/>
        <v>88345.001338000002</v>
      </c>
    </row>
    <row r="1339" spans="1:19" x14ac:dyDescent="0.2">
      <c r="A1339" s="17">
        <v>1337</v>
      </c>
      <c r="B1339" s="17" t="s">
        <v>171</v>
      </c>
      <c r="C1339" s="17" t="s">
        <v>338</v>
      </c>
      <c r="D1339" s="17" t="s">
        <v>64</v>
      </c>
      <c r="E1339" s="17" t="s">
        <v>90</v>
      </c>
      <c r="F1339" s="17" t="s">
        <v>386</v>
      </c>
      <c r="G1339" s="17" t="s">
        <v>413</v>
      </c>
      <c r="H1339" s="30">
        <v>24764</v>
      </c>
      <c r="I1339" s="30">
        <v>17234</v>
      </c>
      <c r="J1339" s="30">
        <v>20600</v>
      </c>
      <c r="K1339" s="30">
        <v>20000</v>
      </c>
      <c r="L1339" s="30">
        <v>20140</v>
      </c>
      <c r="M1339" s="31">
        <f t="shared" si="100"/>
        <v>3366</v>
      </c>
      <c r="N1339" s="32">
        <f t="shared" si="101"/>
        <v>0.19531159336195891</v>
      </c>
      <c r="O1339" s="6" t="str">
        <f>IF(ABS(M1339)&lt;Overview!$B$6,"OK",IF(I1339=0,"REVIEW (zero base)",IF(ABS(M1339/ABS(I1339))&gt;=Overview!$B$5,"REVIEW","OK")))</f>
        <v>OK</v>
      </c>
      <c r="P1339" s="31">
        <f t="shared" si="102"/>
        <v>-600</v>
      </c>
      <c r="Q1339" s="32">
        <f t="shared" si="103"/>
        <v>-2.9126213592233011E-2</v>
      </c>
      <c r="R1339" s="6" t="str">
        <f>IF(ABS(P1339)&lt;Overview!$B$6,"OK",IF(J1339=0,"REVIEW (zero base)",IF(ABS(P1339/ABS(J1339))&gt;=Overview!$B$5,"REVIEW","OK")))</f>
        <v>OK</v>
      </c>
      <c r="S1339" s="33">
        <f t="shared" si="104"/>
        <v>3366.0013389999999</v>
      </c>
    </row>
    <row r="1340" spans="1:19" x14ac:dyDescent="0.2">
      <c r="A1340" s="17">
        <v>1338</v>
      </c>
      <c r="B1340" s="17" t="s">
        <v>171</v>
      </c>
      <c r="C1340" s="17" t="s">
        <v>338</v>
      </c>
      <c r="D1340" s="17" t="s">
        <v>64</v>
      </c>
      <c r="E1340" s="17" t="s">
        <v>90</v>
      </c>
      <c r="F1340" s="17" t="s">
        <v>386</v>
      </c>
      <c r="G1340" s="17" t="s">
        <v>387</v>
      </c>
      <c r="H1340" s="30">
        <v>11475</v>
      </c>
      <c r="I1340" s="30">
        <v>5833</v>
      </c>
      <c r="J1340" s="30">
        <v>13175</v>
      </c>
      <c r="K1340" s="30">
        <v>11880</v>
      </c>
      <c r="L1340" s="30">
        <v>11963</v>
      </c>
      <c r="M1340" s="31">
        <f t="shared" si="100"/>
        <v>7342</v>
      </c>
      <c r="N1340" s="32">
        <f t="shared" si="101"/>
        <v>1.258700497171267</v>
      </c>
      <c r="O1340" s="6" t="str">
        <f>IF(ABS(M1340)&lt;Overview!$B$6,"OK",IF(I1340=0,"REVIEW (zero base)",IF(ABS(M1340/ABS(I1340))&gt;=Overview!$B$5,"REVIEW","OK")))</f>
        <v>OK</v>
      </c>
      <c r="P1340" s="31">
        <f t="shared" si="102"/>
        <v>-1295</v>
      </c>
      <c r="Q1340" s="32">
        <f t="shared" si="103"/>
        <v>-9.8292220113851997E-2</v>
      </c>
      <c r="R1340" s="6" t="str">
        <f>IF(ABS(P1340)&lt;Overview!$B$6,"OK",IF(J1340=0,"REVIEW (zero base)",IF(ABS(P1340/ABS(J1340))&gt;=Overview!$B$5,"REVIEW","OK")))</f>
        <v>OK</v>
      </c>
      <c r="S1340" s="33">
        <f t="shared" si="104"/>
        <v>7342.0013399999998</v>
      </c>
    </row>
    <row r="1341" spans="1:19" x14ac:dyDescent="0.2">
      <c r="A1341" s="17">
        <v>1339</v>
      </c>
      <c r="B1341" s="17" t="s">
        <v>171</v>
      </c>
      <c r="C1341" s="17" t="s">
        <v>338</v>
      </c>
      <c r="D1341" s="17" t="s">
        <v>59</v>
      </c>
      <c r="E1341" s="17" t="s">
        <v>114</v>
      </c>
      <c r="F1341" s="17" t="s">
        <v>339</v>
      </c>
      <c r="G1341" s="17" t="s">
        <v>340</v>
      </c>
      <c r="H1341" s="30">
        <v>381101</v>
      </c>
      <c r="I1341" s="30">
        <v>526480</v>
      </c>
      <c r="J1341" s="30">
        <v>620780</v>
      </c>
      <c r="K1341" s="30">
        <v>722617</v>
      </c>
      <c r="L1341" s="30">
        <v>729843</v>
      </c>
      <c r="M1341" s="31">
        <f t="shared" si="100"/>
        <v>94300</v>
      </c>
      <c r="N1341" s="32">
        <f t="shared" si="101"/>
        <v>0.17911411639568456</v>
      </c>
      <c r="O1341" s="6" t="str">
        <f>IF(ABS(M1341)&lt;Overview!$B$6,"OK",IF(I1341=0,"REVIEW (zero base)",IF(ABS(M1341/ABS(I1341))&gt;=Overview!$B$5,"REVIEW","OK")))</f>
        <v>OK</v>
      </c>
      <c r="P1341" s="31">
        <f t="shared" si="102"/>
        <v>101837</v>
      </c>
      <c r="Q1341" s="32">
        <f t="shared" si="103"/>
        <v>0.16404684429266406</v>
      </c>
      <c r="R1341" s="6" t="str">
        <f>IF(ABS(P1341)&lt;Overview!$B$6,"OK",IF(J1341=0,"REVIEW (zero base)",IF(ABS(P1341/ABS(J1341))&gt;=Overview!$B$5,"REVIEW","OK")))</f>
        <v>OK</v>
      </c>
      <c r="S1341" s="33">
        <f t="shared" si="104"/>
        <v>94300.001340999996</v>
      </c>
    </row>
    <row r="1342" spans="1:19" x14ac:dyDescent="0.2">
      <c r="A1342" s="17">
        <v>1340</v>
      </c>
      <c r="B1342" s="17" t="s">
        <v>171</v>
      </c>
      <c r="C1342" s="17" t="s">
        <v>338</v>
      </c>
      <c r="D1342" s="17" t="s">
        <v>59</v>
      </c>
      <c r="E1342" s="17" t="s">
        <v>114</v>
      </c>
      <c r="F1342" s="17" t="s">
        <v>339</v>
      </c>
      <c r="G1342" s="17" t="s">
        <v>391</v>
      </c>
      <c r="H1342" s="30">
        <v>9874</v>
      </c>
      <c r="I1342" s="30">
        <v>14285</v>
      </c>
      <c r="J1342" s="30">
        <v>0</v>
      </c>
      <c r="K1342" s="30">
        <v>0</v>
      </c>
      <c r="L1342" s="30">
        <v>0</v>
      </c>
      <c r="M1342" s="31">
        <f t="shared" si="100"/>
        <v>-14285</v>
      </c>
      <c r="N1342" s="32">
        <f t="shared" si="101"/>
        <v>-1</v>
      </c>
      <c r="O1342" s="6" t="str">
        <f>IF(ABS(M1342)&lt;Overview!$B$6,"OK",IF(I1342=0,"REVIEW (zero base)",IF(ABS(M1342/ABS(I1342))&gt;=Overview!$B$5,"REVIEW","OK")))</f>
        <v>OK</v>
      </c>
      <c r="P1342" s="31">
        <f t="shared" si="102"/>
        <v>0</v>
      </c>
      <c r="Q1342" s="32" t="str">
        <f t="shared" si="103"/>
        <v>n/a</v>
      </c>
      <c r="R1342" s="6" t="str">
        <f>IF(ABS(P1342)&lt;Overview!$B$6,"OK",IF(J1342=0,"REVIEW (zero base)",IF(ABS(P1342/ABS(J1342))&gt;=Overview!$B$5,"REVIEW","OK")))</f>
        <v>OK</v>
      </c>
      <c r="S1342" s="33">
        <f t="shared" si="104"/>
        <v>14285.001342</v>
      </c>
    </row>
    <row r="1343" spans="1:19" x14ac:dyDescent="0.2">
      <c r="A1343" s="17">
        <v>1341</v>
      </c>
      <c r="B1343" s="17" t="s">
        <v>171</v>
      </c>
      <c r="C1343" s="17" t="s">
        <v>338</v>
      </c>
      <c r="D1343" s="17" t="s">
        <v>59</v>
      </c>
      <c r="E1343" s="17" t="s">
        <v>114</v>
      </c>
      <c r="F1343" s="17" t="s">
        <v>339</v>
      </c>
      <c r="G1343" s="17" t="s">
        <v>392</v>
      </c>
      <c r="H1343" s="30">
        <v>38880</v>
      </c>
      <c r="I1343" s="30">
        <v>39763</v>
      </c>
      <c r="J1343" s="30">
        <v>0</v>
      </c>
      <c r="K1343" s="30">
        <v>0</v>
      </c>
      <c r="L1343" s="30">
        <v>0</v>
      </c>
      <c r="M1343" s="31">
        <f t="shared" si="100"/>
        <v>-39763</v>
      </c>
      <c r="N1343" s="32">
        <f t="shared" si="101"/>
        <v>-1</v>
      </c>
      <c r="O1343" s="6" t="str">
        <f>IF(ABS(M1343)&lt;Overview!$B$6,"OK",IF(I1343=0,"REVIEW (zero base)",IF(ABS(M1343/ABS(I1343))&gt;=Overview!$B$5,"REVIEW","OK")))</f>
        <v>OK</v>
      </c>
      <c r="P1343" s="31">
        <f t="shared" si="102"/>
        <v>0</v>
      </c>
      <c r="Q1343" s="32" t="str">
        <f t="shared" si="103"/>
        <v>n/a</v>
      </c>
      <c r="R1343" s="6" t="str">
        <f>IF(ABS(P1343)&lt;Overview!$B$6,"OK",IF(J1343=0,"REVIEW (zero base)",IF(ABS(P1343/ABS(J1343))&gt;=Overview!$B$5,"REVIEW","OK")))</f>
        <v>OK</v>
      </c>
      <c r="S1343" s="33">
        <f t="shared" si="104"/>
        <v>39763.001343000004</v>
      </c>
    </row>
    <row r="1344" spans="1:19" x14ac:dyDescent="0.2">
      <c r="A1344" s="17">
        <v>1342</v>
      </c>
      <c r="B1344" s="17" t="s">
        <v>171</v>
      </c>
      <c r="C1344" s="17" t="s">
        <v>338</v>
      </c>
      <c r="D1344" s="17" t="s">
        <v>59</v>
      </c>
      <c r="E1344" s="17" t="s">
        <v>114</v>
      </c>
      <c r="F1344" s="17" t="s">
        <v>339</v>
      </c>
      <c r="G1344" s="17" t="s">
        <v>394</v>
      </c>
      <c r="H1344" s="30">
        <v>38157</v>
      </c>
      <c r="I1344" s="30">
        <v>36117</v>
      </c>
      <c r="J1344" s="30">
        <v>0</v>
      </c>
      <c r="K1344" s="30">
        <v>0</v>
      </c>
      <c r="L1344" s="30">
        <v>0</v>
      </c>
      <c r="M1344" s="31">
        <f t="shared" si="100"/>
        <v>-36117</v>
      </c>
      <c r="N1344" s="32">
        <f t="shared" si="101"/>
        <v>-1</v>
      </c>
      <c r="O1344" s="6" t="str">
        <f>IF(ABS(M1344)&lt;Overview!$B$6,"OK",IF(I1344=0,"REVIEW (zero base)",IF(ABS(M1344/ABS(I1344))&gt;=Overview!$B$5,"REVIEW","OK")))</f>
        <v>OK</v>
      </c>
      <c r="P1344" s="31">
        <f t="shared" si="102"/>
        <v>0</v>
      </c>
      <c r="Q1344" s="32" t="str">
        <f t="shared" si="103"/>
        <v>n/a</v>
      </c>
      <c r="R1344" s="6" t="str">
        <f>IF(ABS(P1344)&lt;Overview!$B$6,"OK",IF(J1344=0,"REVIEW (zero base)",IF(ABS(P1344/ABS(J1344))&gt;=Overview!$B$5,"REVIEW","OK")))</f>
        <v>OK</v>
      </c>
      <c r="S1344" s="33">
        <f t="shared" si="104"/>
        <v>36117.001343999997</v>
      </c>
    </row>
    <row r="1345" spans="1:19" x14ac:dyDescent="0.2">
      <c r="A1345" s="17">
        <v>1343</v>
      </c>
      <c r="B1345" s="17" t="s">
        <v>171</v>
      </c>
      <c r="C1345" s="17" t="s">
        <v>338</v>
      </c>
      <c r="D1345" s="17" t="s">
        <v>59</v>
      </c>
      <c r="E1345" s="17" t="s">
        <v>114</v>
      </c>
      <c r="F1345" s="17" t="s">
        <v>339</v>
      </c>
      <c r="G1345" s="17" t="s">
        <v>395</v>
      </c>
      <c r="H1345" s="30">
        <v>21733</v>
      </c>
      <c r="I1345" s="30">
        <v>25882</v>
      </c>
      <c r="J1345" s="30">
        <v>27871</v>
      </c>
      <c r="K1345" s="30">
        <v>23448</v>
      </c>
      <c r="L1345" s="30">
        <v>23682</v>
      </c>
      <c r="M1345" s="31">
        <f t="shared" si="100"/>
        <v>1989</v>
      </c>
      <c r="N1345" s="32">
        <f t="shared" si="101"/>
        <v>7.6848775210571055E-2</v>
      </c>
      <c r="O1345" s="6" t="str">
        <f>IF(ABS(M1345)&lt;Overview!$B$6,"OK",IF(I1345=0,"REVIEW (zero base)",IF(ABS(M1345/ABS(I1345))&gt;=Overview!$B$5,"REVIEW","OK")))</f>
        <v>OK</v>
      </c>
      <c r="P1345" s="31">
        <f t="shared" si="102"/>
        <v>-4423</v>
      </c>
      <c r="Q1345" s="32">
        <f t="shared" si="103"/>
        <v>-0.15869541817659932</v>
      </c>
      <c r="R1345" s="6" t="str">
        <f>IF(ABS(P1345)&lt;Overview!$B$6,"OK",IF(J1345=0,"REVIEW (zero base)",IF(ABS(P1345/ABS(J1345))&gt;=Overview!$B$5,"REVIEW","OK")))</f>
        <v>OK</v>
      </c>
      <c r="S1345" s="33">
        <f t="shared" si="104"/>
        <v>1989.0013449999999</v>
      </c>
    </row>
    <row r="1346" spans="1:19" x14ac:dyDescent="0.2">
      <c r="A1346" s="17">
        <v>1344</v>
      </c>
      <c r="B1346" s="17" t="s">
        <v>171</v>
      </c>
      <c r="C1346" s="17" t="s">
        <v>338</v>
      </c>
      <c r="D1346" s="17" t="s">
        <v>59</v>
      </c>
      <c r="E1346" s="17" t="s">
        <v>114</v>
      </c>
      <c r="F1346" s="17" t="s">
        <v>341</v>
      </c>
      <c r="G1346" s="17" t="s">
        <v>342</v>
      </c>
      <c r="H1346" s="30">
        <v>5647</v>
      </c>
      <c r="I1346" s="30">
        <v>5995</v>
      </c>
      <c r="J1346" s="30">
        <v>5604</v>
      </c>
      <c r="K1346" s="30">
        <v>5604</v>
      </c>
      <c r="L1346" s="30">
        <v>5604</v>
      </c>
      <c r="M1346" s="31">
        <f t="shared" ref="M1346:M1409" si="105">J1346-I1346</f>
        <v>-391</v>
      </c>
      <c r="N1346" s="32">
        <f t="shared" ref="N1346:N1409" si="106">IF(I1346=0,"n/a",M1346/ABS(I1346))</f>
        <v>-6.5221017514595497E-2</v>
      </c>
      <c r="O1346" s="6" t="str">
        <f>IF(ABS(M1346)&lt;Overview!$B$6,"OK",IF(I1346=0,"REVIEW (zero base)",IF(ABS(M1346/ABS(I1346))&gt;=Overview!$B$5,"REVIEW","OK")))</f>
        <v>OK</v>
      </c>
      <c r="P1346" s="31">
        <f t="shared" ref="P1346:P1409" si="107">K1346-J1346</f>
        <v>0</v>
      </c>
      <c r="Q1346" s="32">
        <f t="shared" ref="Q1346:Q1409" si="108">IF(J1346=0,"n/a",P1346/ABS(J1346))</f>
        <v>0</v>
      </c>
      <c r="R1346" s="6" t="str">
        <f>IF(ABS(P1346)&lt;Overview!$B$6,"OK",IF(J1346=0,"REVIEW (zero base)",IF(ABS(P1346/ABS(J1346))&gt;=Overview!$B$5,"REVIEW","OK")))</f>
        <v>OK</v>
      </c>
      <c r="S1346" s="33">
        <f t="shared" ref="S1346:S1409" si="109">IF(C1346="EXPENSES",ABS(M1346)+ROW()/1000000,0)</f>
        <v>391.00134600000001</v>
      </c>
    </row>
    <row r="1347" spans="1:19" x14ac:dyDescent="0.2">
      <c r="A1347" s="17">
        <v>1345</v>
      </c>
      <c r="B1347" s="17" t="s">
        <v>171</v>
      </c>
      <c r="C1347" s="17" t="s">
        <v>338</v>
      </c>
      <c r="D1347" s="17" t="s">
        <v>59</v>
      </c>
      <c r="E1347" s="17" t="s">
        <v>114</v>
      </c>
      <c r="F1347" s="17" t="s">
        <v>341</v>
      </c>
      <c r="G1347" s="17" t="s">
        <v>375</v>
      </c>
      <c r="H1347" s="30">
        <v>12394</v>
      </c>
      <c r="I1347" s="30">
        <v>13600</v>
      </c>
      <c r="J1347" s="30">
        <v>9100</v>
      </c>
      <c r="K1347" s="30">
        <v>9100</v>
      </c>
      <c r="L1347" s="30">
        <v>9100</v>
      </c>
      <c r="M1347" s="31">
        <f t="shared" si="105"/>
        <v>-4500</v>
      </c>
      <c r="N1347" s="32">
        <f t="shared" si="106"/>
        <v>-0.33088235294117646</v>
      </c>
      <c r="O1347" s="6" t="str">
        <f>IF(ABS(M1347)&lt;Overview!$B$6,"OK",IF(I1347=0,"REVIEW (zero base)",IF(ABS(M1347/ABS(I1347))&gt;=Overview!$B$5,"REVIEW","OK")))</f>
        <v>OK</v>
      </c>
      <c r="P1347" s="31">
        <f t="shared" si="107"/>
        <v>0</v>
      </c>
      <c r="Q1347" s="32">
        <f t="shared" si="108"/>
        <v>0</v>
      </c>
      <c r="R1347" s="6" t="str">
        <f>IF(ABS(P1347)&lt;Overview!$B$6,"OK",IF(J1347=0,"REVIEW (zero base)",IF(ABS(P1347/ABS(J1347))&gt;=Overview!$B$5,"REVIEW","OK")))</f>
        <v>OK</v>
      </c>
      <c r="S1347" s="33">
        <f t="shared" si="109"/>
        <v>4500.0013470000004</v>
      </c>
    </row>
    <row r="1348" spans="1:19" x14ac:dyDescent="0.2">
      <c r="A1348" s="17">
        <v>1346</v>
      </c>
      <c r="B1348" s="17" t="s">
        <v>171</v>
      </c>
      <c r="C1348" s="17" t="s">
        <v>338</v>
      </c>
      <c r="D1348" s="17" t="s">
        <v>59</v>
      </c>
      <c r="E1348" s="17" t="s">
        <v>114</v>
      </c>
      <c r="F1348" s="17" t="s">
        <v>341</v>
      </c>
      <c r="G1348" s="17" t="s">
        <v>376</v>
      </c>
      <c r="H1348" s="30">
        <v>165233</v>
      </c>
      <c r="I1348" s="30">
        <v>187218</v>
      </c>
      <c r="J1348" s="30">
        <v>181502</v>
      </c>
      <c r="K1348" s="30">
        <v>195084</v>
      </c>
      <c r="L1348" s="30">
        <v>205287</v>
      </c>
      <c r="M1348" s="31">
        <f t="shared" si="105"/>
        <v>-5716</v>
      </c>
      <c r="N1348" s="32">
        <f t="shared" si="106"/>
        <v>-3.0531252336847954E-2</v>
      </c>
      <c r="O1348" s="6" t="str">
        <f>IF(ABS(M1348)&lt;Overview!$B$6,"OK",IF(I1348=0,"REVIEW (zero base)",IF(ABS(M1348/ABS(I1348))&gt;=Overview!$B$5,"REVIEW","OK")))</f>
        <v>OK</v>
      </c>
      <c r="P1348" s="31">
        <f t="shared" si="107"/>
        <v>13582</v>
      </c>
      <c r="Q1348" s="32">
        <f t="shared" si="108"/>
        <v>7.4831131337395732E-2</v>
      </c>
      <c r="R1348" s="6" t="str">
        <f>IF(ABS(P1348)&lt;Overview!$B$6,"OK",IF(J1348=0,"REVIEW (zero base)",IF(ABS(P1348/ABS(J1348))&gt;=Overview!$B$5,"REVIEW","OK")))</f>
        <v>OK</v>
      </c>
      <c r="S1348" s="33">
        <f t="shared" si="109"/>
        <v>5716.0013479999998</v>
      </c>
    </row>
    <row r="1349" spans="1:19" x14ac:dyDescent="0.2">
      <c r="A1349" s="17">
        <v>1347</v>
      </c>
      <c r="B1349" s="17" t="s">
        <v>171</v>
      </c>
      <c r="C1349" s="17" t="s">
        <v>338</v>
      </c>
      <c r="D1349" s="17" t="s">
        <v>59</v>
      </c>
      <c r="E1349" s="17" t="s">
        <v>114</v>
      </c>
      <c r="F1349" s="17" t="s">
        <v>341</v>
      </c>
      <c r="G1349" s="17" t="s">
        <v>343</v>
      </c>
      <c r="H1349" s="30">
        <v>40749</v>
      </c>
      <c r="I1349" s="30">
        <v>45285</v>
      </c>
      <c r="J1349" s="30">
        <v>57980</v>
      </c>
      <c r="K1349" s="30">
        <v>54314</v>
      </c>
      <c r="L1349" s="30">
        <v>54857</v>
      </c>
      <c r="M1349" s="31">
        <f t="shared" si="105"/>
        <v>12695</v>
      </c>
      <c r="N1349" s="32">
        <f t="shared" si="106"/>
        <v>0.28033565198189248</v>
      </c>
      <c r="O1349" s="6" t="str">
        <f>IF(ABS(M1349)&lt;Overview!$B$6,"OK",IF(I1349=0,"REVIEW (zero base)",IF(ABS(M1349/ABS(I1349))&gt;=Overview!$B$5,"REVIEW","OK")))</f>
        <v>OK</v>
      </c>
      <c r="P1349" s="31">
        <f t="shared" si="107"/>
        <v>-3666</v>
      </c>
      <c r="Q1349" s="32">
        <f t="shared" si="108"/>
        <v>-6.3228699551569512E-2</v>
      </c>
      <c r="R1349" s="6" t="str">
        <f>IF(ABS(P1349)&lt;Overview!$B$6,"OK",IF(J1349=0,"REVIEW (zero base)",IF(ABS(P1349/ABS(J1349))&gt;=Overview!$B$5,"REVIEW","OK")))</f>
        <v>OK</v>
      </c>
      <c r="S1349" s="33">
        <f t="shared" si="109"/>
        <v>12695.001349</v>
      </c>
    </row>
    <row r="1350" spans="1:19" x14ac:dyDescent="0.2">
      <c r="A1350" s="17">
        <v>1348</v>
      </c>
      <c r="B1350" s="17" t="s">
        <v>171</v>
      </c>
      <c r="C1350" s="17" t="s">
        <v>338</v>
      </c>
      <c r="D1350" s="17" t="s">
        <v>59</v>
      </c>
      <c r="E1350" s="17" t="s">
        <v>114</v>
      </c>
      <c r="F1350" s="17" t="s">
        <v>341</v>
      </c>
      <c r="G1350" s="17" t="s">
        <v>439</v>
      </c>
      <c r="H1350" s="30">
        <v>0</v>
      </c>
      <c r="I1350" s="30">
        <v>0</v>
      </c>
      <c r="J1350" s="30">
        <v>0</v>
      </c>
      <c r="K1350" s="30">
        <v>0</v>
      </c>
      <c r="L1350" s="30">
        <v>0</v>
      </c>
      <c r="M1350" s="31">
        <f t="shared" si="105"/>
        <v>0</v>
      </c>
      <c r="N1350" s="32" t="str">
        <f t="shared" si="106"/>
        <v>n/a</v>
      </c>
      <c r="O1350" s="6" t="str">
        <f>IF(ABS(M1350)&lt;Overview!$B$6,"OK",IF(I1350=0,"REVIEW (zero base)",IF(ABS(M1350/ABS(I1350))&gt;=Overview!$B$5,"REVIEW","OK")))</f>
        <v>OK</v>
      </c>
      <c r="P1350" s="31">
        <f t="shared" si="107"/>
        <v>0</v>
      </c>
      <c r="Q1350" s="32" t="str">
        <f t="shared" si="108"/>
        <v>n/a</v>
      </c>
      <c r="R1350" s="6" t="str">
        <f>IF(ABS(P1350)&lt;Overview!$B$6,"OK",IF(J1350=0,"REVIEW (zero base)",IF(ABS(P1350/ABS(J1350))&gt;=Overview!$B$5,"REVIEW","OK")))</f>
        <v>OK</v>
      </c>
      <c r="S1350" s="33">
        <f t="shared" si="109"/>
        <v>1.3500000000000001E-3</v>
      </c>
    </row>
    <row r="1351" spans="1:19" x14ac:dyDescent="0.2">
      <c r="A1351" s="17">
        <v>1349</v>
      </c>
      <c r="B1351" s="17" t="s">
        <v>171</v>
      </c>
      <c r="C1351" s="17" t="s">
        <v>338</v>
      </c>
      <c r="D1351" s="17" t="s">
        <v>59</v>
      </c>
      <c r="E1351" s="17" t="s">
        <v>114</v>
      </c>
      <c r="F1351" s="17" t="s">
        <v>341</v>
      </c>
      <c r="G1351" s="17" t="s">
        <v>378</v>
      </c>
      <c r="H1351" s="30">
        <v>10202</v>
      </c>
      <c r="I1351" s="30">
        <v>10265</v>
      </c>
      <c r="J1351" s="30">
        <v>6878</v>
      </c>
      <c r="K1351" s="30">
        <v>7280</v>
      </c>
      <c r="L1351" s="30">
        <v>7603</v>
      </c>
      <c r="M1351" s="31">
        <f t="shared" si="105"/>
        <v>-3387</v>
      </c>
      <c r="N1351" s="32">
        <f t="shared" si="106"/>
        <v>-0.32995616171456404</v>
      </c>
      <c r="O1351" s="6" t="str">
        <f>IF(ABS(M1351)&lt;Overview!$B$6,"OK",IF(I1351=0,"REVIEW (zero base)",IF(ABS(M1351/ABS(I1351))&gt;=Overview!$B$5,"REVIEW","OK")))</f>
        <v>OK</v>
      </c>
      <c r="P1351" s="31">
        <f t="shared" si="107"/>
        <v>402</v>
      </c>
      <c r="Q1351" s="32">
        <f t="shared" si="108"/>
        <v>5.8447223029950569E-2</v>
      </c>
      <c r="R1351" s="6" t="str">
        <f>IF(ABS(P1351)&lt;Overview!$B$6,"OK",IF(J1351=0,"REVIEW (zero base)",IF(ABS(P1351/ABS(J1351))&gt;=Overview!$B$5,"REVIEW","OK")))</f>
        <v>OK</v>
      </c>
      <c r="S1351" s="33">
        <f t="shared" si="109"/>
        <v>3387.0013509999999</v>
      </c>
    </row>
    <row r="1352" spans="1:19" x14ac:dyDescent="0.2">
      <c r="A1352" s="17">
        <v>1350</v>
      </c>
      <c r="B1352" s="17" t="s">
        <v>171</v>
      </c>
      <c r="C1352" s="17" t="s">
        <v>338</v>
      </c>
      <c r="D1352" s="17" t="s">
        <v>59</v>
      </c>
      <c r="E1352" s="17" t="s">
        <v>114</v>
      </c>
      <c r="F1352" s="17" t="s">
        <v>341</v>
      </c>
      <c r="G1352" s="17" t="s">
        <v>344</v>
      </c>
      <c r="H1352" s="30">
        <v>54784</v>
      </c>
      <c r="I1352" s="30">
        <v>61671</v>
      </c>
      <c r="J1352" s="30">
        <v>81103</v>
      </c>
      <c r="K1352" s="30">
        <v>90708</v>
      </c>
      <c r="L1352" s="30">
        <v>92522</v>
      </c>
      <c r="M1352" s="31">
        <f t="shared" si="105"/>
        <v>19432</v>
      </c>
      <c r="N1352" s="32">
        <f t="shared" si="106"/>
        <v>0.31509137195764619</v>
      </c>
      <c r="O1352" s="6" t="str">
        <f>IF(ABS(M1352)&lt;Overview!$B$6,"OK",IF(I1352=0,"REVIEW (zero base)",IF(ABS(M1352/ABS(I1352))&gt;=Overview!$B$5,"REVIEW","OK")))</f>
        <v>OK</v>
      </c>
      <c r="P1352" s="31">
        <f t="shared" si="107"/>
        <v>9605</v>
      </c>
      <c r="Q1352" s="32">
        <f t="shared" si="108"/>
        <v>0.11842965118429651</v>
      </c>
      <c r="R1352" s="6" t="str">
        <f>IF(ABS(P1352)&lt;Overview!$B$6,"OK",IF(J1352=0,"REVIEW (zero base)",IF(ABS(P1352/ABS(J1352))&gt;=Overview!$B$5,"REVIEW","OK")))</f>
        <v>OK</v>
      </c>
      <c r="S1352" s="33">
        <f t="shared" si="109"/>
        <v>19432.001351999999</v>
      </c>
    </row>
    <row r="1353" spans="1:19" x14ac:dyDescent="0.2">
      <c r="A1353" s="17">
        <v>1351</v>
      </c>
      <c r="B1353" s="17" t="s">
        <v>171</v>
      </c>
      <c r="C1353" s="17" t="s">
        <v>338</v>
      </c>
      <c r="D1353" s="17" t="s">
        <v>59</v>
      </c>
      <c r="E1353" s="17" t="s">
        <v>114</v>
      </c>
      <c r="F1353" s="17" t="s">
        <v>364</v>
      </c>
      <c r="G1353" s="17" t="s">
        <v>379</v>
      </c>
      <c r="H1353" s="30">
        <v>0</v>
      </c>
      <c r="I1353" s="30">
        <v>0</v>
      </c>
      <c r="J1353" s="30">
        <v>0</v>
      </c>
      <c r="K1353" s="30">
        <v>17500</v>
      </c>
      <c r="L1353" s="30">
        <v>17623</v>
      </c>
      <c r="M1353" s="31">
        <f t="shared" si="105"/>
        <v>0</v>
      </c>
      <c r="N1353" s="32" t="str">
        <f t="shared" si="106"/>
        <v>n/a</v>
      </c>
      <c r="O1353" s="6" t="str">
        <f>IF(ABS(M1353)&lt;Overview!$B$6,"OK",IF(I1353=0,"REVIEW (zero base)",IF(ABS(M1353/ABS(I1353))&gt;=Overview!$B$5,"REVIEW","OK")))</f>
        <v>OK</v>
      </c>
      <c r="P1353" s="31">
        <f t="shared" si="107"/>
        <v>17500</v>
      </c>
      <c r="Q1353" s="32" t="str">
        <f t="shared" si="108"/>
        <v>n/a</v>
      </c>
      <c r="R1353" s="6" t="str">
        <f>IF(ABS(P1353)&lt;Overview!$B$6,"OK",IF(J1353=0,"REVIEW (zero base)",IF(ABS(P1353/ABS(J1353))&gt;=Overview!$B$5,"REVIEW","OK")))</f>
        <v>OK</v>
      </c>
      <c r="S1353" s="33">
        <f t="shared" si="109"/>
        <v>1.353E-3</v>
      </c>
    </row>
    <row r="1354" spans="1:19" x14ac:dyDescent="0.2">
      <c r="A1354" s="17">
        <v>1352</v>
      </c>
      <c r="B1354" s="17" t="s">
        <v>171</v>
      </c>
      <c r="C1354" s="17" t="s">
        <v>338</v>
      </c>
      <c r="D1354" s="17" t="s">
        <v>59</v>
      </c>
      <c r="E1354" s="17" t="s">
        <v>114</v>
      </c>
      <c r="F1354" s="17" t="s">
        <v>364</v>
      </c>
      <c r="G1354" s="17" t="s">
        <v>383</v>
      </c>
      <c r="H1354" s="30">
        <v>345</v>
      </c>
      <c r="I1354" s="30">
        <v>20</v>
      </c>
      <c r="J1354" s="30">
        <v>360</v>
      </c>
      <c r="K1354" s="30">
        <v>360</v>
      </c>
      <c r="L1354" s="30">
        <v>360</v>
      </c>
      <c r="M1354" s="31">
        <f t="shared" si="105"/>
        <v>340</v>
      </c>
      <c r="N1354" s="32">
        <f t="shared" si="106"/>
        <v>17</v>
      </c>
      <c r="O1354" s="6" t="str">
        <f>IF(ABS(M1354)&lt;Overview!$B$6,"OK",IF(I1354=0,"REVIEW (zero base)",IF(ABS(M1354/ABS(I1354))&gt;=Overview!$B$5,"REVIEW","OK")))</f>
        <v>OK</v>
      </c>
      <c r="P1354" s="31">
        <f t="shared" si="107"/>
        <v>0</v>
      </c>
      <c r="Q1354" s="32">
        <f t="shared" si="108"/>
        <v>0</v>
      </c>
      <c r="R1354" s="6" t="str">
        <f>IF(ABS(P1354)&lt;Overview!$B$6,"OK",IF(J1354=0,"REVIEW (zero base)",IF(ABS(P1354/ABS(J1354))&gt;=Overview!$B$5,"REVIEW","OK")))</f>
        <v>OK</v>
      </c>
      <c r="S1354" s="33">
        <f t="shared" si="109"/>
        <v>340.00135399999999</v>
      </c>
    </row>
    <row r="1355" spans="1:19" x14ac:dyDescent="0.2">
      <c r="A1355" s="17">
        <v>1353</v>
      </c>
      <c r="B1355" s="17" t="s">
        <v>171</v>
      </c>
      <c r="C1355" s="17" t="s">
        <v>338</v>
      </c>
      <c r="D1355" s="17" t="s">
        <v>59</v>
      </c>
      <c r="E1355" s="17" t="s">
        <v>114</v>
      </c>
      <c r="F1355" s="17" t="s">
        <v>364</v>
      </c>
      <c r="G1355" s="17" t="s">
        <v>398</v>
      </c>
      <c r="H1355" s="30">
        <v>840</v>
      </c>
      <c r="I1355" s="30">
        <v>0</v>
      </c>
      <c r="J1355" s="30">
        <v>1000</v>
      </c>
      <c r="K1355" s="30">
        <v>3000</v>
      </c>
      <c r="L1355" s="30">
        <v>3021</v>
      </c>
      <c r="M1355" s="31">
        <f t="shared" si="105"/>
        <v>1000</v>
      </c>
      <c r="N1355" s="32" t="str">
        <f t="shared" si="106"/>
        <v>n/a</v>
      </c>
      <c r="O1355" s="6" t="str">
        <f>IF(ABS(M1355)&lt;Overview!$B$6,"OK",IF(I1355=0,"REVIEW (zero base)",IF(ABS(M1355/ABS(I1355))&gt;=Overview!$B$5,"REVIEW","OK")))</f>
        <v>OK</v>
      </c>
      <c r="P1355" s="31">
        <f t="shared" si="107"/>
        <v>2000</v>
      </c>
      <c r="Q1355" s="32">
        <f t="shared" si="108"/>
        <v>2</v>
      </c>
      <c r="R1355" s="6" t="str">
        <f>IF(ABS(P1355)&lt;Overview!$B$6,"OK",IF(J1355=0,"REVIEW (zero base)",IF(ABS(P1355/ABS(J1355))&gt;=Overview!$B$5,"REVIEW","OK")))</f>
        <v>OK</v>
      </c>
      <c r="S1355" s="33">
        <f t="shared" si="109"/>
        <v>1000.001355</v>
      </c>
    </row>
    <row r="1356" spans="1:19" x14ac:dyDescent="0.2">
      <c r="A1356" s="17">
        <v>1354</v>
      </c>
      <c r="B1356" s="17" t="s">
        <v>171</v>
      </c>
      <c r="C1356" s="17" t="s">
        <v>338</v>
      </c>
      <c r="D1356" s="17" t="s">
        <v>59</v>
      </c>
      <c r="E1356" s="17" t="s">
        <v>114</v>
      </c>
      <c r="F1356" s="17" t="s">
        <v>364</v>
      </c>
      <c r="G1356" s="17" t="s">
        <v>399</v>
      </c>
      <c r="H1356" s="30">
        <v>525</v>
      </c>
      <c r="I1356" s="30">
        <v>0</v>
      </c>
      <c r="J1356" s="30">
        <v>4000</v>
      </c>
      <c r="K1356" s="30">
        <v>4000</v>
      </c>
      <c r="L1356" s="30">
        <v>4028</v>
      </c>
      <c r="M1356" s="31">
        <f t="shared" si="105"/>
        <v>4000</v>
      </c>
      <c r="N1356" s="32" t="str">
        <f t="shared" si="106"/>
        <v>n/a</v>
      </c>
      <c r="O1356" s="6" t="str">
        <f>IF(ABS(M1356)&lt;Overview!$B$6,"OK",IF(I1356=0,"REVIEW (zero base)",IF(ABS(M1356/ABS(I1356))&gt;=Overview!$B$5,"REVIEW","OK")))</f>
        <v>OK</v>
      </c>
      <c r="P1356" s="31">
        <f t="shared" si="107"/>
        <v>0</v>
      </c>
      <c r="Q1356" s="32">
        <f t="shared" si="108"/>
        <v>0</v>
      </c>
      <c r="R1356" s="6" t="str">
        <f>IF(ABS(P1356)&lt;Overview!$B$6,"OK",IF(J1356=0,"REVIEW (zero base)",IF(ABS(P1356/ABS(J1356))&gt;=Overview!$B$5,"REVIEW","OK")))</f>
        <v>OK</v>
      </c>
      <c r="S1356" s="33">
        <f t="shared" si="109"/>
        <v>4000.0013560000002</v>
      </c>
    </row>
    <row r="1357" spans="1:19" x14ac:dyDescent="0.2">
      <c r="A1357" s="17">
        <v>1355</v>
      </c>
      <c r="B1357" s="17" t="s">
        <v>171</v>
      </c>
      <c r="C1357" s="17" t="s">
        <v>338</v>
      </c>
      <c r="D1357" s="17" t="s">
        <v>59</v>
      </c>
      <c r="E1357" s="17" t="s">
        <v>114</v>
      </c>
      <c r="F1357" s="17" t="s">
        <v>400</v>
      </c>
      <c r="G1357" s="17" t="s">
        <v>401</v>
      </c>
      <c r="H1357" s="30">
        <v>0</v>
      </c>
      <c r="I1357" s="30">
        <v>0</v>
      </c>
      <c r="J1357" s="30">
        <v>2000</v>
      </c>
      <c r="K1357" s="30">
        <v>2000</v>
      </c>
      <c r="L1357" s="30">
        <v>2000</v>
      </c>
      <c r="M1357" s="31">
        <f t="shared" si="105"/>
        <v>2000</v>
      </c>
      <c r="N1357" s="32" t="str">
        <f t="shared" si="106"/>
        <v>n/a</v>
      </c>
      <c r="O1357" s="6" t="str">
        <f>IF(ABS(M1357)&lt;Overview!$B$6,"OK",IF(I1357=0,"REVIEW (zero base)",IF(ABS(M1357/ABS(I1357))&gt;=Overview!$B$5,"REVIEW","OK")))</f>
        <v>OK</v>
      </c>
      <c r="P1357" s="31">
        <f t="shared" si="107"/>
        <v>0</v>
      </c>
      <c r="Q1357" s="32">
        <f t="shared" si="108"/>
        <v>0</v>
      </c>
      <c r="R1357" s="6" t="str">
        <f>IF(ABS(P1357)&lt;Overview!$B$6,"OK",IF(J1357=0,"REVIEW (zero base)",IF(ABS(P1357/ABS(J1357))&gt;=Overview!$B$5,"REVIEW","OK")))</f>
        <v>OK</v>
      </c>
      <c r="S1357" s="33">
        <f t="shared" si="109"/>
        <v>2000.0013570000001</v>
      </c>
    </row>
    <row r="1358" spans="1:19" x14ac:dyDescent="0.2">
      <c r="A1358" s="17">
        <v>1356</v>
      </c>
      <c r="B1358" s="17" t="s">
        <v>171</v>
      </c>
      <c r="C1358" s="17" t="s">
        <v>338</v>
      </c>
      <c r="D1358" s="17" t="s">
        <v>59</v>
      </c>
      <c r="E1358" s="17" t="s">
        <v>114</v>
      </c>
      <c r="F1358" s="17" t="s">
        <v>407</v>
      </c>
      <c r="G1358" s="17" t="s">
        <v>427</v>
      </c>
      <c r="H1358" s="30">
        <v>50</v>
      </c>
      <c r="I1358" s="30">
        <v>0</v>
      </c>
      <c r="J1358" s="30">
        <v>0</v>
      </c>
      <c r="K1358" s="30">
        <v>0</v>
      </c>
      <c r="L1358" s="30">
        <v>0</v>
      </c>
      <c r="M1358" s="31">
        <f t="shared" si="105"/>
        <v>0</v>
      </c>
      <c r="N1358" s="32" t="str">
        <f t="shared" si="106"/>
        <v>n/a</v>
      </c>
      <c r="O1358" s="6" t="str">
        <f>IF(ABS(M1358)&lt;Overview!$B$6,"OK",IF(I1358=0,"REVIEW (zero base)",IF(ABS(M1358/ABS(I1358))&gt;=Overview!$B$5,"REVIEW","OK")))</f>
        <v>OK</v>
      </c>
      <c r="P1358" s="31">
        <f t="shared" si="107"/>
        <v>0</v>
      </c>
      <c r="Q1358" s="32" t="str">
        <f t="shared" si="108"/>
        <v>n/a</v>
      </c>
      <c r="R1358" s="6" t="str">
        <f>IF(ABS(P1358)&lt;Overview!$B$6,"OK",IF(J1358=0,"REVIEW (zero base)",IF(ABS(P1358/ABS(J1358))&gt;=Overview!$B$5,"REVIEW","OK")))</f>
        <v>OK</v>
      </c>
      <c r="S1358" s="33">
        <f t="shared" si="109"/>
        <v>1.358E-3</v>
      </c>
    </row>
    <row r="1359" spans="1:19" x14ac:dyDescent="0.2">
      <c r="A1359" s="17">
        <v>1357</v>
      </c>
      <c r="B1359" s="17" t="s">
        <v>171</v>
      </c>
      <c r="C1359" s="17" t="s">
        <v>338</v>
      </c>
      <c r="D1359" s="17" t="s">
        <v>59</v>
      </c>
      <c r="E1359" s="17" t="s">
        <v>114</v>
      </c>
      <c r="F1359" s="17" t="s">
        <v>409</v>
      </c>
      <c r="G1359" s="17" t="s">
        <v>410</v>
      </c>
      <c r="H1359" s="30">
        <v>43200</v>
      </c>
      <c r="I1359" s="30">
        <v>44914</v>
      </c>
      <c r="J1359" s="30">
        <v>40000</v>
      </c>
      <c r="K1359" s="30">
        <v>35000</v>
      </c>
      <c r="L1359" s="30">
        <v>35245</v>
      </c>
      <c r="M1359" s="31">
        <f t="shared" si="105"/>
        <v>-4914</v>
      </c>
      <c r="N1359" s="32">
        <f t="shared" si="106"/>
        <v>-0.10940909293316116</v>
      </c>
      <c r="O1359" s="6" t="str">
        <f>IF(ABS(M1359)&lt;Overview!$B$6,"OK",IF(I1359=0,"REVIEW (zero base)",IF(ABS(M1359/ABS(I1359))&gt;=Overview!$B$5,"REVIEW","OK")))</f>
        <v>OK</v>
      </c>
      <c r="P1359" s="31">
        <f t="shared" si="107"/>
        <v>-5000</v>
      </c>
      <c r="Q1359" s="32">
        <f t="shared" si="108"/>
        <v>-0.125</v>
      </c>
      <c r="R1359" s="6" t="str">
        <f>IF(ABS(P1359)&lt;Overview!$B$6,"OK",IF(J1359=0,"REVIEW (zero base)",IF(ABS(P1359/ABS(J1359))&gt;=Overview!$B$5,"REVIEW","OK")))</f>
        <v>OK</v>
      </c>
      <c r="S1359" s="33">
        <f t="shared" si="109"/>
        <v>4914.0013589999999</v>
      </c>
    </row>
    <row r="1360" spans="1:19" x14ac:dyDescent="0.2">
      <c r="A1360" s="17">
        <v>1358</v>
      </c>
      <c r="B1360" s="17" t="s">
        <v>171</v>
      </c>
      <c r="C1360" s="17" t="s">
        <v>338</v>
      </c>
      <c r="D1360" s="17" t="s">
        <v>59</v>
      </c>
      <c r="E1360" s="17" t="s">
        <v>114</v>
      </c>
      <c r="F1360" s="17" t="s">
        <v>347</v>
      </c>
      <c r="G1360" s="17" t="s">
        <v>348</v>
      </c>
      <c r="H1360" s="30">
        <v>24913</v>
      </c>
      <c r="I1360" s="30">
        <v>128992</v>
      </c>
      <c r="J1360" s="30">
        <v>36000</v>
      </c>
      <c r="K1360" s="30">
        <v>24000</v>
      </c>
      <c r="L1360" s="30">
        <v>24168</v>
      </c>
      <c r="M1360" s="31">
        <f t="shared" si="105"/>
        <v>-92992</v>
      </c>
      <c r="N1360" s="32">
        <f t="shared" si="106"/>
        <v>-0.72091292483254776</v>
      </c>
      <c r="O1360" s="6" t="str">
        <f>IF(ABS(M1360)&lt;Overview!$B$6,"OK",IF(I1360=0,"REVIEW (zero base)",IF(ABS(M1360/ABS(I1360))&gt;=Overview!$B$5,"REVIEW","OK")))</f>
        <v>OK</v>
      </c>
      <c r="P1360" s="31">
        <f t="shared" si="107"/>
        <v>-12000</v>
      </c>
      <c r="Q1360" s="32">
        <f t="shared" si="108"/>
        <v>-0.33333333333333331</v>
      </c>
      <c r="R1360" s="6" t="str">
        <f>IF(ABS(P1360)&lt;Overview!$B$6,"OK",IF(J1360=0,"REVIEW (zero base)",IF(ABS(P1360/ABS(J1360))&gt;=Overview!$B$5,"REVIEW","OK")))</f>
        <v>OK</v>
      </c>
      <c r="S1360" s="33">
        <f t="shared" si="109"/>
        <v>92992.001359999995</v>
      </c>
    </row>
    <row r="1361" spans="1:19" x14ac:dyDescent="0.2">
      <c r="A1361" s="17">
        <v>1359</v>
      </c>
      <c r="B1361" s="17" t="s">
        <v>171</v>
      </c>
      <c r="C1361" s="17" t="s">
        <v>338</v>
      </c>
      <c r="D1361" s="17" t="s">
        <v>59</v>
      </c>
      <c r="E1361" s="17" t="s">
        <v>114</v>
      </c>
      <c r="F1361" s="17" t="s">
        <v>386</v>
      </c>
      <c r="G1361" s="17" t="s">
        <v>413</v>
      </c>
      <c r="H1361" s="30">
        <v>627</v>
      </c>
      <c r="I1361" s="30">
        <v>4105</v>
      </c>
      <c r="J1361" s="30">
        <v>3600</v>
      </c>
      <c r="K1361" s="30">
        <v>3600</v>
      </c>
      <c r="L1361" s="30">
        <v>3625</v>
      </c>
      <c r="M1361" s="31">
        <f t="shared" si="105"/>
        <v>-505</v>
      </c>
      <c r="N1361" s="32">
        <f t="shared" si="106"/>
        <v>-0.12302070645554203</v>
      </c>
      <c r="O1361" s="6" t="str">
        <f>IF(ABS(M1361)&lt;Overview!$B$6,"OK",IF(I1361=0,"REVIEW (zero base)",IF(ABS(M1361/ABS(I1361))&gt;=Overview!$B$5,"REVIEW","OK")))</f>
        <v>OK</v>
      </c>
      <c r="P1361" s="31">
        <f t="shared" si="107"/>
        <v>0</v>
      </c>
      <c r="Q1361" s="32">
        <f t="shared" si="108"/>
        <v>0</v>
      </c>
      <c r="R1361" s="6" t="str">
        <f>IF(ABS(P1361)&lt;Overview!$B$6,"OK",IF(J1361=0,"REVIEW (zero base)",IF(ABS(P1361/ABS(J1361))&gt;=Overview!$B$5,"REVIEW","OK")))</f>
        <v>OK</v>
      </c>
      <c r="S1361" s="33">
        <f t="shared" si="109"/>
        <v>505.00136099999997</v>
      </c>
    </row>
    <row r="1362" spans="1:19" x14ac:dyDescent="0.2">
      <c r="A1362" s="17">
        <v>1360</v>
      </c>
      <c r="B1362" s="17" t="s">
        <v>171</v>
      </c>
      <c r="C1362" s="17" t="s">
        <v>338</v>
      </c>
      <c r="D1362" s="17" t="s">
        <v>59</v>
      </c>
      <c r="E1362" s="17" t="s">
        <v>114</v>
      </c>
      <c r="F1362" s="17" t="s">
        <v>386</v>
      </c>
      <c r="G1362" s="17" t="s">
        <v>387</v>
      </c>
      <c r="H1362" s="30">
        <v>1507</v>
      </c>
      <c r="I1362" s="30">
        <v>0</v>
      </c>
      <c r="J1362" s="30">
        <v>0</v>
      </c>
      <c r="K1362" s="30">
        <v>0</v>
      </c>
      <c r="L1362" s="30">
        <v>0</v>
      </c>
      <c r="M1362" s="31">
        <f t="shared" si="105"/>
        <v>0</v>
      </c>
      <c r="N1362" s="32" t="str">
        <f t="shared" si="106"/>
        <v>n/a</v>
      </c>
      <c r="O1362" s="6" t="str">
        <f>IF(ABS(M1362)&lt;Overview!$B$6,"OK",IF(I1362=0,"REVIEW (zero base)",IF(ABS(M1362/ABS(I1362))&gt;=Overview!$B$5,"REVIEW","OK")))</f>
        <v>OK</v>
      </c>
      <c r="P1362" s="31">
        <f t="shared" si="107"/>
        <v>0</v>
      </c>
      <c r="Q1362" s="32" t="str">
        <f t="shared" si="108"/>
        <v>n/a</v>
      </c>
      <c r="R1362" s="6" t="str">
        <f>IF(ABS(P1362)&lt;Overview!$B$6,"OK",IF(J1362=0,"REVIEW (zero base)",IF(ABS(P1362/ABS(J1362))&gt;=Overview!$B$5,"REVIEW","OK")))</f>
        <v>OK</v>
      </c>
      <c r="S1362" s="33">
        <f t="shared" si="109"/>
        <v>1.3619999999999999E-3</v>
      </c>
    </row>
    <row r="1363" spans="1:19" x14ac:dyDescent="0.2">
      <c r="A1363" s="17">
        <v>1361</v>
      </c>
      <c r="B1363" s="17" t="s">
        <v>171</v>
      </c>
      <c r="C1363" s="17" t="s">
        <v>338</v>
      </c>
      <c r="D1363" s="17" t="s">
        <v>59</v>
      </c>
      <c r="E1363" s="17" t="s">
        <v>109</v>
      </c>
      <c r="F1363" s="17" t="s">
        <v>339</v>
      </c>
      <c r="G1363" s="17" t="s">
        <v>340</v>
      </c>
      <c r="H1363" s="30">
        <v>637055</v>
      </c>
      <c r="I1363" s="30">
        <v>665367</v>
      </c>
      <c r="J1363" s="30">
        <v>807559</v>
      </c>
      <c r="K1363" s="30">
        <v>891725</v>
      </c>
      <c r="L1363" s="30">
        <v>900642</v>
      </c>
      <c r="M1363" s="31">
        <f t="shared" si="105"/>
        <v>142192</v>
      </c>
      <c r="N1363" s="32">
        <f t="shared" si="106"/>
        <v>0.21370461715113614</v>
      </c>
      <c r="O1363" s="6" t="str">
        <f>IF(ABS(M1363)&lt;Overview!$B$6,"OK",IF(I1363=0,"REVIEW (zero base)",IF(ABS(M1363/ABS(I1363))&gt;=Overview!$B$5,"REVIEW","OK")))</f>
        <v>OK</v>
      </c>
      <c r="P1363" s="31">
        <f t="shared" si="107"/>
        <v>84166</v>
      </c>
      <c r="Q1363" s="32">
        <f t="shared" si="108"/>
        <v>0.10422272552222191</v>
      </c>
      <c r="R1363" s="6" t="str">
        <f>IF(ABS(P1363)&lt;Overview!$B$6,"OK",IF(J1363=0,"REVIEW (zero base)",IF(ABS(P1363/ABS(J1363))&gt;=Overview!$B$5,"REVIEW","OK")))</f>
        <v>OK</v>
      </c>
      <c r="S1363" s="33">
        <f t="shared" si="109"/>
        <v>142192.00136299999</v>
      </c>
    </row>
    <row r="1364" spans="1:19" x14ac:dyDescent="0.2">
      <c r="A1364" s="17">
        <v>1362</v>
      </c>
      <c r="B1364" s="17" t="s">
        <v>171</v>
      </c>
      <c r="C1364" s="17" t="s">
        <v>338</v>
      </c>
      <c r="D1364" s="17" t="s">
        <v>59</v>
      </c>
      <c r="E1364" s="17" t="s">
        <v>109</v>
      </c>
      <c r="F1364" s="17" t="s">
        <v>339</v>
      </c>
      <c r="G1364" s="17" t="s">
        <v>390</v>
      </c>
      <c r="H1364" s="30">
        <v>1377</v>
      </c>
      <c r="I1364" s="30">
        <v>8866</v>
      </c>
      <c r="J1364" s="30">
        <v>0</v>
      </c>
      <c r="K1364" s="30">
        <v>0</v>
      </c>
      <c r="L1364" s="30">
        <v>0</v>
      </c>
      <c r="M1364" s="31">
        <f t="shared" si="105"/>
        <v>-8866</v>
      </c>
      <c r="N1364" s="32">
        <f t="shared" si="106"/>
        <v>-1</v>
      </c>
      <c r="O1364" s="6" t="str">
        <f>IF(ABS(M1364)&lt;Overview!$B$6,"OK",IF(I1364=0,"REVIEW (zero base)",IF(ABS(M1364/ABS(I1364))&gt;=Overview!$B$5,"REVIEW","OK")))</f>
        <v>OK</v>
      </c>
      <c r="P1364" s="31">
        <f t="shared" si="107"/>
        <v>0</v>
      </c>
      <c r="Q1364" s="32" t="str">
        <f t="shared" si="108"/>
        <v>n/a</v>
      </c>
      <c r="R1364" s="6" t="str">
        <f>IF(ABS(P1364)&lt;Overview!$B$6,"OK",IF(J1364=0,"REVIEW (zero base)",IF(ABS(P1364/ABS(J1364))&gt;=Overview!$B$5,"REVIEW","OK")))</f>
        <v>OK</v>
      </c>
      <c r="S1364" s="33">
        <f t="shared" si="109"/>
        <v>8866.0013639999997</v>
      </c>
    </row>
    <row r="1365" spans="1:19" x14ac:dyDescent="0.2">
      <c r="A1365" s="17">
        <v>1363</v>
      </c>
      <c r="B1365" s="17" t="s">
        <v>171</v>
      </c>
      <c r="C1365" s="17" t="s">
        <v>338</v>
      </c>
      <c r="D1365" s="17" t="s">
        <v>59</v>
      </c>
      <c r="E1365" s="17" t="s">
        <v>109</v>
      </c>
      <c r="F1365" s="17" t="s">
        <v>339</v>
      </c>
      <c r="G1365" s="17" t="s">
        <v>391</v>
      </c>
      <c r="H1365" s="30">
        <v>26355</v>
      </c>
      <c r="I1365" s="30">
        <v>26067</v>
      </c>
      <c r="J1365" s="30">
        <v>0</v>
      </c>
      <c r="K1365" s="30">
        <v>0</v>
      </c>
      <c r="L1365" s="30">
        <v>0</v>
      </c>
      <c r="M1365" s="31">
        <f t="shared" si="105"/>
        <v>-26067</v>
      </c>
      <c r="N1365" s="32">
        <f t="shared" si="106"/>
        <v>-1</v>
      </c>
      <c r="O1365" s="6" t="str">
        <f>IF(ABS(M1365)&lt;Overview!$B$6,"OK",IF(I1365=0,"REVIEW (zero base)",IF(ABS(M1365/ABS(I1365))&gt;=Overview!$B$5,"REVIEW","OK")))</f>
        <v>OK</v>
      </c>
      <c r="P1365" s="31">
        <f t="shared" si="107"/>
        <v>0</v>
      </c>
      <c r="Q1365" s="32" t="str">
        <f t="shared" si="108"/>
        <v>n/a</v>
      </c>
      <c r="R1365" s="6" t="str">
        <f>IF(ABS(P1365)&lt;Overview!$B$6,"OK",IF(J1365=0,"REVIEW (zero base)",IF(ABS(P1365/ABS(J1365))&gt;=Overview!$B$5,"REVIEW","OK")))</f>
        <v>OK</v>
      </c>
      <c r="S1365" s="33">
        <f t="shared" si="109"/>
        <v>26067.001365</v>
      </c>
    </row>
    <row r="1366" spans="1:19" x14ac:dyDescent="0.2">
      <c r="A1366" s="17">
        <v>1364</v>
      </c>
      <c r="B1366" s="17" t="s">
        <v>171</v>
      </c>
      <c r="C1366" s="17" t="s">
        <v>338</v>
      </c>
      <c r="D1366" s="17" t="s">
        <v>59</v>
      </c>
      <c r="E1366" s="17" t="s">
        <v>109</v>
      </c>
      <c r="F1366" s="17" t="s">
        <v>339</v>
      </c>
      <c r="G1366" s="17" t="s">
        <v>392</v>
      </c>
      <c r="H1366" s="30">
        <v>43015</v>
      </c>
      <c r="I1366" s="30">
        <v>41955</v>
      </c>
      <c r="J1366" s="30">
        <v>0</v>
      </c>
      <c r="K1366" s="30">
        <v>0</v>
      </c>
      <c r="L1366" s="30">
        <v>0</v>
      </c>
      <c r="M1366" s="31">
        <f t="shared" si="105"/>
        <v>-41955</v>
      </c>
      <c r="N1366" s="32">
        <f t="shared" si="106"/>
        <v>-1</v>
      </c>
      <c r="O1366" s="6" t="str">
        <f>IF(ABS(M1366)&lt;Overview!$B$6,"OK",IF(I1366=0,"REVIEW (zero base)",IF(ABS(M1366/ABS(I1366))&gt;=Overview!$B$5,"REVIEW","OK")))</f>
        <v>OK</v>
      </c>
      <c r="P1366" s="31">
        <f t="shared" si="107"/>
        <v>0</v>
      </c>
      <c r="Q1366" s="32" t="str">
        <f t="shared" si="108"/>
        <v>n/a</v>
      </c>
      <c r="R1366" s="6" t="str">
        <f>IF(ABS(P1366)&lt;Overview!$B$6,"OK",IF(J1366=0,"REVIEW (zero base)",IF(ABS(P1366/ABS(J1366))&gt;=Overview!$B$5,"REVIEW","OK")))</f>
        <v>OK</v>
      </c>
      <c r="S1366" s="33">
        <f t="shared" si="109"/>
        <v>41955.001365999997</v>
      </c>
    </row>
    <row r="1367" spans="1:19" x14ac:dyDescent="0.2">
      <c r="A1367" s="17">
        <v>1365</v>
      </c>
      <c r="B1367" s="17" t="s">
        <v>171</v>
      </c>
      <c r="C1367" s="17" t="s">
        <v>338</v>
      </c>
      <c r="D1367" s="17" t="s">
        <v>59</v>
      </c>
      <c r="E1367" s="17" t="s">
        <v>109</v>
      </c>
      <c r="F1367" s="17" t="s">
        <v>339</v>
      </c>
      <c r="G1367" s="17" t="s">
        <v>394</v>
      </c>
      <c r="H1367" s="30">
        <v>49093</v>
      </c>
      <c r="I1367" s="30">
        <v>44751</v>
      </c>
      <c r="J1367" s="30">
        <v>0</v>
      </c>
      <c r="K1367" s="30">
        <v>0</v>
      </c>
      <c r="L1367" s="30">
        <v>0</v>
      </c>
      <c r="M1367" s="31">
        <f t="shared" si="105"/>
        <v>-44751</v>
      </c>
      <c r="N1367" s="32">
        <f t="shared" si="106"/>
        <v>-1</v>
      </c>
      <c r="O1367" s="6" t="str">
        <f>IF(ABS(M1367)&lt;Overview!$B$6,"OK",IF(I1367=0,"REVIEW (zero base)",IF(ABS(M1367/ABS(I1367))&gt;=Overview!$B$5,"REVIEW","OK")))</f>
        <v>OK</v>
      </c>
      <c r="P1367" s="31">
        <f t="shared" si="107"/>
        <v>0</v>
      </c>
      <c r="Q1367" s="32" t="str">
        <f t="shared" si="108"/>
        <v>n/a</v>
      </c>
      <c r="R1367" s="6" t="str">
        <f>IF(ABS(P1367)&lt;Overview!$B$6,"OK",IF(J1367=0,"REVIEW (zero base)",IF(ABS(P1367/ABS(J1367))&gt;=Overview!$B$5,"REVIEW","OK")))</f>
        <v>OK</v>
      </c>
      <c r="S1367" s="33">
        <f t="shared" si="109"/>
        <v>44751.001366999997</v>
      </c>
    </row>
    <row r="1368" spans="1:19" x14ac:dyDescent="0.2">
      <c r="A1368" s="17">
        <v>1366</v>
      </c>
      <c r="B1368" s="17" t="s">
        <v>171</v>
      </c>
      <c r="C1368" s="17" t="s">
        <v>338</v>
      </c>
      <c r="D1368" s="17" t="s">
        <v>59</v>
      </c>
      <c r="E1368" s="17" t="s">
        <v>109</v>
      </c>
      <c r="F1368" s="17" t="s">
        <v>339</v>
      </c>
      <c r="G1368" s="17" t="s">
        <v>395</v>
      </c>
      <c r="H1368" s="30">
        <v>24562</v>
      </c>
      <c r="I1368" s="30">
        <v>23631</v>
      </c>
      <c r="J1368" s="30">
        <v>28019</v>
      </c>
      <c r="K1368" s="30">
        <v>32431</v>
      </c>
      <c r="L1368" s="30">
        <v>32755</v>
      </c>
      <c r="M1368" s="31">
        <f t="shared" si="105"/>
        <v>4388</v>
      </c>
      <c r="N1368" s="32">
        <f t="shared" si="106"/>
        <v>0.18568829080445179</v>
      </c>
      <c r="O1368" s="6" t="str">
        <f>IF(ABS(M1368)&lt;Overview!$B$6,"OK",IF(I1368=0,"REVIEW (zero base)",IF(ABS(M1368/ABS(I1368))&gt;=Overview!$B$5,"REVIEW","OK")))</f>
        <v>OK</v>
      </c>
      <c r="P1368" s="31">
        <f t="shared" si="107"/>
        <v>4412</v>
      </c>
      <c r="Q1368" s="32">
        <f t="shared" si="108"/>
        <v>0.15746457760805169</v>
      </c>
      <c r="R1368" s="6" t="str">
        <f>IF(ABS(P1368)&lt;Overview!$B$6,"OK",IF(J1368=0,"REVIEW (zero base)",IF(ABS(P1368/ABS(J1368))&gt;=Overview!$B$5,"REVIEW","OK")))</f>
        <v>OK</v>
      </c>
      <c r="S1368" s="33">
        <f t="shared" si="109"/>
        <v>4388.0013680000002</v>
      </c>
    </row>
    <row r="1369" spans="1:19" x14ac:dyDescent="0.2">
      <c r="A1369" s="17">
        <v>1367</v>
      </c>
      <c r="B1369" s="17" t="s">
        <v>171</v>
      </c>
      <c r="C1369" s="17" t="s">
        <v>338</v>
      </c>
      <c r="D1369" s="17" t="s">
        <v>59</v>
      </c>
      <c r="E1369" s="17" t="s">
        <v>109</v>
      </c>
      <c r="F1369" s="17" t="s">
        <v>341</v>
      </c>
      <c r="G1369" s="17" t="s">
        <v>342</v>
      </c>
      <c r="H1369" s="30">
        <v>13047</v>
      </c>
      <c r="I1369" s="30">
        <v>12354</v>
      </c>
      <c r="J1369" s="30">
        <v>15624</v>
      </c>
      <c r="K1369" s="30">
        <v>15624</v>
      </c>
      <c r="L1369" s="30">
        <v>15624</v>
      </c>
      <c r="M1369" s="31">
        <f t="shared" si="105"/>
        <v>3270</v>
      </c>
      <c r="N1369" s="32">
        <f t="shared" si="106"/>
        <v>0.26469159786304031</v>
      </c>
      <c r="O1369" s="6" t="str">
        <f>IF(ABS(M1369)&lt;Overview!$B$6,"OK",IF(I1369=0,"REVIEW (zero base)",IF(ABS(M1369/ABS(I1369))&gt;=Overview!$B$5,"REVIEW","OK")))</f>
        <v>OK</v>
      </c>
      <c r="P1369" s="31">
        <f t="shared" si="107"/>
        <v>0</v>
      </c>
      <c r="Q1369" s="32">
        <f t="shared" si="108"/>
        <v>0</v>
      </c>
      <c r="R1369" s="6" t="str">
        <f>IF(ABS(P1369)&lt;Overview!$B$6,"OK",IF(J1369=0,"REVIEW (zero base)",IF(ABS(P1369/ABS(J1369))&gt;=Overview!$B$5,"REVIEW","OK")))</f>
        <v>OK</v>
      </c>
      <c r="S1369" s="33">
        <f t="shared" si="109"/>
        <v>3270.0013690000001</v>
      </c>
    </row>
    <row r="1370" spans="1:19" x14ac:dyDescent="0.2">
      <c r="A1370" s="17">
        <v>1368</v>
      </c>
      <c r="B1370" s="17" t="s">
        <v>171</v>
      </c>
      <c r="C1370" s="17" t="s">
        <v>338</v>
      </c>
      <c r="D1370" s="17" t="s">
        <v>59</v>
      </c>
      <c r="E1370" s="17" t="s">
        <v>109</v>
      </c>
      <c r="F1370" s="17" t="s">
        <v>341</v>
      </c>
      <c r="G1370" s="17" t="s">
        <v>406</v>
      </c>
      <c r="H1370" s="30">
        <v>1500</v>
      </c>
      <c r="I1370" s="30">
        <v>1500</v>
      </c>
      <c r="J1370" s="30">
        <v>0</v>
      </c>
      <c r="K1370" s="30">
        <v>0</v>
      </c>
      <c r="L1370" s="30">
        <v>0</v>
      </c>
      <c r="M1370" s="31">
        <f t="shared" si="105"/>
        <v>-1500</v>
      </c>
      <c r="N1370" s="32">
        <f t="shared" si="106"/>
        <v>-1</v>
      </c>
      <c r="O1370" s="6" t="str">
        <f>IF(ABS(M1370)&lt;Overview!$B$6,"OK",IF(I1370=0,"REVIEW (zero base)",IF(ABS(M1370/ABS(I1370))&gt;=Overview!$B$5,"REVIEW","OK")))</f>
        <v>OK</v>
      </c>
      <c r="P1370" s="31">
        <f t="shared" si="107"/>
        <v>0</v>
      </c>
      <c r="Q1370" s="32" t="str">
        <f t="shared" si="108"/>
        <v>n/a</v>
      </c>
      <c r="R1370" s="6" t="str">
        <f>IF(ABS(P1370)&lt;Overview!$B$6,"OK",IF(J1370=0,"REVIEW (zero base)",IF(ABS(P1370/ABS(J1370))&gt;=Overview!$B$5,"REVIEW","OK")))</f>
        <v>OK</v>
      </c>
      <c r="S1370" s="33">
        <f t="shared" si="109"/>
        <v>1500.00137</v>
      </c>
    </row>
    <row r="1371" spans="1:19" x14ac:dyDescent="0.2">
      <c r="A1371" s="17">
        <v>1369</v>
      </c>
      <c r="B1371" s="17" t="s">
        <v>171</v>
      </c>
      <c r="C1371" s="17" t="s">
        <v>338</v>
      </c>
      <c r="D1371" s="17" t="s">
        <v>59</v>
      </c>
      <c r="E1371" s="17" t="s">
        <v>109</v>
      </c>
      <c r="F1371" s="17" t="s">
        <v>341</v>
      </c>
      <c r="G1371" s="17" t="s">
        <v>375</v>
      </c>
      <c r="H1371" s="30">
        <v>46240</v>
      </c>
      <c r="I1371" s="30">
        <v>53876</v>
      </c>
      <c r="J1371" s="30">
        <v>45500</v>
      </c>
      <c r="K1371" s="30">
        <v>45500</v>
      </c>
      <c r="L1371" s="30">
        <v>45500</v>
      </c>
      <c r="M1371" s="31">
        <f t="shared" si="105"/>
        <v>-8376</v>
      </c>
      <c r="N1371" s="32">
        <f t="shared" si="106"/>
        <v>-0.15546811196079888</v>
      </c>
      <c r="O1371" s="6" t="str">
        <f>IF(ABS(M1371)&lt;Overview!$B$6,"OK",IF(I1371=0,"REVIEW (zero base)",IF(ABS(M1371/ABS(I1371))&gt;=Overview!$B$5,"REVIEW","OK")))</f>
        <v>OK</v>
      </c>
      <c r="P1371" s="31">
        <f t="shared" si="107"/>
        <v>0</v>
      </c>
      <c r="Q1371" s="32">
        <f t="shared" si="108"/>
        <v>0</v>
      </c>
      <c r="R1371" s="6" t="str">
        <f>IF(ABS(P1371)&lt;Overview!$B$6,"OK",IF(J1371=0,"REVIEW (zero base)",IF(ABS(P1371/ABS(J1371))&gt;=Overview!$B$5,"REVIEW","OK")))</f>
        <v>OK</v>
      </c>
      <c r="S1371" s="33">
        <f t="shared" si="109"/>
        <v>8376.0013710000003</v>
      </c>
    </row>
    <row r="1372" spans="1:19" x14ac:dyDescent="0.2">
      <c r="A1372" s="17">
        <v>1370</v>
      </c>
      <c r="B1372" s="17" t="s">
        <v>171</v>
      </c>
      <c r="C1372" s="17" t="s">
        <v>338</v>
      </c>
      <c r="D1372" s="17" t="s">
        <v>59</v>
      </c>
      <c r="E1372" s="17" t="s">
        <v>109</v>
      </c>
      <c r="F1372" s="17" t="s">
        <v>341</v>
      </c>
      <c r="G1372" s="17" t="s">
        <v>376</v>
      </c>
      <c r="H1372" s="30">
        <v>223277</v>
      </c>
      <c r="I1372" s="30">
        <v>237867</v>
      </c>
      <c r="J1372" s="30">
        <v>237901</v>
      </c>
      <c r="K1372" s="30">
        <v>247860</v>
      </c>
      <c r="L1372" s="30">
        <v>260823</v>
      </c>
      <c r="M1372" s="31">
        <f t="shared" si="105"/>
        <v>34</v>
      </c>
      <c r="N1372" s="32">
        <f t="shared" si="106"/>
        <v>1.4293701942682255E-4</v>
      </c>
      <c r="O1372" s="6" t="str">
        <f>IF(ABS(M1372)&lt;Overview!$B$6,"OK",IF(I1372=0,"REVIEW (zero base)",IF(ABS(M1372/ABS(I1372))&gt;=Overview!$B$5,"REVIEW","OK")))</f>
        <v>OK</v>
      </c>
      <c r="P1372" s="31">
        <f t="shared" si="107"/>
        <v>9959</v>
      </c>
      <c r="Q1372" s="32">
        <f t="shared" si="108"/>
        <v>4.1861950979609167E-2</v>
      </c>
      <c r="R1372" s="6" t="str">
        <f>IF(ABS(P1372)&lt;Overview!$B$6,"OK",IF(J1372=0,"REVIEW (zero base)",IF(ABS(P1372/ABS(J1372))&gt;=Overview!$B$5,"REVIEW","OK")))</f>
        <v>OK</v>
      </c>
      <c r="S1372" s="33">
        <f t="shared" si="109"/>
        <v>34.001372000000003</v>
      </c>
    </row>
    <row r="1373" spans="1:19" x14ac:dyDescent="0.2">
      <c r="A1373" s="17">
        <v>1371</v>
      </c>
      <c r="B1373" s="17" t="s">
        <v>171</v>
      </c>
      <c r="C1373" s="17" t="s">
        <v>338</v>
      </c>
      <c r="D1373" s="17" t="s">
        <v>59</v>
      </c>
      <c r="E1373" s="17" t="s">
        <v>109</v>
      </c>
      <c r="F1373" s="17" t="s">
        <v>341</v>
      </c>
      <c r="G1373" s="17" t="s">
        <v>343</v>
      </c>
      <c r="H1373" s="30">
        <v>57513</v>
      </c>
      <c r="I1373" s="30">
        <v>60589</v>
      </c>
      <c r="J1373" s="30">
        <v>72540</v>
      </c>
      <c r="K1373" s="30">
        <v>75670</v>
      </c>
      <c r="L1373" s="30">
        <v>76427</v>
      </c>
      <c r="M1373" s="31">
        <f t="shared" si="105"/>
        <v>11951</v>
      </c>
      <c r="N1373" s="32">
        <f t="shared" si="106"/>
        <v>0.19724702503754807</v>
      </c>
      <c r="O1373" s="6" t="str">
        <f>IF(ABS(M1373)&lt;Overview!$B$6,"OK",IF(I1373=0,"REVIEW (zero base)",IF(ABS(M1373/ABS(I1373))&gt;=Overview!$B$5,"REVIEW","OK")))</f>
        <v>OK</v>
      </c>
      <c r="P1373" s="31">
        <f t="shared" si="107"/>
        <v>3130</v>
      </c>
      <c r="Q1373" s="32">
        <f t="shared" si="108"/>
        <v>4.3148607664736695E-2</v>
      </c>
      <c r="R1373" s="6" t="str">
        <f>IF(ABS(P1373)&lt;Overview!$B$6,"OK",IF(J1373=0,"REVIEW (zero base)",IF(ABS(P1373/ABS(J1373))&gt;=Overview!$B$5,"REVIEW","OK")))</f>
        <v>OK</v>
      </c>
      <c r="S1373" s="33">
        <f t="shared" si="109"/>
        <v>11951.001372999999</v>
      </c>
    </row>
    <row r="1374" spans="1:19" x14ac:dyDescent="0.2">
      <c r="A1374" s="17">
        <v>1372</v>
      </c>
      <c r="B1374" s="17" t="s">
        <v>171</v>
      </c>
      <c r="C1374" s="17" t="s">
        <v>338</v>
      </c>
      <c r="D1374" s="17" t="s">
        <v>59</v>
      </c>
      <c r="E1374" s="17" t="s">
        <v>109</v>
      </c>
      <c r="F1374" s="17" t="s">
        <v>341</v>
      </c>
      <c r="G1374" s="17" t="s">
        <v>378</v>
      </c>
      <c r="H1374" s="30">
        <v>38069</v>
      </c>
      <c r="I1374" s="30">
        <v>40599</v>
      </c>
      <c r="J1374" s="30">
        <v>34398</v>
      </c>
      <c r="K1374" s="30">
        <v>36400</v>
      </c>
      <c r="L1374" s="30">
        <v>38013</v>
      </c>
      <c r="M1374" s="31">
        <f t="shared" si="105"/>
        <v>-6201</v>
      </c>
      <c r="N1374" s="32">
        <f t="shared" si="106"/>
        <v>-0.15273775216138327</v>
      </c>
      <c r="O1374" s="6" t="str">
        <f>IF(ABS(M1374)&lt;Overview!$B$6,"OK",IF(I1374=0,"REVIEW (zero base)",IF(ABS(M1374/ABS(I1374))&gt;=Overview!$B$5,"REVIEW","OK")))</f>
        <v>OK</v>
      </c>
      <c r="P1374" s="31">
        <f t="shared" si="107"/>
        <v>2002</v>
      </c>
      <c r="Q1374" s="32">
        <f t="shared" si="108"/>
        <v>5.8201058201058198E-2</v>
      </c>
      <c r="R1374" s="6" t="str">
        <f>IF(ABS(P1374)&lt;Overview!$B$6,"OK",IF(J1374=0,"REVIEW (zero base)",IF(ABS(P1374/ABS(J1374))&gt;=Overview!$B$5,"REVIEW","OK")))</f>
        <v>OK</v>
      </c>
      <c r="S1374" s="33">
        <f t="shared" si="109"/>
        <v>6201.0013740000004</v>
      </c>
    </row>
    <row r="1375" spans="1:19" x14ac:dyDescent="0.2">
      <c r="A1375" s="17">
        <v>1373</v>
      </c>
      <c r="B1375" s="17" t="s">
        <v>171</v>
      </c>
      <c r="C1375" s="17" t="s">
        <v>338</v>
      </c>
      <c r="D1375" s="17" t="s">
        <v>59</v>
      </c>
      <c r="E1375" s="17" t="s">
        <v>109</v>
      </c>
      <c r="F1375" s="17" t="s">
        <v>341</v>
      </c>
      <c r="G1375" s="17" t="s">
        <v>344</v>
      </c>
      <c r="H1375" s="30">
        <v>132520</v>
      </c>
      <c r="I1375" s="30">
        <v>125796</v>
      </c>
      <c r="J1375" s="30">
        <v>158922</v>
      </c>
      <c r="K1375" s="30">
        <v>185016</v>
      </c>
      <c r="L1375" s="30">
        <v>188716</v>
      </c>
      <c r="M1375" s="31">
        <f t="shared" si="105"/>
        <v>33126</v>
      </c>
      <c r="N1375" s="32">
        <f t="shared" si="106"/>
        <v>0.26333110750739291</v>
      </c>
      <c r="O1375" s="6" t="str">
        <f>IF(ABS(M1375)&lt;Overview!$B$6,"OK",IF(I1375=0,"REVIEW (zero base)",IF(ABS(M1375/ABS(I1375))&gt;=Overview!$B$5,"REVIEW","OK")))</f>
        <v>OK</v>
      </c>
      <c r="P1375" s="31">
        <f t="shared" si="107"/>
        <v>26094</v>
      </c>
      <c r="Q1375" s="32">
        <f t="shared" si="108"/>
        <v>0.1641937554271907</v>
      </c>
      <c r="R1375" s="6" t="str">
        <f>IF(ABS(P1375)&lt;Overview!$B$6,"OK",IF(J1375=0,"REVIEW (zero base)",IF(ABS(P1375/ABS(J1375))&gt;=Overview!$B$5,"REVIEW","OK")))</f>
        <v>OK</v>
      </c>
      <c r="S1375" s="33">
        <f t="shared" si="109"/>
        <v>33126.001375</v>
      </c>
    </row>
    <row r="1376" spans="1:19" x14ac:dyDescent="0.2">
      <c r="A1376" s="17">
        <v>1374</v>
      </c>
      <c r="B1376" s="17" t="s">
        <v>171</v>
      </c>
      <c r="C1376" s="17" t="s">
        <v>338</v>
      </c>
      <c r="D1376" s="17" t="s">
        <v>59</v>
      </c>
      <c r="E1376" s="17" t="s">
        <v>109</v>
      </c>
      <c r="F1376" s="17" t="s">
        <v>364</v>
      </c>
      <c r="G1376" s="17" t="s">
        <v>379</v>
      </c>
      <c r="H1376" s="30">
        <v>0</v>
      </c>
      <c r="I1376" s="30">
        <v>0</v>
      </c>
      <c r="J1376" s="30">
        <v>0</v>
      </c>
      <c r="K1376" s="30">
        <v>7020</v>
      </c>
      <c r="L1376" s="30">
        <v>7069</v>
      </c>
      <c r="M1376" s="31">
        <f t="shared" si="105"/>
        <v>0</v>
      </c>
      <c r="N1376" s="32" t="str">
        <f t="shared" si="106"/>
        <v>n/a</v>
      </c>
      <c r="O1376" s="6" t="str">
        <f>IF(ABS(M1376)&lt;Overview!$B$6,"OK",IF(I1376=0,"REVIEW (zero base)",IF(ABS(M1376/ABS(I1376))&gt;=Overview!$B$5,"REVIEW","OK")))</f>
        <v>OK</v>
      </c>
      <c r="P1376" s="31">
        <f t="shared" si="107"/>
        <v>7020</v>
      </c>
      <c r="Q1376" s="32" t="str">
        <f t="shared" si="108"/>
        <v>n/a</v>
      </c>
      <c r="R1376" s="6" t="str">
        <f>IF(ABS(P1376)&lt;Overview!$B$6,"OK",IF(J1376=0,"REVIEW (zero base)",IF(ABS(P1376/ABS(J1376))&gt;=Overview!$B$5,"REVIEW","OK")))</f>
        <v>OK</v>
      </c>
      <c r="S1376" s="33">
        <f t="shared" si="109"/>
        <v>1.3760000000000001E-3</v>
      </c>
    </row>
    <row r="1377" spans="1:19" x14ac:dyDescent="0.2">
      <c r="A1377" s="17">
        <v>1375</v>
      </c>
      <c r="B1377" s="17" t="s">
        <v>171</v>
      </c>
      <c r="C1377" s="17" t="s">
        <v>338</v>
      </c>
      <c r="D1377" s="17" t="s">
        <v>59</v>
      </c>
      <c r="E1377" s="17" t="s">
        <v>109</v>
      </c>
      <c r="F1377" s="17" t="s">
        <v>364</v>
      </c>
      <c r="G1377" s="17" t="s">
        <v>383</v>
      </c>
      <c r="H1377" s="30">
        <v>3262</v>
      </c>
      <c r="I1377" s="30">
        <v>13474</v>
      </c>
      <c r="J1377" s="30">
        <v>3500</v>
      </c>
      <c r="K1377" s="30">
        <v>3500</v>
      </c>
      <c r="L1377" s="30">
        <v>3500</v>
      </c>
      <c r="M1377" s="31">
        <f t="shared" si="105"/>
        <v>-9974</v>
      </c>
      <c r="N1377" s="32">
        <f t="shared" si="106"/>
        <v>-0.74024046311414571</v>
      </c>
      <c r="O1377" s="6" t="str">
        <f>IF(ABS(M1377)&lt;Overview!$B$6,"OK",IF(I1377=0,"REVIEW (zero base)",IF(ABS(M1377/ABS(I1377))&gt;=Overview!$B$5,"REVIEW","OK")))</f>
        <v>OK</v>
      </c>
      <c r="P1377" s="31">
        <f t="shared" si="107"/>
        <v>0</v>
      </c>
      <c r="Q1377" s="32">
        <f t="shared" si="108"/>
        <v>0</v>
      </c>
      <c r="R1377" s="6" t="str">
        <f>IF(ABS(P1377)&lt;Overview!$B$6,"OK",IF(J1377=0,"REVIEW (zero base)",IF(ABS(P1377/ABS(J1377))&gt;=Overview!$B$5,"REVIEW","OK")))</f>
        <v>OK</v>
      </c>
      <c r="S1377" s="33">
        <f t="shared" si="109"/>
        <v>9974.0013770000005</v>
      </c>
    </row>
    <row r="1378" spans="1:19" x14ac:dyDescent="0.2">
      <c r="A1378" s="17">
        <v>1376</v>
      </c>
      <c r="B1378" s="17" t="s">
        <v>171</v>
      </c>
      <c r="C1378" s="17" t="s">
        <v>338</v>
      </c>
      <c r="D1378" s="17" t="s">
        <v>59</v>
      </c>
      <c r="E1378" s="17" t="s">
        <v>109</v>
      </c>
      <c r="F1378" s="17" t="s">
        <v>400</v>
      </c>
      <c r="G1378" s="17" t="s">
        <v>401</v>
      </c>
      <c r="H1378" s="30">
        <v>0</v>
      </c>
      <c r="I1378" s="30">
        <v>0</v>
      </c>
      <c r="J1378" s="30">
        <v>1000</v>
      </c>
      <c r="K1378" s="30">
        <v>1000</v>
      </c>
      <c r="L1378" s="30">
        <v>1000</v>
      </c>
      <c r="M1378" s="31">
        <f t="shared" si="105"/>
        <v>1000</v>
      </c>
      <c r="N1378" s="32" t="str">
        <f t="shared" si="106"/>
        <v>n/a</v>
      </c>
      <c r="O1378" s="6" t="str">
        <f>IF(ABS(M1378)&lt;Overview!$B$6,"OK",IF(I1378=0,"REVIEW (zero base)",IF(ABS(M1378/ABS(I1378))&gt;=Overview!$B$5,"REVIEW","OK")))</f>
        <v>OK</v>
      </c>
      <c r="P1378" s="31">
        <f t="shared" si="107"/>
        <v>0</v>
      </c>
      <c r="Q1378" s="32">
        <f t="shared" si="108"/>
        <v>0</v>
      </c>
      <c r="R1378" s="6" t="str">
        <f>IF(ABS(P1378)&lt;Overview!$B$6,"OK",IF(J1378=0,"REVIEW (zero base)",IF(ABS(P1378/ABS(J1378))&gt;=Overview!$B$5,"REVIEW","OK")))</f>
        <v>OK</v>
      </c>
      <c r="S1378" s="33">
        <f t="shared" si="109"/>
        <v>1000.001378</v>
      </c>
    </row>
    <row r="1379" spans="1:19" x14ac:dyDescent="0.2">
      <c r="A1379" s="17">
        <v>1377</v>
      </c>
      <c r="B1379" s="17" t="s">
        <v>171</v>
      </c>
      <c r="C1379" s="17" t="s">
        <v>338</v>
      </c>
      <c r="D1379" s="17" t="s">
        <v>59</v>
      </c>
      <c r="E1379" s="17" t="s">
        <v>109</v>
      </c>
      <c r="F1379" s="17" t="s">
        <v>404</v>
      </c>
      <c r="G1379" s="17" t="s">
        <v>405</v>
      </c>
      <c r="H1379" s="30">
        <v>0</v>
      </c>
      <c r="I1379" s="30">
        <v>0</v>
      </c>
      <c r="J1379" s="30">
        <v>250</v>
      </c>
      <c r="K1379" s="30">
        <v>250</v>
      </c>
      <c r="L1379" s="30">
        <v>252</v>
      </c>
      <c r="M1379" s="31">
        <f t="shared" si="105"/>
        <v>250</v>
      </c>
      <c r="N1379" s="32" t="str">
        <f t="shared" si="106"/>
        <v>n/a</v>
      </c>
      <c r="O1379" s="6" t="str">
        <f>IF(ABS(M1379)&lt;Overview!$B$6,"OK",IF(I1379=0,"REVIEW (zero base)",IF(ABS(M1379/ABS(I1379))&gt;=Overview!$B$5,"REVIEW","OK")))</f>
        <v>OK</v>
      </c>
      <c r="P1379" s="31">
        <f t="shared" si="107"/>
        <v>0</v>
      </c>
      <c r="Q1379" s="32">
        <f t="shared" si="108"/>
        <v>0</v>
      </c>
      <c r="R1379" s="6" t="str">
        <f>IF(ABS(P1379)&lt;Overview!$B$6,"OK",IF(J1379=0,"REVIEW (zero base)",IF(ABS(P1379/ABS(J1379))&gt;=Overview!$B$5,"REVIEW","OK")))</f>
        <v>OK</v>
      </c>
      <c r="S1379" s="33">
        <f t="shared" si="109"/>
        <v>250.00137899999999</v>
      </c>
    </row>
    <row r="1380" spans="1:19" x14ac:dyDescent="0.2">
      <c r="A1380" s="17">
        <v>1378</v>
      </c>
      <c r="B1380" s="17" t="s">
        <v>171</v>
      </c>
      <c r="C1380" s="17" t="s">
        <v>338</v>
      </c>
      <c r="D1380" s="17" t="s">
        <v>59</v>
      </c>
      <c r="E1380" s="17" t="s">
        <v>109</v>
      </c>
      <c r="F1380" s="17" t="s">
        <v>347</v>
      </c>
      <c r="G1380" s="17" t="s">
        <v>348</v>
      </c>
      <c r="H1380" s="30">
        <v>3134</v>
      </c>
      <c r="I1380" s="30">
        <v>5883</v>
      </c>
      <c r="J1380" s="30">
        <v>7440</v>
      </c>
      <c r="K1380" s="30">
        <v>3000</v>
      </c>
      <c r="L1380" s="30">
        <v>3021</v>
      </c>
      <c r="M1380" s="31">
        <f t="shared" si="105"/>
        <v>1557</v>
      </c>
      <c r="N1380" s="32">
        <f t="shared" si="106"/>
        <v>0.26466088730239673</v>
      </c>
      <c r="O1380" s="6" t="str">
        <f>IF(ABS(M1380)&lt;Overview!$B$6,"OK",IF(I1380=0,"REVIEW (zero base)",IF(ABS(M1380/ABS(I1380))&gt;=Overview!$B$5,"REVIEW","OK")))</f>
        <v>OK</v>
      </c>
      <c r="P1380" s="31">
        <f t="shared" si="107"/>
        <v>-4440</v>
      </c>
      <c r="Q1380" s="32">
        <f t="shared" si="108"/>
        <v>-0.59677419354838712</v>
      </c>
      <c r="R1380" s="6" t="str">
        <f>IF(ABS(P1380)&lt;Overview!$B$6,"OK",IF(J1380=0,"REVIEW (zero base)",IF(ABS(P1380/ABS(J1380))&gt;=Overview!$B$5,"REVIEW","OK")))</f>
        <v>OK</v>
      </c>
      <c r="S1380" s="33">
        <f t="shared" si="109"/>
        <v>1557.0013799999999</v>
      </c>
    </row>
    <row r="1381" spans="1:19" x14ac:dyDescent="0.2">
      <c r="A1381" s="17">
        <v>1379</v>
      </c>
      <c r="B1381" s="17" t="s">
        <v>171</v>
      </c>
      <c r="C1381" s="17" t="s">
        <v>338</v>
      </c>
      <c r="D1381" s="17" t="s">
        <v>59</v>
      </c>
      <c r="E1381" s="17" t="s">
        <v>109</v>
      </c>
      <c r="F1381" s="17" t="s">
        <v>386</v>
      </c>
      <c r="G1381" s="17" t="s">
        <v>413</v>
      </c>
      <c r="H1381" s="30">
        <v>0</v>
      </c>
      <c r="I1381" s="30">
        <v>0</v>
      </c>
      <c r="J1381" s="30">
        <v>0</v>
      </c>
      <c r="K1381" s="30">
        <v>2460</v>
      </c>
      <c r="L1381" s="30">
        <v>2477</v>
      </c>
      <c r="M1381" s="31">
        <f t="shared" si="105"/>
        <v>0</v>
      </c>
      <c r="N1381" s="32" t="str">
        <f t="shared" si="106"/>
        <v>n/a</v>
      </c>
      <c r="O1381" s="6" t="str">
        <f>IF(ABS(M1381)&lt;Overview!$B$6,"OK",IF(I1381=0,"REVIEW (zero base)",IF(ABS(M1381/ABS(I1381))&gt;=Overview!$B$5,"REVIEW","OK")))</f>
        <v>OK</v>
      </c>
      <c r="P1381" s="31">
        <f t="shared" si="107"/>
        <v>2460</v>
      </c>
      <c r="Q1381" s="32" t="str">
        <f t="shared" si="108"/>
        <v>n/a</v>
      </c>
      <c r="R1381" s="6" t="str">
        <f>IF(ABS(P1381)&lt;Overview!$B$6,"OK",IF(J1381=0,"REVIEW (zero base)",IF(ABS(P1381/ABS(J1381))&gt;=Overview!$B$5,"REVIEW","OK")))</f>
        <v>OK</v>
      </c>
      <c r="S1381" s="33">
        <f t="shared" si="109"/>
        <v>1.3810000000000001E-3</v>
      </c>
    </row>
    <row r="1382" spans="1:19" x14ac:dyDescent="0.2">
      <c r="A1382" s="17">
        <v>1380</v>
      </c>
      <c r="B1382" s="17" t="s">
        <v>171</v>
      </c>
      <c r="C1382" s="17" t="s">
        <v>338</v>
      </c>
      <c r="D1382" s="17" t="s">
        <v>59</v>
      </c>
      <c r="E1382" s="17" t="s">
        <v>109</v>
      </c>
      <c r="F1382" s="17" t="s">
        <v>386</v>
      </c>
      <c r="G1382" s="17" t="s">
        <v>387</v>
      </c>
      <c r="H1382" s="30">
        <v>2387</v>
      </c>
      <c r="I1382" s="30">
        <v>0</v>
      </c>
      <c r="J1382" s="30">
        <v>2100</v>
      </c>
      <c r="K1382" s="30">
        <v>0</v>
      </c>
      <c r="L1382" s="30">
        <v>0</v>
      </c>
      <c r="M1382" s="31">
        <f t="shared" si="105"/>
        <v>2100</v>
      </c>
      <c r="N1382" s="32" t="str">
        <f t="shared" si="106"/>
        <v>n/a</v>
      </c>
      <c r="O1382" s="6" t="str">
        <f>IF(ABS(M1382)&lt;Overview!$B$6,"OK",IF(I1382=0,"REVIEW (zero base)",IF(ABS(M1382/ABS(I1382))&gt;=Overview!$B$5,"REVIEW","OK")))</f>
        <v>OK</v>
      </c>
      <c r="P1382" s="31">
        <f t="shared" si="107"/>
        <v>-2100</v>
      </c>
      <c r="Q1382" s="32">
        <f t="shared" si="108"/>
        <v>-1</v>
      </c>
      <c r="R1382" s="6" t="str">
        <f>IF(ABS(P1382)&lt;Overview!$B$6,"OK",IF(J1382=0,"REVIEW (zero base)",IF(ABS(P1382/ABS(J1382))&gt;=Overview!$B$5,"REVIEW","OK")))</f>
        <v>OK</v>
      </c>
      <c r="S1382" s="33">
        <f t="shared" si="109"/>
        <v>2100.0013819999999</v>
      </c>
    </row>
    <row r="1383" spans="1:19" x14ac:dyDescent="0.2">
      <c r="A1383" s="17">
        <v>1381</v>
      </c>
      <c r="B1383" s="17" t="s">
        <v>171</v>
      </c>
      <c r="C1383" s="17" t="s">
        <v>338</v>
      </c>
      <c r="D1383" s="17" t="s">
        <v>59</v>
      </c>
      <c r="E1383" s="17" t="s">
        <v>131</v>
      </c>
      <c r="F1383" s="17" t="s">
        <v>339</v>
      </c>
      <c r="G1383" s="17" t="s">
        <v>340</v>
      </c>
      <c r="H1383" s="30">
        <v>202067</v>
      </c>
      <c r="I1383" s="30">
        <v>246160</v>
      </c>
      <c r="J1383" s="30">
        <v>282384</v>
      </c>
      <c r="K1383" s="30">
        <v>308203</v>
      </c>
      <c r="L1383" s="30">
        <v>311285</v>
      </c>
      <c r="M1383" s="31">
        <f t="shared" si="105"/>
        <v>36224</v>
      </c>
      <c r="N1383" s="32">
        <f t="shared" si="106"/>
        <v>0.14715632109197271</v>
      </c>
      <c r="O1383" s="6" t="str">
        <f>IF(ABS(M1383)&lt;Overview!$B$6,"OK",IF(I1383=0,"REVIEW (zero base)",IF(ABS(M1383/ABS(I1383))&gt;=Overview!$B$5,"REVIEW","OK")))</f>
        <v>OK</v>
      </c>
      <c r="P1383" s="31">
        <f t="shared" si="107"/>
        <v>25819</v>
      </c>
      <c r="Q1383" s="32">
        <f t="shared" si="108"/>
        <v>9.1432234120913364E-2</v>
      </c>
      <c r="R1383" s="6" t="str">
        <f>IF(ABS(P1383)&lt;Overview!$B$6,"OK",IF(J1383=0,"REVIEW (zero base)",IF(ABS(P1383/ABS(J1383))&gt;=Overview!$B$5,"REVIEW","OK")))</f>
        <v>OK</v>
      </c>
      <c r="S1383" s="33">
        <f t="shared" si="109"/>
        <v>36224.001383000003</v>
      </c>
    </row>
    <row r="1384" spans="1:19" x14ac:dyDescent="0.2">
      <c r="A1384" s="17">
        <v>1382</v>
      </c>
      <c r="B1384" s="17" t="s">
        <v>171</v>
      </c>
      <c r="C1384" s="17" t="s">
        <v>338</v>
      </c>
      <c r="D1384" s="17" t="s">
        <v>59</v>
      </c>
      <c r="E1384" s="17" t="s">
        <v>131</v>
      </c>
      <c r="F1384" s="17" t="s">
        <v>339</v>
      </c>
      <c r="G1384" s="17" t="s">
        <v>390</v>
      </c>
      <c r="H1384" s="30">
        <v>0</v>
      </c>
      <c r="I1384" s="30">
        <v>241</v>
      </c>
      <c r="J1384" s="30">
        <v>0</v>
      </c>
      <c r="K1384" s="30">
        <v>0</v>
      </c>
      <c r="L1384" s="30">
        <v>0</v>
      </c>
      <c r="M1384" s="31">
        <f t="shared" si="105"/>
        <v>-241</v>
      </c>
      <c r="N1384" s="32">
        <f t="shared" si="106"/>
        <v>-1</v>
      </c>
      <c r="O1384" s="6" t="str">
        <f>IF(ABS(M1384)&lt;Overview!$B$6,"OK",IF(I1384=0,"REVIEW (zero base)",IF(ABS(M1384/ABS(I1384))&gt;=Overview!$B$5,"REVIEW","OK")))</f>
        <v>OK</v>
      </c>
      <c r="P1384" s="31">
        <f t="shared" si="107"/>
        <v>0</v>
      </c>
      <c r="Q1384" s="32" t="str">
        <f t="shared" si="108"/>
        <v>n/a</v>
      </c>
      <c r="R1384" s="6" t="str">
        <f>IF(ABS(P1384)&lt;Overview!$B$6,"OK",IF(J1384=0,"REVIEW (zero base)",IF(ABS(P1384/ABS(J1384))&gt;=Overview!$B$5,"REVIEW","OK")))</f>
        <v>OK</v>
      </c>
      <c r="S1384" s="33">
        <f t="shared" si="109"/>
        <v>241.001384</v>
      </c>
    </row>
    <row r="1385" spans="1:19" x14ac:dyDescent="0.2">
      <c r="A1385" s="17">
        <v>1383</v>
      </c>
      <c r="B1385" s="17" t="s">
        <v>171</v>
      </c>
      <c r="C1385" s="17" t="s">
        <v>338</v>
      </c>
      <c r="D1385" s="17" t="s">
        <v>59</v>
      </c>
      <c r="E1385" s="17" t="s">
        <v>131</v>
      </c>
      <c r="F1385" s="17" t="s">
        <v>339</v>
      </c>
      <c r="G1385" s="17" t="s">
        <v>391</v>
      </c>
      <c r="H1385" s="30">
        <v>13551</v>
      </c>
      <c r="I1385" s="30">
        <v>10977</v>
      </c>
      <c r="J1385" s="30">
        <v>0</v>
      </c>
      <c r="K1385" s="30">
        <v>0</v>
      </c>
      <c r="L1385" s="30">
        <v>0</v>
      </c>
      <c r="M1385" s="31">
        <f t="shared" si="105"/>
        <v>-10977</v>
      </c>
      <c r="N1385" s="32">
        <f t="shared" si="106"/>
        <v>-1</v>
      </c>
      <c r="O1385" s="6" t="str">
        <f>IF(ABS(M1385)&lt;Overview!$B$6,"OK",IF(I1385=0,"REVIEW (zero base)",IF(ABS(M1385/ABS(I1385))&gt;=Overview!$B$5,"REVIEW","OK")))</f>
        <v>OK</v>
      </c>
      <c r="P1385" s="31">
        <f t="shared" si="107"/>
        <v>0</v>
      </c>
      <c r="Q1385" s="32" t="str">
        <f t="shared" si="108"/>
        <v>n/a</v>
      </c>
      <c r="R1385" s="6" t="str">
        <f>IF(ABS(P1385)&lt;Overview!$B$6,"OK",IF(J1385=0,"REVIEW (zero base)",IF(ABS(P1385/ABS(J1385))&gt;=Overview!$B$5,"REVIEW","OK")))</f>
        <v>OK</v>
      </c>
      <c r="S1385" s="33">
        <f t="shared" si="109"/>
        <v>10977.001385</v>
      </c>
    </row>
    <row r="1386" spans="1:19" x14ac:dyDescent="0.2">
      <c r="A1386" s="17">
        <v>1384</v>
      </c>
      <c r="B1386" s="17" t="s">
        <v>171</v>
      </c>
      <c r="C1386" s="17" t="s">
        <v>338</v>
      </c>
      <c r="D1386" s="17" t="s">
        <v>59</v>
      </c>
      <c r="E1386" s="17" t="s">
        <v>131</v>
      </c>
      <c r="F1386" s="17" t="s">
        <v>339</v>
      </c>
      <c r="G1386" s="17" t="s">
        <v>392</v>
      </c>
      <c r="H1386" s="30">
        <v>17305</v>
      </c>
      <c r="I1386" s="30">
        <v>15760</v>
      </c>
      <c r="J1386" s="30">
        <v>0</v>
      </c>
      <c r="K1386" s="30">
        <v>0</v>
      </c>
      <c r="L1386" s="30">
        <v>0</v>
      </c>
      <c r="M1386" s="31">
        <f t="shared" si="105"/>
        <v>-15760</v>
      </c>
      <c r="N1386" s="32">
        <f t="shared" si="106"/>
        <v>-1</v>
      </c>
      <c r="O1386" s="6" t="str">
        <f>IF(ABS(M1386)&lt;Overview!$B$6,"OK",IF(I1386=0,"REVIEW (zero base)",IF(ABS(M1386/ABS(I1386))&gt;=Overview!$B$5,"REVIEW","OK")))</f>
        <v>OK</v>
      </c>
      <c r="P1386" s="31">
        <f t="shared" si="107"/>
        <v>0</v>
      </c>
      <c r="Q1386" s="32" t="str">
        <f t="shared" si="108"/>
        <v>n/a</v>
      </c>
      <c r="R1386" s="6" t="str">
        <f>IF(ABS(P1386)&lt;Overview!$B$6,"OK",IF(J1386=0,"REVIEW (zero base)",IF(ABS(P1386/ABS(J1386))&gt;=Overview!$B$5,"REVIEW","OK")))</f>
        <v>OK</v>
      </c>
      <c r="S1386" s="33">
        <f t="shared" si="109"/>
        <v>15760.001386</v>
      </c>
    </row>
    <row r="1387" spans="1:19" x14ac:dyDescent="0.2">
      <c r="A1387" s="17">
        <v>1385</v>
      </c>
      <c r="B1387" s="17" t="s">
        <v>171</v>
      </c>
      <c r="C1387" s="17" t="s">
        <v>338</v>
      </c>
      <c r="D1387" s="17" t="s">
        <v>59</v>
      </c>
      <c r="E1387" s="17" t="s">
        <v>131</v>
      </c>
      <c r="F1387" s="17" t="s">
        <v>339</v>
      </c>
      <c r="G1387" s="17" t="s">
        <v>394</v>
      </c>
      <c r="H1387" s="30">
        <v>15963</v>
      </c>
      <c r="I1387" s="30">
        <v>17507</v>
      </c>
      <c r="J1387" s="30">
        <v>0</v>
      </c>
      <c r="K1387" s="30">
        <v>0</v>
      </c>
      <c r="L1387" s="30">
        <v>0</v>
      </c>
      <c r="M1387" s="31">
        <f t="shared" si="105"/>
        <v>-17507</v>
      </c>
      <c r="N1387" s="32">
        <f t="shared" si="106"/>
        <v>-1</v>
      </c>
      <c r="O1387" s="6" t="str">
        <f>IF(ABS(M1387)&lt;Overview!$B$6,"OK",IF(I1387=0,"REVIEW (zero base)",IF(ABS(M1387/ABS(I1387))&gt;=Overview!$B$5,"REVIEW","OK")))</f>
        <v>OK</v>
      </c>
      <c r="P1387" s="31">
        <f t="shared" si="107"/>
        <v>0</v>
      </c>
      <c r="Q1387" s="32" t="str">
        <f t="shared" si="108"/>
        <v>n/a</v>
      </c>
      <c r="R1387" s="6" t="str">
        <f>IF(ABS(P1387)&lt;Overview!$B$6,"OK",IF(J1387=0,"REVIEW (zero base)",IF(ABS(P1387/ABS(J1387))&gt;=Overview!$B$5,"REVIEW","OK")))</f>
        <v>OK</v>
      </c>
      <c r="S1387" s="33">
        <f t="shared" si="109"/>
        <v>17507.001387</v>
      </c>
    </row>
    <row r="1388" spans="1:19" x14ac:dyDescent="0.2">
      <c r="A1388" s="17">
        <v>1386</v>
      </c>
      <c r="B1388" s="17" t="s">
        <v>171</v>
      </c>
      <c r="C1388" s="17" t="s">
        <v>338</v>
      </c>
      <c r="D1388" s="17" t="s">
        <v>59</v>
      </c>
      <c r="E1388" s="17" t="s">
        <v>131</v>
      </c>
      <c r="F1388" s="17" t="s">
        <v>339</v>
      </c>
      <c r="G1388" s="17" t="s">
        <v>395</v>
      </c>
      <c r="H1388" s="30">
        <v>10017</v>
      </c>
      <c r="I1388" s="30">
        <v>10162</v>
      </c>
      <c r="J1388" s="30">
        <v>10162</v>
      </c>
      <c r="K1388" s="30">
        <v>10854</v>
      </c>
      <c r="L1388" s="30">
        <v>10963</v>
      </c>
      <c r="M1388" s="31">
        <f t="shared" si="105"/>
        <v>0</v>
      </c>
      <c r="N1388" s="32">
        <f t="shared" si="106"/>
        <v>0</v>
      </c>
      <c r="O1388" s="6" t="str">
        <f>IF(ABS(M1388)&lt;Overview!$B$6,"OK",IF(I1388=0,"REVIEW (zero base)",IF(ABS(M1388/ABS(I1388))&gt;=Overview!$B$5,"REVIEW","OK")))</f>
        <v>OK</v>
      </c>
      <c r="P1388" s="31">
        <f t="shared" si="107"/>
        <v>692</v>
      </c>
      <c r="Q1388" s="32">
        <f t="shared" si="108"/>
        <v>6.8096831332414884E-2</v>
      </c>
      <c r="R1388" s="6" t="str">
        <f>IF(ABS(P1388)&lt;Overview!$B$6,"OK",IF(J1388=0,"REVIEW (zero base)",IF(ABS(P1388/ABS(J1388))&gt;=Overview!$B$5,"REVIEW","OK")))</f>
        <v>OK</v>
      </c>
      <c r="S1388" s="33">
        <f t="shared" si="109"/>
        <v>1.3879999999999999E-3</v>
      </c>
    </row>
    <row r="1389" spans="1:19" x14ac:dyDescent="0.2">
      <c r="A1389" s="17">
        <v>1387</v>
      </c>
      <c r="B1389" s="17" t="s">
        <v>171</v>
      </c>
      <c r="C1389" s="17" t="s">
        <v>338</v>
      </c>
      <c r="D1389" s="17" t="s">
        <v>59</v>
      </c>
      <c r="E1389" s="17" t="s">
        <v>131</v>
      </c>
      <c r="F1389" s="17" t="s">
        <v>341</v>
      </c>
      <c r="G1389" s="17" t="s">
        <v>342</v>
      </c>
      <c r="H1389" s="30">
        <v>4624</v>
      </c>
      <c r="I1389" s="30">
        <v>5004</v>
      </c>
      <c r="J1389" s="30">
        <v>5292</v>
      </c>
      <c r="K1389" s="30">
        <v>5292</v>
      </c>
      <c r="L1389" s="30">
        <v>5292</v>
      </c>
      <c r="M1389" s="31">
        <f t="shared" si="105"/>
        <v>288</v>
      </c>
      <c r="N1389" s="32">
        <f t="shared" si="106"/>
        <v>5.7553956834532377E-2</v>
      </c>
      <c r="O1389" s="6" t="str">
        <f>IF(ABS(M1389)&lt;Overview!$B$6,"OK",IF(I1389=0,"REVIEW (zero base)",IF(ABS(M1389/ABS(I1389))&gt;=Overview!$B$5,"REVIEW","OK")))</f>
        <v>OK</v>
      </c>
      <c r="P1389" s="31">
        <f t="shared" si="107"/>
        <v>0</v>
      </c>
      <c r="Q1389" s="32">
        <f t="shared" si="108"/>
        <v>0</v>
      </c>
      <c r="R1389" s="6" t="str">
        <f>IF(ABS(P1389)&lt;Overview!$B$6,"OK",IF(J1389=0,"REVIEW (zero base)",IF(ABS(P1389/ABS(J1389))&gt;=Overview!$B$5,"REVIEW","OK")))</f>
        <v>OK</v>
      </c>
      <c r="S1389" s="33">
        <f t="shared" si="109"/>
        <v>288.00138900000002</v>
      </c>
    </row>
    <row r="1390" spans="1:19" x14ac:dyDescent="0.2">
      <c r="A1390" s="17">
        <v>1388</v>
      </c>
      <c r="B1390" s="17" t="s">
        <v>171</v>
      </c>
      <c r="C1390" s="17" t="s">
        <v>338</v>
      </c>
      <c r="D1390" s="17" t="s">
        <v>59</v>
      </c>
      <c r="E1390" s="17" t="s">
        <v>131</v>
      </c>
      <c r="F1390" s="17" t="s">
        <v>341</v>
      </c>
      <c r="G1390" s="17" t="s">
        <v>406</v>
      </c>
      <c r="H1390" s="30">
        <v>1500</v>
      </c>
      <c r="I1390" s="30">
        <v>0</v>
      </c>
      <c r="J1390" s="30">
        <v>0</v>
      </c>
      <c r="K1390" s="30">
        <v>0</v>
      </c>
      <c r="L1390" s="30">
        <v>0</v>
      </c>
      <c r="M1390" s="31">
        <f t="shared" si="105"/>
        <v>0</v>
      </c>
      <c r="N1390" s="32" t="str">
        <f t="shared" si="106"/>
        <v>n/a</v>
      </c>
      <c r="O1390" s="6" t="str">
        <f>IF(ABS(M1390)&lt;Overview!$B$6,"OK",IF(I1390=0,"REVIEW (zero base)",IF(ABS(M1390/ABS(I1390))&gt;=Overview!$B$5,"REVIEW","OK")))</f>
        <v>OK</v>
      </c>
      <c r="P1390" s="31">
        <f t="shared" si="107"/>
        <v>0</v>
      </c>
      <c r="Q1390" s="32" t="str">
        <f t="shared" si="108"/>
        <v>n/a</v>
      </c>
      <c r="R1390" s="6" t="str">
        <f>IF(ABS(P1390)&lt;Overview!$B$6,"OK",IF(J1390=0,"REVIEW (zero base)",IF(ABS(P1390/ABS(J1390))&gt;=Overview!$B$5,"REVIEW","OK")))</f>
        <v>OK</v>
      </c>
      <c r="S1390" s="33">
        <f t="shared" si="109"/>
        <v>1.39E-3</v>
      </c>
    </row>
    <row r="1391" spans="1:19" x14ac:dyDescent="0.2">
      <c r="A1391" s="17">
        <v>1389</v>
      </c>
      <c r="B1391" s="17" t="s">
        <v>171</v>
      </c>
      <c r="C1391" s="17" t="s">
        <v>338</v>
      </c>
      <c r="D1391" s="17" t="s">
        <v>59</v>
      </c>
      <c r="E1391" s="17" t="s">
        <v>131</v>
      </c>
      <c r="F1391" s="17" t="s">
        <v>341</v>
      </c>
      <c r="G1391" s="17" t="s">
        <v>375</v>
      </c>
      <c r="H1391" s="30">
        <v>12394</v>
      </c>
      <c r="I1391" s="30">
        <v>16564</v>
      </c>
      <c r="J1391" s="30">
        <v>18200</v>
      </c>
      <c r="K1391" s="30">
        <v>18200</v>
      </c>
      <c r="L1391" s="30">
        <v>18200</v>
      </c>
      <c r="M1391" s="31">
        <f t="shared" si="105"/>
        <v>1636</v>
      </c>
      <c r="N1391" s="32">
        <f t="shared" si="106"/>
        <v>9.8768413426708529E-2</v>
      </c>
      <c r="O1391" s="6" t="str">
        <f>IF(ABS(M1391)&lt;Overview!$B$6,"OK",IF(I1391=0,"REVIEW (zero base)",IF(ABS(M1391/ABS(I1391))&gt;=Overview!$B$5,"REVIEW","OK")))</f>
        <v>OK</v>
      </c>
      <c r="P1391" s="31">
        <f t="shared" si="107"/>
        <v>0</v>
      </c>
      <c r="Q1391" s="32">
        <f t="shared" si="108"/>
        <v>0</v>
      </c>
      <c r="R1391" s="6" t="str">
        <f>IF(ABS(P1391)&lt;Overview!$B$6,"OK",IF(J1391=0,"REVIEW (zero base)",IF(ABS(P1391/ABS(J1391))&gt;=Overview!$B$5,"REVIEW","OK")))</f>
        <v>OK</v>
      </c>
      <c r="S1391" s="33">
        <f t="shared" si="109"/>
        <v>1636.001391</v>
      </c>
    </row>
    <row r="1392" spans="1:19" x14ac:dyDescent="0.2">
      <c r="A1392" s="17">
        <v>1390</v>
      </c>
      <c r="B1392" s="17" t="s">
        <v>171</v>
      </c>
      <c r="C1392" s="17" t="s">
        <v>338</v>
      </c>
      <c r="D1392" s="17" t="s">
        <v>59</v>
      </c>
      <c r="E1392" s="17" t="s">
        <v>131</v>
      </c>
      <c r="F1392" s="17" t="s">
        <v>341</v>
      </c>
      <c r="G1392" s="17" t="s">
        <v>376</v>
      </c>
      <c r="H1392" s="30">
        <v>74680</v>
      </c>
      <c r="I1392" s="30">
        <v>89292</v>
      </c>
      <c r="J1392" s="30">
        <v>83411</v>
      </c>
      <c r="K1392" s="30">
        <v>93036</v>
      </c>
      <c r="L1392" s="30">
        <v>97902</v>
      </c>
      <c r="M1392" s="31">
        <f t="shared" si="105"/>
        <v>-5881</v>
      </c>
      <c r="N1392" s="32">
        <f t="shared" si="106"/>
        <v>-6.5862563275545405E-2</v>
      </c>
      <c r="O1392" s="6" t="str">
        <f>IF(ABS(M1392)&lt;Overview!$B$6,"OK",IF(I1392=0,"REVIEW (zero base)",IF(ABS(M1392/ABS(I1392))&gt;=Overview!$B$5,"REVIEW","OK")))</f>
        <v>OK</v>
      </c>
      <c r="P1392" s="31">
        <f t="shared" si="107"/>
        <v>9625</v>
      </c>
      <c r="Q1392" s="32">
        <f t="shared" si="108"/>
        <v>0.11539245423265516</v>
      </c>
      <c r="R1392" s="6" t="str">
        <f>IF(ABS(P1392)&lt;Overview!$B$6,"OK",IF(J1392=0,"REVIEW (zero base)",IF(ABS(P1392/ABS(J1392))&gt;=Overview!$B$5,"REVIEW","OK")))</f>
        <v>OK</v>
      </c>
      <c r="S1392" s="33">
        <f t="shared" si="109"/>
        <v>5881.0013920000001</v>
      </c>
    </row>
    <row r="1393" spans="1:19" x14ac:dyDescent="0.2">
      <c r="A1393" s="17">
        <v>1391</v>
      </c>
      <c r="B1393" s="17" t="s">
        <v>171</v>
      </c>
      <c r="C1393" s="17" t="s">
        <v>338</v>
      </c>
      <c r="D1393" s="17" t="s">
        <v>59</v>
      </c>
      <c r="E1393" s="17" t="s">
        <v>131</v>
      </c>
      <c r="F1393" s="17" t="s">
        <v>341</v>
      </c>
      <c r="G1393" s="17" t="s">
        <v>343</v>
      </c>
      <c r="H1393" s="30">
        <v>19444</v>
      </c>
      <c r="I1393" s="30">
        <v>22167</v>
      </c>
      <c r="J1393" s="30">
        <v>25423</v>
      </c>
      <c r="K1393" s="30">
        <v>25938</v>
      </c>
      <c r="L1393" s="30">
        <v>26197</v>
      </c>
      <c r="M1393" s="31">
        <f t="shared" si="105"/>
        <v>3256</v>
      </c>
      <c r="N1393" s="32">
        <f t="shared" si="106"/>
        <v>0.14688500924798123</v>
      </c>
      <c r="O1393" s="6" t="str">
        <f>IF(ABS(M1393)&lt;Overview!$B$6,"OK",IF(I1393=0,"REVIEW (zero base)",IF(ABS(M1393/ABS(I1393))&gt;=Overview!$B$5,"REVIEW","OK")))</f>
        <v>OK</v>
      </c>
      <c r="P1393" s="31">
        <f t="shared" si="107"/>
        <v>515</v>
      </c>
      <c r="Q1393" s="32">
        <f t="shared" si="108"/>
        <v>2.0257247374424733E-2</v>
      </c>
      <c r="R1393" s="6" t="str">
        <f>IF(ABS(P1393)&lt;Overview!$B$6,"OK",IF(J1393=0,"REVIEW (zero base)",IF(ABS(P1393/ABS(J1393))&gt;=Overview!$B$5,"REVIEW","OK")))</f>
        <v>OK</v>
      </c>
      <c r="S1393" s="33">
        <f t="shared" si="109"/>
        <v>3256.001393</v>
      </c>
    </row>
    <row r="1394" spans="1:19" x14ac:dyDescent="0.2">
      <c r="A1394" s="17">
        <v>1392</v>
      </c>
      <c r="B1394" s="17" t="s">
        <v>171</v>
      </c>
      <c r="C1394" s="17" t="s">
        <v>338</v>
      </c>
      <c r="D1394" s="17" t="s">
        <v>59</v>
      </c>
      <c r="E1394" s="17" t="s">
        <v>131</v>
      </c>
      <c r="F1394" s="17" t="s">
        <v>341</v>
      </c>
      <c r="G1394" s="17" t="s">
        <v>378</v>
      </c>
      <c r="H1394" s="30">
        <v>10202</v>
      </c>
      <c r="I1394" s="30">
        <v>12502</v>
      </c>
      <c r="J1394" s="30">
        <v>13756</v>
      </c>
      <c r="K1394" s="30">
        <v>14560</v>
      </c>
      <c r="L1394" s="30">
        <v>15205</v>
      </c>
      <c r="M1394" s="31">
        <f t="shared" si="105"/>
        <v>1254</v>
      </c>
      <c r="N1394" s="32">
        <f t="shared" si="106"/>
        <v>0.10030395136778116</v>
      </c>
      <c r="O1394" s="6" t="str">
        <f>IF(ABS(M1394)&lt;Overview!$B$6,"OK",IF(I1394=0,"REVIEW (zero base)",IF(ABS(M1394/ABS(I1394))&gt;=Overview!$B$5,"REVIEW","OK")))</f>
        <v>OK</v>
      </c>
      <c r="P1394" s="31">
        <f t="shared" si="107"/>
        <v>804</v>
      </c>
      <c r="Q1394" s="32">
        <f t="shared" si="108"/>
        <v>5.8447223029950569E-2</v>
      </c>
      <c r="R1394" s="6" t="str">
        <f>IF(ABS(P1394)&lt;Overview!$B$6,"OK",IF(J1394=0,"REVIEW (zero base)",IF(ABS(P1394/ABS(J1394))&gt;=Overview!$B$5,"REVIEW","OK")))</f>
        <v>OK</v>
      </c>
      <c r="S1394" s="33">
        <f t="shared" si="109"/>
        <v>1254.0013939999999</v>
      </c>
    </row>
    <row r="1395" spans="1:19" x14ac:dyDescent="0.2">
      <c r="A1395" s="17">
        <v>1393</v>
      </c>
      <c r="B1395" s="17" t="s">
        <v>171</v>
      </c>
      <c r="C1395" s="17" t="s">
        <v>338</v>
      </c>
      <c r="D1395" s="17" t="s">
        <v>59</v>
      </c>
      <c r="E1395" s="17" t="s">
        <v>131</v>
      </c>
      <c r="F1395" s="17" t="s">
        <v>341</v>
      </c>
      <c r="G1395" s="17" t="s">
        <v>344</v>
      </c>
      <c r="H1395" s="30">
        <v>57165</v>
      </c>
      <c r="I1395" s="30">
        <v>58082</v>
      </c>
      <c r="J1395" s="30">
        <v>72836</v>
      </c>
      <c r="K1395" s="30">
        <v>85428</v>
      </c>
      <c r="L1395" s="30">
        <v>87137</v>
      </c>
      <c r="M1395" s="31">
        <f t="shared" si="105"/>
        <v>14754</v>
      </c>
      <c r="N1395" s="32">
        <f t="shared" si="106"/>
        <v>0.25402017836851348</v>
      </c>
      <c r="O1395" s="6" t="str">
        <f>IF(ABS(M1395)&lt;Overview!$B$6,"OK",IF(I1395=0,"REVIEW (zero base)",IF(ABS(M1395/ABS(I1395))&gt;=Overview!$B$5,"REVIEW","OK")))</f>
        <v>OK</v>
      </c>
      <c r="P1395" s="31">
        <f t="shared" si="107"/>
        <v>12592</v>
      </c>
      <c r="Q1395" s="32">
        <f t="shared" si="108"/>
        <v>0.17288154209456863</v>
      </c>
      <c r="R1395" s="6" t="str">
        <f>IF(ABS(P1395)&lt;Overview!$B$6,"OK",IF(J1395=0,"REVIEW (zero base)",IF(ABS(P1395/ABS(J1395))&gt;=Overview!$B$5,"REVIEW","OK")))</f>
        <v>OK</v>
      </c>
      <c r="S1395" s="33">
        <f t="shared" si="109"/>
        <v>14754.001394999999</v>
      </c>
    </row>
    <row r="1396" spans="1:19" x14ac:dyDescent="0.2">
      <c r="A1396" s="17">
        <v>1394</v>
      </c>
      <c r="B1396" s="17" t="s">
        <v>171</v>
      </c>
      <c r="C1396" s="17" t="s">
        <v>338</v>
      </c>
      <c r="D1396" s="17" t="s">
        <v>59</v>
      </c>
      <c r="E1396" s="17" t="s">
        <v>131</v>
      </c>
      <c r="F1396" s="17" t="s">
        <v>364</v>
      </c>
      <c r="G1396" s="17" t="s">
        <v>379</v>
      </c>
      <c r="H1396" s="30">
        <v>0</v>
      </c>
      <c r="I1396" s="30">
        <v>0</v>
      </c>
      <c r="J1396" s="30">
        <v>120</v>
      </c>
      <c r="K1396" s="30">
        <v>2400</v>
      </c>
      <c r="L1396" s="30">
        <v>2417</v>
      </c>
      <c r="M1396" s="31">
        <f t="shared" si="105"/>
        <v>120</v>
      </c>
      <c r="N1396" s="32" t="str">
        <f t="shared" si="106"/>
        <v>n/a</v>
      </c>
      <c r="O1396" s="6" t="str">
        <f>IF(ABS(M1396)&lt;Overview!$B$6,"OK",IF(I1396=0,"REVIEW (zero base)",IF(ABS(M1396/ABS(I1396))&gt;=Overview!$B$5,"REVIEW","OK")))</f>
        <v>OK</v>
      </c>
      <c r="P1396" s="31">
        <f t="shared" si="107"/>
        <v>2280</v>
      </c>
      <c r="Q1396" s="32">
        <f t="shared" si="108"/>
        <v>19</v>
      </c>
      <c r="R1396" s="6" t="str">
        <f>IF(ABS(P1396)&lt;Overview!$B$6,"OK",IF(J1396=0,"REVIEW (zero base)",IF(ABS(P1396/ABS(J1396))&gt;=Overview!$B$5,"REVIEW","OK")))</f>
        <v>OK</v>
      </c>
      <c r="S1396" s="33">
        <f t="shared" si="109"/>
        <v>120.001396</v>
      </c>
    </row>
    <row r="1397" spans="1:19" x14ac:dyDescent="0.2">
      <c r="A1397" s="17">
        <v>1395</v>
      </c>
      <c r="B1397" s="17" t="s">
        <v>171</v>
      </c>
      <c r="C1397" s="17" t="s">
        <v>338</v>
      </c>
      <c r="D1397" s="17" t="s">
        <v>59</v>
      </c>
      <c r="E1397" s="17" t="s">
        <v>131</v>
      </c>
      <c r="F1397" s="17" t="s">
        <v>364</v>
      </c>
      <c r="G1397" s="17" t="s">
        <v>383</v>
      </c>
      <c r="H1397" s="30">
        <v>2031</v>
      </c>
      <c r="I1397" s="30">
        <v>1914</v>
      </c>
      <c r="J1397" s="30">
        <v>2100</v>
      </c>
      <c r="K1397" s="30">
        <v>3000</v>
      </c>
      <c r="L1397" s="30">
        <v>3000</v>
      </c>
      <c r="M1397" s="31">
        <f t="shared" si="105"/>
        <v>186</v>
      </c>
      <c r="N1397" s="32">
        <f t="shared" si="106"/>
        <v>9.7178683385579931E-2</v>
      </c>
      <c r="O1397" s="6" t="str">
        <f>IF(ABS(M1397)&lt;Overview!$B$6,"OK",IF(I1397=0,"REVIEW (zero base)",IF(ABS(M1397/ABS(I1397))&gt;=Overview!$B$5,"REVIEW","OK")))</f>
        <v>OK</v>
      </c>
      <c r="P1397" s="31">
        <f t="shared" si="107"/>
        <v>900</v>
      </c>
      <c r="Q1397" s="32">
        <f t="shared" si="108"/>
        <v>0.42857142857142855</v>
      </c>
      <c r="R1397" s="6" t="str">
        <f>IF(ABS(P1397)&lt;Overview!$B$6,"OK",IF(J1397=0,"REVIEW (zero base)",IF(ABS(P1397/ABS(J1397))&gt;=Overview!$B$5,"REVIEW","OK")))</f>
        <v>OK</v>
      </c>
      <c r="S1397" s="33">
        <f t="shared" si="109"/>
        <v>186.001397</v>
      </c>
    </row>
    <row r="1398" spans="1:19" x14ac:dyDescent="0.2">
      <c r="A1398" s="17">
        <v>1396</v>
      </c>
      <c r="B1398" s="17" t="s">
        <v>171</v>
      </c>
      <c r="C1398" s="17" t="s">
        <v>338</v>
      </c>
      <c r="D1398" s="17" t="s">
        <v>59</v>
      </c>
      <c r="E1398" s="17" t="s">
        <v>131</v>
      </c>
      <c r="F1398" s="17" t="s">
        <v>364</v>
      </c>
      <c r="G1398" s="17" t="s">
        <v>398</v>
      </c>
      <c r="H1398" s="30">
        <v>0</v>
      </c>
      <c r="I1398" s="30">
        <v>0</v>
      </c>
      <c r="J1398" s="30">
        <v>120</v>
      </c>
      <c r="K1398" s="30">
        <v>0</v>
      </c>
      <c r="L1398" s="30">
        <v>0</v>
      </c>
      <c r="M1398" s="31">
        <f t="shared" si="105"/>
        <v>120</v>
      </c>
      <c r="N1398" s="32" t="str">
        <f t="shared" si="106"/>
        <v>n/a</v>
      </c>
      <c r="O1398" s="6" t="str">
        <f>IF(ABS(M1398)&lt;Overview!$B$6,"OK",IF(I1398=0,"REVIEW (zero base)",IF(ABS(M1398/ABS(I1398))&gt;=Overview!$B$5,"REVIEW","OK")))</f>
        <v>OK</v>
      </c>
      <c r="P1398" s="31">
        <f t="shared" si="107"/>
        <v>-120</v>
      </c>
      <c r="Q1398" s="32">
        <f t="shared" si="108"/>
        <v>-1</v>
      </c>
      <c r="R1398" s="6" t="str">
        <f>IF(ABS(P1398)&lt;Overview!$B$6,"OK",IF(J1398=0,"REVIEW (zero base)",IF(ABS(P1398/ABS(J1398))&gt;=Overview!$B$5,"REVIEW","OK")))</f>
        <v>OK</v>
      </c>
      <c r="S1398" s="33">
        <f t="shared" si="109"/>
        <v>120.00139799999999</v>
      </c>
    </row>
    <row r="1399" spans="1:19" x14ac:dyDescent="0.2">
      <c r="A1399" s="17">
        <v>1397</v>
      </c>
      <c r="B1399" s="17" t="s">
        <v>171</v>
      </c>
      <c r="C1399" s="17" t="s">
        <v>338</v>
      </c>
      <c r="D1399" s="17" t="s">
        <v>59</v>
      </c>
      <c r="E1399" s="17" t="s">
        <v>131</v>
      </c>
      <c r="F1399" s="17" t="s">
        <v>364</v>
      </c>
      <c r="G1399" s="17" t="s">
        <v>399</v>
      </c>
      <c r="H1399" s="30">
        <v>250</v>
      </c>
      <c r="I1399" s="30">
        <v>0</v>
      </c>
      <c r="J1399" s="30">
        <v>2000</v>
      </c>
      <c r="K1399" s="30">
        <v>100</v>
      </c>
      <c r="L1399" s="30">
        <v>101</v>
      </c>
      <c r="M1399" s="31">
        <f t="shared" si="105"/>
        <v>2000</v>
      </c>
      <c r="N1399" s="32" t="str">
        <f t="shared" si="106"/>
        <v>n/a</v>
      </c>
      <c r="O1399" s="6" t="str">
        <f>IF(ABS(M1399)&lt;Overview!$B$6,"OK",IF(I1399=0,"REVIEW (zero base)",IF(ABS(M1399/ABS(I1399))&gt;=Overview!$B$5,"REVIEW","OK")))</f>
        <v>OK</v>
      </c>
      <c r="P1399" s="31">
        <f t="shared" si="107"/>
        <v>-1900</v>
      </c>
      <c r="Q1399" s="32">
        <f t="shared" si="108"/>
        <v>-0.95</v>
      </c>
      <c r="R1399" s="6" t="str">
        <f>IF(ABS(P1399)&lt;Overview!$B$6,"OK",IF(J1399=0,"REVIEW (zero base)",IF(ABS(P1399/ABS(J1399))&gt;=Overview!$B$5,"REVIEW","OK")))</f>
        <v>OK</v>
      </c>
      <c r="S1399" s="33">
        <f t="shared" si="109"/>
        <v>2000.001399</v>
      </c>
    </row>
    <row r="1400" spans="1:19" x14ac:dyDescent="0.2">
      <c r="A1400" s="17">
        <v>1398</v>
      </c>
      <c r="B1400" s="17" t="s">
        <v>171</v>
      </c>
      <c r="C1400" s="17" t="s">
        <v>338</v>
      </c>
      <c r="D1400" s="17" t="s">
        <v>59</v>
      </c>
      <c r="E1400" s="17" t="s">
        <v>131</v>
      </c>
      <c r="F1400" s="17" t="s">
        <v>418</v>
      </c>
      <c r="G1400" s="17" t="s">
        <v>419</v>
      </c>
      <c r="H1400" s="30">
        <v>0</v>
      </c>
      <c r="I1400" s="30">
        <v>0</v>
      </c>
      <c r="J1400" s="30">
        <v>180</v>
      </c>
      <c r="K1400" s="30">
        <v>0</v>
      </c>
      <c r="L1400" s="30">
        <v>0</v>
      </c>
      <c r="M1400" s="31">
        <f t="shared" si="105"/>
        <v>180</v>
      </c>
      <c r="N1400" s="32" t="str">
        <f t="shared" si="106"/>
        <v>n/a</v>
      </c>
      <c r="O1400" s="6" t="str">
        <f>IF(ABS(M1400)&lt;Overview!$B$6,"OK",IF(I1400=0,"REVIEW (zero base)",IF(ABS(M1400/ABS(I1400))&gt;=Overview!$B$5,"REVIEW","OK")))</f>
        <v>OK</v>
      </c>
      <c r="P1400" s="31">
        <f t="shared" si="107"/>
        <v>-180</v>
      </c>
      <c r="Q1400" s="32">
        <f t="shared" si="108"/>
        <v>-1</v>
      </c>
      <c r="R1400" s="6" t="str">
        <f>IF(ABS(P1400)&lt;Overview!$B$6,"OK",IF(J1400=0,"REVIEW (zero base)",IF(ABS(P1400/ABS(J1400))&gt;=Overview!$B$5,"REVIEW","OK")))</f>
        <v>OK</v>
      </c>
      <c r="S1400" s="33">
        <f t="shared" si="109"/>
        <v>180.00139999999999</v>
      </c>
    </row>
    <row r="1401" spans="1:19" x14ac:dyDescent="0.2">
      <c r="A1401" s="17">
        <v>1399</v>
      </c>
      <c r="B1401" s="17" t="s">
        <v>171</v>
      </c>
      <c r="C1401" s="17" t="s">
        <v>338</v>
      </c>
      <c r="D1401" s="17" t="s">
        <v>59</v>
      </c>
      <c r="E1401" s="17" t="s">
        <v>131</v>
      </c>
      <c r="F1401" s="17" t="s">
        <v>414</v>
      </c>
      <c r="G1401" s="17" t="s">
        <v>415</v>
      </c>
      <c r="H1401" s="30">
        <v>266</v>
      </c>
      <c r="I1401" s="30">
        <v>578</v>
      </c>
      <c r="J1401" s="30">
        <v>0</v>
      </c>
      <c r="K1401" s="30">
        <v>600</v>
      </c>
      <c r="L1401" s="30">
        <v>604</v>
      </c>
      <c r="M1401" s="31">
        <f t="shared" si="105"/>
        <v>-578</v>
      </c>
      <c r="N1401" s="32">
        <f t="shared" si="106"/>
        <v>-1</v>
      </c>
      <c r="O1401" s="6" t="str">
        <f>IF(ABS(M1401)&lt;Overview!$B$6,"OK",IF(I1401=0,"REVIEW (zero base)",IF(ABS(M1401/ABS(I1401))&gt;=Overview!$B$5,"REVIEW","OK")))</f>
        <v>OK</v>
      </c>
      <c r="P1401" s="31">
        <f t="shared" si="107"/>
        <v>600</v>
      </c>
      <c r="Q1401" s="32" t="str">
        <f t="shared" si="108"/>
        <v>n/a</v>
      </c>
      <c r="R1401" s="6" t="str">
        <f>IF(ABS(P1401)&lt;Overview!$B$6,"OK",IF(J1401=0,"REVIEW (zero base)",IF(ABS(P1401/ABS(J1401))&gt;=Overview!$B$5,"REVIEW","OK")))</f>
        <v>OK</v>
      </c>
      <c r="S1401" s="33">
        <f t="shared" si="109"/>
        <v>578.00140099999999</v>
      </c>
    </row>
    <row r="1402" spans="1:19" x14ac:dyDescent="0.2">
      <c r="A1402" s="17">
        <v>1400</v>
      </c>
      <c r="B1402" s="17" t="s">
        <v>171</v>
      </c>
      <c r="C1402" s="17" t="s">
        <v>338</v>
      </c>
      <c r="D1402" s="17" t="s">
        <v>59</v>
      </c>
      <c r="E1402" s="17" t="s">
        <v>131</v>
      </c>
      <c r="F1402" s="17" t="s">
        <v>404</v>
      </c>
      <c r="G1402" s="17" t="s">
        <v>405</v>
      </c>
      <c r="H1402" s="30">
        <v>988</v>
      </c>
      <c r="I1402" s="30">
        <v>235</v>
      </c>
      <c r="J1402" s="30">
        <v>3000</v>
      </c>
      <c r="K1402" s="30">
        <v>2000</v>
      </c>
      <c r="L1402" s="30">
        <v>2014</v>
      </c>
      <c r="M1402" s="31">
        <f t="shared" si="105"/>
        <v>2765</v>
      </c>
      <c r="N1402" s="32">
        <f t="shared" si="106"/>
        <v>11.76595744680851</v>
      </c>
      <c r="O1402" s="6" t="str">
        <f>IF(ABS(M1402)&lt;Overview!$B$6,"OK",IF(I1402=0,"REVIEW (zero base)",IF(ABS(M1402/ABS(I1402))&gt;=Overview!$B$5,"REVIEW","OK")))</f>
        <v>OK</v>
      </c>
      <c r="P1402" s="31">
        <f t="shared" si="107"/>
        <v>-1000</v>
      </c>
      <c r="Q1402" s="32">
        <f t="shared" si="108"/>
        <v>-0.33333333333333331</v>
      </c>
      <c r="R1402" s="6" t="str">
        <f>IF(ABS(P1402)&lt;Overview!$B$6,"OK",IF(J1402=0,"REVIEW (zero base)",IF(ABS(P1402/ABS(J1402))&gt;=Overview!$B$5,"REVIEW","OK")))</f>
        <v>OK</v>
      </c>
      <c r="S1402" s="33">
        <f t="shared" si="109"/>
        <v>2765.0014019999999</v>
      </c>
    </row>
    <row r="1403" spans="1:19" x14ac:dyDescent="0.2">
      <c r="A1403" s="17">
        <v>1401</v>
      </c>
      <c r="B1403" s="17" t="s">
        <v>171</v>
      </c>
      <c r="C1403" s="17" t="s">
        <v>338</v>
      </c>
      <c r="D1403" s="17" t="s">
        <v>59</v>
      </c>
      <c r="E1403" s="17" t="s">
        <v>131</v>
      </c>
      <c r="F1403" s="17" t="s">
        <v>402</v>
      </c>
      <c r="G1403" s="17" t="s">
        <v>416</v>
      </c>
      <c r="H1403" s="30">
        <v>0</v>
      </c>
      <c r="I1403" s="30">
        <v>0</v>
      </c>
      <c r="J1403" s="30">
        <v>0</v>
      </c>
      <c r="K1403" s="30">
        <v>600</v>
      </c>
      <c r="L1403" s="30">
        <v>604</v>
      </c>
      <c r="M1403" s="31">
        <f t="shared" si="105"/>
        <v>0</v>
      </c>
      <c r="N1403" s="32" t="str">
        <f t="shared" si="106"/>
        <v>n/a</v>
      </c>
      <c r="O1403" s="6" t="str">
        <f>IF(ABS(M1403)&lt;Overview!$B$6,"OK",IF(I1403=0,"REVIEW (zero base)",IF(ABS(M1403/ABS(I1403))&gt;=Overview!$B$5,"REVIEW","OK")))</f>
        <v>OK</v>
      </c>
      <c r="P1403" s="31">
        <f t="shared" si="107"/>
        <v>600</v>
      </c>
      <c r="Q1403" s="32" t="str">
        <f t="shared" si="108"/>
        <v>n/a</v>
      </c>
      <c r="R1403" s="6" t="str">
        <f>IF(ABS(P1403)&lt;Overview!$B$6,"OK",IF(J1403=0,"REVIEW (zero base)",IF(ABS(P1403/ABS(J1403))&gt;=Overview!$B$5,"REVIEW","OK")))</f>
        <v>OK</v>
      </c>
      <c r="S1403" s="33">
        <f t="shared" si="109"/>
        <v>1.403E-3</v>
      </c>
    </row>
    <row r="1404" spans="1:19" x14ac:dyDescent="0.2">
      <c r="A1404" s="17">
        <v>1402</v>
      </c>
      <c r="B1404" s="17" t="s">
        <v>171</v>
      </c>
      <c r="C1404" s="17" t="s">
        <v>338</v>
      </c>
      <c r="D1404" s="17" t="s">
        <v>59</v>
      </c>
      <c r="E1404" s="17" t="s">
        <v>131</v>
      </c>
      <c r="F1404" s="17" t="s">
        <v>384</v>
      </c>
      <c r="G1404" s="17" t="s">
        <v>385</v>
      </c>
      <c r="H1404" s="30">
        <v>4749</v>
      </c>
      <c r="I1404" s="30">
        <v>0</v>
      </c>
      <c r="J1404" s="30">
        <v>4800</v>
      </c>
      <c r="K1404" s="30">
        <v>4800</v>
      </c>
      <c r="L1404" s="30">
        <v>4800</v>
      </c>
      <c r="M1404" s="31">
        <f t="shared" si="105"/>
        <v>4800</v>
      </c>
      <c r="N1404" s="32" t="str">
        <f t="shared" si="106"/>
        <v>n/a</v>
      </c>
      <c r="O1404" s="6" t="str">
        <f>IF(ABS(M1404)&lt;Overview!$B$6,"OK",IF(I1404=0,"REVIEW (zero base)",IF(ABS(M1404/ABS(I1404))&gt;=Overview!$B$5,"REVIEW","OK")))</f>
        <v>OK</v>
      </c>
      <c r="P1404" s="31">
        <f t="shared" si="107"/>
        <v>0</v>
      </c>
      <c r="Q1404" s="32">
        <f t="shared" si="108"/>
        <v>0</v>
      </c>
      <c r="R1404" s="6" t="str">
        <f>IF(ABS(P1404)&lt;Overview!$B$6,"OK",IF(J1404=0,"REVIEW (zero base)",IF(ABS(P1404/ABS(J1404))&gt;=Overview!$B$5,"REVIEW","OK")))</f>
        <v>OK</v>
      </c>
      <c r="S1404" s="33">
        <f t="shared" si="109"/>
        <v>4800.0014039999996</v>
      </c>
    </row>
    <row r="1405" spans="1:19" x14ac:dyDescent="0.2">
      <c r="A1405" s="17">
        <v>1403</v>
      </c>
      <c r="B1405" s="17" t="s">
        <v>171</v>
      </c>
      <c r="C1405" s="17" t="s">
        <v>338</v>
      </c>
      <c r="D1405" s="17" t="s">
        <v>59</v>
      </c>
      <c r="E1405" s="17" t="s">
        <v>131</v>
      </c>
      <c r="F1405" s="17" t="s">
        <v>347</v>
      </c>
      <c r="G1405" s="17" t="s">
        <v>348</v>
      </c>
      <c r="H1405" s="30">
        <v>6424</v>
      </c>
      <c r="I1405" s="30">
        <v>4397</v>
      </c>
      <c r="J1405" s="30">
        <v>6600</v>
      </c>
      <c r="K1405" s="30">
        <v>2400</v>
      </c>
      <c r="L1405" s="30">
        <v>2417</v>
      </c>
      <c r="M1405" s="31">
        <f t="shared" si="105"/>
        <v>2203</v>
      </c>
      <c r="N1405" s="32">
        <f t="shared" si="106"/>
        <v>0.5010234250625426</v>
      </c>
      <c r="O1405" s="6" t="str">
        <f>IF(ABS(M1405)&lt;Overview!$B$6,"OK",IF(I1405=0,"REVIEW (zero base)",IF(ABS(M1405/ABS(I1405))&gt;=Overview!$B$5,"REVIEW","OK")))</f>
        <v>OK</v>
      </c>
      <c r="P1405" s="31">
        <f t="shared" si="107"/>
        <v>-4200</v>
      </c>
      <c r="Q1405" s="32">
        <f t="shared" si="108"/>
        <v>-0.63636363636363635</v>
      </c>
      <c r="R1405" s="6" t="str">
        <f>IF(ABS(P1405)&lt;Overview!$B$6,"OK",IF(J1405=0,"REVIEW (zero base)",IF(ABS(P1405/ABS(J1405))&gt;=Overview!$B$5,"REVIEW","OK")))</f>
        <v>OK</v>
      </c>
      <c r="S1405" s="33">
        <f t="shared" si="109"/>
        <v>2203.001405</v>
      </c>
    </row>
    <row r="1406" spans="1:19" x14ac:dyDescent="0.2">
      <c r="A1406" s="17">
        <v>1404</v>
      </c>
      <c r="B1406" s="17" t="s">
        <v>171</v>
      </c>
      <c r="C1406" s="17" t="s">
        <v>338</v>
      </c>
      <c r="D1406" s="17" t="s">
        <v>59</v>
      </c>
      <c r="E1406" s="17" t="s">
        <v>131</v>
      </c>
      <c r="F1406" s="17" t="s">
        <v>386</v>
      </c>
      <c r="G1406" s="17" t="s">
        <v>413</v>
      </c>
      <c r="H1406" s="30">
        <v>0</v>
      </c>
      <c r="I1406" s="30">
        <v>0</v>
      </c>
      <c r="J1406" s="30">
        <v>0</v>
      </c>
      <c r="K1406" s="30">
        <v>1200</v>
      </c>
      <c r="L1406" s="30">
        <v>1208</v>
      </c>
      <c r="M1406" s="31">
        <f t="shared" si="105"/>
        <v>0</v>
      </c>
      <c r="N1406" s="32" t="str">
        <f t="shared" si="106"/>
        <v>n/a</v>
      </c>
      <c r="O1406" s="6" t="str">
        <f>IF(ABS(M1406)&lt;Overview!$B$6,"OK",IF(I1406=0,"REVIEW (zero base)",IF(ABS(M1406/ABS(I1406))&gt;=Overview!$B$5,"REVIEW","OK")))</f>
        <v>OK</v>
      </c>
      <c r="P1406" s="31">
        <f t="shared" si="107"/>
        <v>1200</v>
      </c>
      <c r="Q1406" s="32" t="str">
        <f t="shared" si="108"/>
        <v>n/a</v>
      </c>
      <c r="R1406" s="6" t="str">
        <f>IF(ABS(P1406)&lt;Overview!$B$6,"OK",IF(J1406=0,"REVIEW (zero base)",IF(ABS(P1406/ABS(J1406))&gt;=Overview!$B$5,"REVIEW","OK")))</f>
        <v>OK</v>
      </c>
      <c r="S1406" s="33">
        <f t="shared" si="109"/>
        <v>1.4059999999999999E-3</v>
      </c>
    </row>
    <row r="1407" spans="1:19" x14ac:dyDescent="0.2">
      <c r="A1407" s="17">
        <v>1405</v>
      </c>
      <c r="B1407" s="17" t="s">
        <v>171</v>
      </c>
      <c r="C1407" s="17" t="s">
        <v>338</v>
      </c>
      <c r="D1407" s="17" t="s">
        <v>59</v>
      </c>
      <c r="E1407" s="17" t="s">
        <v>131</v>
      </c>
      <c r="F1407" s="17" t="s">
        <v>386</v>
      </c>
      <c r="G1407" s="17" t="s">
        <v>387</v>
      </c>
      <c r="H1407" s="30">
        <v>0</v>
      </c>
      <c r="I1407" s="30">
        <v>0</v>
      </c>
      <c r="J1407" s="30">
        <v>210</v>
      </c>
      <c r="K1407" s="30">
        <v>100</v>
      </c>
      <c r="L1407" s="30">
        <v>101</v>
      </c>
      <c r="M1407" s="31">
        <f t="shared" si="105"/>
        <v>210</v>
      </c>
      <c r="N1407" s="32" t="str">
        <f t="shared" si="106"/>
        <v>n/a</v>
      </c>
      <c r="O1407" s="6" t="str">
        <f>IF(ABS(M1407)&lt;Overview!$B$6,"OK",IF(I1407=0,"REVIEW (zero base)",IF(ABS(M1407/ABS(I1407))&gt;=Overview!$B$5,"REVIEW","OK")))</f>
        <v>OK</v>
      </c>
      <c r="P1407" s="31">
        <f t="shared" si="107"/>
        <v>-110</v>
      </c>
      <c r="Q1407" s="32">
        <f t="shared" si="108"/>
        <v>-0.52380952380952384</v>
      </c>
      <c r="R1407" s="6" t="str">
        <f>IF(ABS(P1407)&lt;Overview!$B$6,"OK",IF(J1407=0,"REVIEW (zero base)",IF(ABS(P1407/ABS(J1407))&gt;=Overview!$B$5,"REVIEW","OK")))</f>
        <v>OK</v>
      </c>
      <c r="S1407" s="33">
        <f t="shared" si="109"/>
        <v>210.001407</v>
      </c>
    </row>
    <row r="1408" spans="1:19" x14ac:dyDescent="0.2">
      <c r="A1408" s="17">
        <v>1406</v>
      </c>
      <c r="B1408" s="17" t="s">
        <v>171</v>
      </c>
      <c r="C1408" s="17" t="s">
        <v>338</v>
      </c>
      <c r="D1408" s="17" t="s">
        <v>59</v>
      </c>
      <c r="E1408" s="17" t="s">
        <v>96</v>
      </c>
      <c r="F1408" s="17" t="s">
        <v>339</v>
      </c>
      <c r="G1408" s="17" t="s">
        <v>340</v>
      </c>
      <c r="H1408" s="30">
        <v>593527</v>
      </c>
      <c r="I1408" s="30">
        <v>647674</v>
      </c>
      <c r="J1408" s="30">
        <v>672846</v>
      </c>
      <c r="K1408" s="30">
        <v>738885</v>
      </c>
      <c r="L1408" s="30">
        <v>746274</v>
      </c>
      <c r="M1408" s="31">
        <f t="shared" si="105"/>
        <v>25172</v>
      </c>
      <c r="N1408" s="32">
        <f t="shared" si="106"/>
        <v>3.8865231582555421E-2</v>
      </c>
      <c r="O1408" s="6" t="str">
        <f>IF(ABS(M1408)&lt;Overview!$B$6,"OK",IF(I1408=0,"REVIEW (zero base)",IF(ABS(M1408/ABS(I1408))&gt;=Overview!$B$5,"REVIEW","OK")))</f>
        <v>OK</v>
      </c>
      <c r="P1408" s="31">
        <f t="shared" si="107"/>
        <v>66039</v>
      </c>
      <c r="Q1408" s="32">
        <f t="shared" si="108"/>
        <v>9.8148759151425444E-2</v>
      </c>
      <c r="R1408" s="6" t="str">
        <f>IF(ABS(P1408)&lt;Overview!$B$6,"OK",IF(J1408=0,"REVIEW (zero base)",IF(ABS(P1408/ABS(J1408))&gt;=Overview!$B$5,"REVIEW","OK")))</f>
        <v>OK</v>
      </c>
      <c r="S1408" s="33">
        <f t="shared" si="109"/>
        <v>25172.001408</v>
      </c>
    </row>
    <row r="1409" spans="1:19" x14ac:dyDescent="0.2">
      <c r="A1409" s="17">
        <v>1407</v>
      </c>
      <c r="B1409" s="17" t="s">
        <v>171</v>
      </c>
      <c r="C1409" s="17" t="s">
        <v>338</v>
      </c>
      <c r="D1409" s="17" t="s">
        <v>59</v>
      </c>
      <c r="E1409" s="17" t="s">
        <v>96</v>
      </c>
      <c r="F1409" s="17" t="s">
        <v>339</v>
      </c>
      <c r="G1409" s="17" t="s">
        <v>390</v>
      </c>
      <c r="H1409" s="30">
        <v>173</v>
      </c>
      <c r="I1409" s="30">
        <v>0</v>
      </c>
      <c r="J1409" s="30">
        <v>0</v>
      </c>
      <c r="K1409" s="30">
        <v>0</v>
      </c>
      <c r="L1409" s="30">
        <v>0</v>
      </c>
      <c r="M1409" s="31">
        <f t="shared" si="105"/>
        <v>0</v>
      </c>
      <c r="N1409" s="32" t="str">
        <f t="shared" si="106"/>
        <v>n/a</v>
      </c>
      <c r="O1409" s="6" t="str">
        <f>IF(ABS(M1409)&lt;Overview!$B$6,"OK",IF(I1409=0,"REVIEW (zero base)",IF(ABS(M1409/ABS(I1409))&gt;=Overview!$B$5,"REVIEW","OK")))</f>
        <v>OK</v>
      </c>
      <c r="P1409" s="31">
        <f t="shared" si="107"/>
        <v>0</v>
      </c>
      <c r="Q1409" s="32" t="str">
        <f t="shared" si="108"/>
        <v>n/a</v>
      </c>
      <c r="R1409" s="6" t="str">
        <f>IF(ABS(P1409)&lt;Overview!$B$6,"OK",IF(J1409=0,"REVIEW (zero base)",IF(ABS(P1409/ABS(J1409))&gt;=Overview!$B$5,"REVIEW","OK")))</f>
        <v>OK</v>
      </c>
      <c r="S1409" s="33">
        <f t="shared" si="109"/>
        <v>1.4090000000000001E-3</v>
      </c>
    </row>
    <row r="1410" spans="1:19" x14ac:dyDescent="0.2">
      <c r="A1410" s="17">
        <v>1408</v>
      </c>
      <c r="B1410" s="17" t="s">
        <v>171</v>
      </c>
      <c r="C1410" s="17" t="s">
        <v>338</v>
      </c>
      <c r="D1410" s="17" t="s">
        <v>59</v>
      </c>
      <c r="E1410" s="17" t="s">
        <v>96</v>
      </c>
      <c r="F1410" s="17" t="s">
        <v>339</v>
      </c>
      <c r="G1410" s="17" t="s">
        <v>391</v>
      </c>
      <c r="H1410" s="30">
        <v>27348</v>
      </c>
      <c r="I1410" s="30">
        <v>35430</v>
      </c>
      <c r="J1410" s="30">
        <v>0</v>
      </c>
      <c r="K1410" s="30">
        <v>0</v>
      </c>
      <c r="L1410" s="30">
        <v>0</v>
      </c>
      <c r="M1410" s="31">
        <f t="shared" ref="M1410:M1473" si="110">J1410-I1410</f>
        <v>-35430</v>
      </c>
      <c r="N1410" s="32">
        <f t="shared" ref="N1410:N1473" si="111">IF(I1410=0,"n/a",M1410/ABS(I1410))</f>
        <v>-1</v>
      </c>
      <c r="O1410" s="6" t="str">
        <f>IF(ABS(M1410)&lt;Overview!$B$6,"OK",IF(I1410=0,"REVIEW (zero base)",IF(ABS(M1410/ABS(I1410))&gt;=Overview!$B$5,"REVIEW","OK")))</f>
        <v>OK</v>
      </c>
      <c r="P1410" s="31">
        <f t="shared" ref="P1410:P1473" si="112">K1410-J1410</f>
        <v>0</v>
      </c>
      <c r="Q1410" s="32" t="str">
        <f t="shared" ref="Q1410:Q1473" si="113">IF(J1410=0,"n/a",P1410/ABS(J1410))</f>
        <v>n/a</v>
      </c>
      <c r="R1410" s="6" t="str">
        <f>IF(ABS(P1410)&lt;Overview!$B$6,"OK",IF(J1410=0,"REVIEW (zero base)",IF(ABS(P1410/ABS(J1410))&gt;=Overview!$B$5,"REVIEW","OK")))</f>
        <v>OK</v>
      </c>
      <c r="S1410" s="33">
        <f t="shared" ref="S1410:S1473" si="114">IF(C1410="EXPENSES",ABS(M1410)+ROW()/1000000,0)</f>
        <v>35430.001409999997</v>
      </c>
    </row>
    <row r="1411" spans="1:19" x14ac:dyDescent="0.2">
      <c r="A1411" s="17">
        <v>1409</v>
      </c>
      <c r="B1411" s="17" t="s">
        <v>171</v>
      </c>
      <c r="C1411" s="17" t="s">
        <v>338</v>
      </c>
      <c r="D1411" s="17" t="s">
        <v>59</v>
      </c>
      <c r="E1411" s="17" t="s">
        <v>96</v>
      </c>
      <c r="F1411" s="17" t="s">
        <v>339</v>
      </c>
      <c r="G1411" s="17" t="s">
        <v>392</v>
      </c>
      <c r="H1411" s="30">
        <v>55383</v>
      </c>
      <c r="I1411" s="30">
        <v>43682</v>
      </c>
      <c r="J1411" s="30">
        <v>0</v>
      </c>
      <c r="K1411" s="30">
        <v>0</v>
      </c>
      <c r="L1411" s="30">
        <v>0</v>
      </c>
      <c r="M1411" s="31">
        <f t="shared" si="110"/>
        <v>-43682</v>
      </c>
      <c r="N1411" s="32">
        <f t="shared" si="111"/>
        <v>-1</v>
      </c>
      <c r="O1411" s="6" t="str">
        <f>IF(ABS(M1411)&lt;Overview!$B$6,"OK",IF(I1411=0,"REVIEW (zero base)",IF(ABS(M1411/ABS(I1411))&gt;=Overview!$B$5,"REVIEW","OK")))</f>
        <v>OK</v>
      </c>
      <c r="P1411" s="31">
        <f t="shared" si="112"/>
        <v>0</v>
      </c>
      <c r="Q1411" s="32" t="str">
        <f t="shared" si="113"/>
        <v>n/a</v>
      </c>
      <c r="R1411" s="6" t="str">
        <f>IF(ABS(P1411)&lt;Overview!$B$6,"OK",IF(J1411=0,"REVIEW (zero base)",IF(ABS(P1411/ABS(J1411))&gt;=Overview!$B$5,"REVIEW","OK")))</f>
        <v>OK</v>
      </c>
      <c r="S1411" s="33">
        <f t="shared" si="114"/>
        <v>43682.001410999997</v>
      </c>
    </row>
    <row r="1412" spans="1:19" x14ac:dyDescent="0.2">
      <c r="A1412" s="17">
        <v>1410</v>
      </c>
      <c r="B1412" s="17" t="s">
        <v>171</v>
      </c>
      <c r="C1412" s="17" t="s">
        <v>338</v>
      </c>
      <c r="D1412" s="17" t="s">
        <v>59</v>
      </c>
      <c r="E1412" s="17" t="s">
        <v>96</v>
      </c>
      <c r="F1412" s="17" t="s">
        <v>339</v>
      </c>
      <c r="G1412" s="17" t="s">
        <v>394</v>
      </c>
      <c r="H1412" s="30">
        <v>47322</v>
      </c>
      <c r="I1412" s="30">
        <v>47726</v>
      </c>
      <c r="J1412" s="30">
        <v>0</v>
      </c>
      <c r="K1412" s="30">
        <v>0</v>
      </c>
      <c r="L1412" s="30">
        <v>0</v>
      </c>
      <c r="M1412" s="31">
        <f t="shared" si="110"/>
        <v>-47726</v>
      </c>
      <c r="N1412" s="32">
        <f t="shared" si="111"/>
        <v>-1</v>
      </c>
      <c r="O1412" s="6" t="str">
        <f>IF(ABS(M1412)&lt;Overview!$B$6,"OK",IF(I1412=0,"REVIEW (zero base)",IF(ABS(M1412/ABS(I1412))&gt;=Overview!$B$5,"REVIEW","OK")))</f>
        <v>OK</v>
      </c>
      <c r="P1412" s="31">
        <f t="shared" si="112"/>
        <v>0</v>
      </c>
      <c r="Q1412" s="32" t="str">
        <f t="shared" si="113"/>
        <v>n/a</v>
      </c>
      <c r="R1412" s="6" t="str">
        <f>IF(ABS(P1412)&lt;Overview!$B$6,"OK",IF(J1412=0,"REVIEW (zero base)",IF(ABS(P1412/ABS(J1412))&gt;=Overview!$B$5,"REVIEW","OK")))</f>
        <v>OK</v>
      </c>
      <c r="S1412" s="33">
        <f t="shared" si="114"/>
        <v>47726.001411999998</v>
      </c>
    </row>
    <row r="1413" spans="1:19" x14ac:dyDescent="0.2">
      <c r="A1413" s="17">
        <v>1411</v>
      </c>
      <c r="B1413" s="17" t="s">
        <v>171</v>
      </c>
      <c r="C1413" s="17" t="s">
        <v>338</v>
      </c>
      <c r="D1413" s="17" t="s">
        <v>59</v>
      </c>
      <c r="E1413" s="17" t="s">
        <v>96</v>
      </c>
      <c r="F1413" s="17" t="s">
        <v>339</v>
      </c>
      <c r="G1413" s="17" t="s">
        <v>395</v>
      </c>
      <c r="H1413" s="30">
        <v>24882</v>
      </c>
      <c r="I1413" s="30">
        <v>23758</v>
      </c>
      <c r="J1413" s="30">
        <v>24103</v>
      </c>
      <c r="K1413" s="30">
        <v>0</v>
      </c>
      <c r="L1413" s="30">
        <v>0</v>
      </c>
      <c r="M1413" s="31">
        <f t="shared" si="110"/>
        <v>345</v>
      </c>
      <c r="N1413" s="32">
        <f t="shared" si="111"/>
        <v>1.4521424362320061E-2</v>
      </c>
      <c r="O1413" s="6" t="str">
        <f>IF(ABS(M1413)&lt;Overview!$B$6,"OK",IF(I1413=0,"REVIEW (zero base)",IF(ABS(M1413/ABS(I1413))&gt;=Overview!$B$5,"REVIEW","OK")))</f>
        <v>OK</v>
      </c>
      <c r="P1413" s="31">
        <f t="shared" si="112"/>
        <v>-24103</v>
      </c>
      <c r="Q1413" s="32">
        <f t="shared" si="113"/>
        <v>-1</v>
      </c>
      <c r="R1413" s="6" t="str">
        <f>IF(ABS(P1413)&lt;Overview!$B$6,"OK",IF(J1413=0,"REVIEW (zero base)",IF(ABS(P1413/ABS(J1413))&gt;=Overview!$B$5,"REVIEW","OK")))</f>
        <v>OK</v>
      </c>
      <c r="S1413" s="33">
        <f t="shared" si="114"/>
        <v>345.00141300000001</v>
      </c>
    </row>
    <row r="1414" spans="1:19" x14ac:dyDescent="0.2">
      <c r="A1414" s="17">
        <v>1412</v>
      </c>
      <c r="B1414" s="17" t="s">
        <v>171</v>
      </c>
      <c r="C1414" s="17" t="s">
        <v>338</v>
      </c>
      <c r="D1414" s="17" t="s">
        <v>59</v>
      </c>
      <c r="E1414" s="17" t="s">
        <v>96</v>
      </c>
      <c r="F1414" s="17" t="s">
        <v>341</v>
      </c>
      <c r="G1414" s="17" t="s">
        <v>342</v>
      </c>
      <c r="H1414" s="30">
        <v>15762</v>
      </c>
      <c r="I1414" s="30">
        <v>14456</v>
      </c>
      <c r="J1414" s="30">
        <v>19524</v>
      </c>
      <c r="K1414" s="30">
        <v>19524</v>
      </c>
      <c r="L1414" s="30">
        <v>19524</v>
      </c>
      <c r="M1414" s="31">
        <f t="shared" si="110"/>
        <v>5068</v>
      </c>
      <c r="N1414" s="32">
        <f t="shared" si="111"/>
        <v>0.35058107360265633</v>
      </c>
      <c r="O1414" s="6" t="str">
        <f>IF(ABS(M1414)&lt;Overview!$B$6,"OK",IF(I1414=0,"REVIEW (zero base)",IF(ABS(M1414/ABS(I1414))&gt;=Overview!$B$5,"REVIEW","OK")))</f>
        <v>OK</v>
      </c>
      <c r="P1414" s="31">
        <f t="shared" si="112"/>
        <v>0</v>
      </c>
      <c r="Q1414" s="32">
        <f t="shared" si="113"/>
        <v>0</v>
      </c>
      <c r="R1414" s="6" t="str">
        <f>IF(ABS(P1414)&lt;Overview!$B$6,"OK",IF(J1414=0,"REVIEW (zero base)",IF(ABS(P1414/ABS(J1414))&gt;=Overview!$B$5,"REVIEW","OK")))</f>
        <v>OK</v>
      </c>
      <c r="S1414" s="33">
        <f t="shared" si="114"/>
        <v>5068.0014140000003</v>
      </c>
    </row>
    <row r="1415" spans="1:19" x14ac:dyDescent="0.2">
      <c r="A1415" s="17">
        <v>1413</v>
      </c>
      <c r="B1415" s="17" t="s">
        <v>171</v>
      </c>
      <c r="C1415" s="17" t="s">
        <v>338</v>
      </c>
      <c r="D1415" s="17" t="s">
        <v>59</v>
      </c>
      <c r="E1415" s="17" t="s">
        <v>96</v>
      </c>
      <c r="F1415" s="17" t="s">
        <v>341</v>
      </c>
      <c r="G1415" s="17" t="s">
        <v>406</v>
      </c>
      <c r="H1415" s="30">
        <v>1500</v>
      </c>
      <c r="I1415" s="30">
        <v>1500</v>
      </c>
      <c r="J1415" s="30">
        <v>0</v>
      </c>
      <c r="K1415" s="30">
        <v>0</v>
      </c>
      <c r="L1415" s="30">
        <v>0</v>
      </c>
      <c r="M1415" s="31">
        <f t="shared" si="110"/>
        <v>-1500</v>
      </c>
      <c r="N1415" s="32">
        <f t="shared" si="111"/>
        <v>-1</v>
      </c>
      <c r="O1415" s="6" t="str">
        <f>IF(ABS(M1415)&lt;Overview!$B$6,"OK",IF(I1415=0,"REVIEW (zero base)",IF(ABS(M1415/ABS(I1415))&gt;=Overview!$B$5,"REVIEW","OK")))</f>
        <v>OK</v>
      </c>
      <c r="P1415" s="31">
        <f t="shared" si="112"/>
        <v>0</v>
      </c>
      <c r="Q1415" s="32" t="str">
        <f t="shared" si="113"/>
        <v>n/a</v>
      </c>
      <c r="R1415" s="6" t="str">
        <f>IF(ABS(P1415)&lt;Overview!$B$6,"OK",IF(J1415=0,"REVIEW (zero base)",IF(ABS(P1415/ABS(J1415))&gt;=Overview!$B$5,"REVIEW","OK")))</f>
        <v>OK</v>
      </c>
      <c r="S1415" s="33">
        <f t="shared" si="114"/>
        <v>1500.001415</v>
      </c>
    </row>
    <row r="1416" spans="1:19" x14ac:dyDescent="0.2">
      <c r="A1416" s="17">
        <v>1414</v>
      </c>
      <c r="B1416" s="17" t="s">
        <v>171</v>
      </c>
      <c r="C1416" s="17" t="s">
        <v>338</v>
      </c>
      <c r="D1416" s="17" t="s">
        <v>59</v>
      </c>
      <c r="E1416" s="17" t="s">
        <v>96</v>
      </c>
      <c r="F1416" s="17" t="s">
        <v>341</v>
      </c>
      <c r="G1416" s="17" t="s">
        <v>375</v>
      </c>
      <c r="H1416" s="30">
        <v>50371</v>
      </c>
      <c r="I1416" s="30">
        <v>59107</v>
      </c>
      <c r="J1416" s="30">
        <v>59150</v>
      </c>
      <c r="K1416" s="30">
        <v>59150</v>
      </c>
      <c r="L1416" s="30">
        <v>59150</v>
      </c>
      <c r="M1416" s="31">
        <f t="shared" si="110"/>
        <v>43</v>
      </c>
      <c r="N1416" s="32">
        <f t="shared" si="111"/>
        <v>7.2749420542406141E-4</v>
      </c>
      <c r="O1416" s="6" t="str">
        <f>IF(ABS(M1416)&lt;Overview!$B$6,"OK",IF(I1416=0,"REVIEW (zero base)",IF(ABS(M1416/ABS(I1416))&gt;=Overview!$B$5,"REVIEW","OK")))</f>
        <v>OK</v>
      </c>
      <c r="P1416" s="31">
        <f t="shared" si="112"/>
        <v>0</v>
      </c>
      <c r="Q1416" s="32">
        <f t="shared" si="113"/>
        <v>0</v>
      </c>
      <c r="R1416" s="6" t="str">
        <f>IF(ABS(P1416)&lt;Overview!$B$6,"OK",IF(J1416=0,"REVIEW (zero base)",IF(ABS(P1416/ABS(J1416))&gt;=Overview!$B$5,"REVIEW","OK")))</f>
        <v>OK</v>
      </c>
      <c r="S1416" s="33">
        <f t="shared" si="114"/>
        <v>43.001415999999999</v>
      </c>
    </row>
    <row r="1417" spans="1:19" x14ac:dyDescent="0.2">
      <c r="A1417" s="17">
        <v>1415</v>
      </c>
      <c r="B1417" s="17" t="s">
        <v>171</v>
      </c>
      <c r="C1417" s="17" t="s">
        <v>338</v>
      </c>
      <c r="D1417" s="17" t="s">
        <v>59</v>
      </c>
      <c r="E1417" s="17" t="s">
        <v>96</v>
      </c>
      <c r="F1417" s="17" t="s">
        <v>341</v>
      </c>
      <c r="G1417" s="17" t="s">
        <v>376</v>
      </c>
      <c r="H1417" s="30">
        <v>215951</v>
      </c>
      <c r="I1417" s="30">
        <v>234877</v>
      </c>
      <c r="J1417" s="30">
        <v>204914</v>
      </c>
      <c r="K1417" s="30">
        <v>244740</v>
      </c>
      <c r="L1417" s="30">
        <v>257540</v>
      </c>
      <c r="M1417" s="31">
        <f t="shared" si="110"/>
        <v>-29963</v>
      </c>
      <c r="N1417" s="32">
        <f t="shared" si="111"/>
        <v>-0.12756889776351027</v>
      </c>
      <c r="O1417" s="6" t="str">
        <f>IF(ABS(M1417)&lt;Overview!$B$6,"OK",IF(I1417=0,"REVIEW (zero base)",IF(ABS(M1417/ABS(I1417))&gt;=Overview!$B$5,"REVIEW","OK")))</f>
        <v>OK</v>
      </c>
      <c r="P1417" s="31">
        <f t="shared" si="112"/>
        <v>39826</v>
      </c>
      <c r="Q1417" s="32">
        <f t="shared" si="113"/>
        <v>0.19435470490059245</v>
      </c>
      <c r="R1417" s="6" t="str">
        <f>IF(ABS(P1417)&lt;Overview!$B$6,"OK",IF(J1417=0,"REVIEW (zero base)",IF(ABS(P1417/ABS(J1417))&gt;=Overview!$B$5,"REVIEW","OK")))</f>
        <v>OK</v>
      </c>
      <c r="S1417" s="33">
        <f t="shared" si="114"/>
        <v>29963.001416999999</v>
      </c>
    </row>
    <row r="1418" spans="1:19" x14ac:dyDescent="0.2">
      <c r="A1418" s="17">
        <v>1416</v>
      </c>
      <c r="B1418" s="17" t="s">
        <v>171</v>
      </c>
      <c r="C1418" s="17" t="s">
        <v>338</v>
      </c>
      <c r="D1418" s="17" t="s">
        <v>59</v>
      </c>
      <c r="E1418" s="17" t="s">
        <v>96</v>
      </c>
      <c r="F1418" s="17" t="s">
        <v>341</v>
      </c>
      <c r="G1418" s="17" t="s">
        <v>343</v>
      </c>
      <c r="H1418" s="30">
        <v>55644</v>
      </c>
      <c r="I1418" s="30">
        <v>59311</v>
      </c>
      <c r="J1418" s="30">
        <v>62542</v>
      </c>
      <c r="K1418" s="30">
        <v>60736</v>
      </c>
      <c r="L1418" s="30">
        <v>61343</v>
      </c>
      <c r="M1418" s="31">
        <f t="shared" si="110"/>
        <v>3231</v>
      </c>
      <c r="N1418" s="32">
        <f t="shared" si="111"/>
        <v>5.4475561025779363E-2</v>
      </c>
      <c r="O1418" s="6" t="str">
        <f>IF(ABS(M1418)&lt;Overview!$B$6,"OK",IF(I1418=0,"REVIEW (zero base)",IF(ABS(M1418/ABS(I1418))&gt;=Overview!$B$5,"REVIEW","OK")))</f>
        <v>OK</v>
      </c>
      <c r="P1418" s="31">
        <f t="shared" si="112"/>
        <v>-1806</v>
      </c>
      <c r="Q1418" s="32">
        <f t="shared" si="113"/>
        <v>-2.8876594928208245E-2</v>
      </c>
      <c r="R1418" s="6" t="str">
        <f>IF(ABS(P1418)&lt;Overview!$B$6,"OK",IF(J1418=0,"REVIEW (zero base)",IF(ABS(P1418/ABS(J1418))&gt;=Overview!$B$5,"REVIEW","OK")))</f>
        <v>OK</v>
      </c>
      <c r="S1418" s="33">
        <f t="shared" si="114"/>
        <v>3231.0014179999998</v>
      </c>
    </row>
    <row r="1419" spans="1:19" x14ac:dyDescent="0.2">
      <c r="A1419" s="17">
        <v>1417</v>
      </c>
      <c r="B1419" s="17" t="s">
        <v>171</v>
      </c>
      <c r="C1419" s="17" t="s">
        <v>338</v>
      </c>
      <c r="D1419" s="17" t="s">
        <v>59</v>
      </c>
      <c r="E1419" s="17" t="s">
        <v>96</v>
      </c>
      <c r="F1419" s="17" t="s">
        <v>341</v>
      </c>
      <c r="G1419" s="17" t="s">
        <v>439</v>
      </c>
      <c r="H1419" s="30">
        <v>0</v>
      </c>
      <c r="I1419" s="30">
        <v>0</v>
      </c>
      <c r="J1419" s="30">
        <v>0</v>
      </c>
      <c r="K1419" s="30">
        <v>0</v>
      </c>
      <c r="L1419" s="30">
        <v>0</v>
      </c>
      <c r="M1419" s="31">
        <f t="shared" si="110"/>
        <v>0</v>
      </c>
      <c r="N1419" s="32" t="str">
        <f t="shared" si="111"/>
        <v>n/a</v>
      </c>
      <c r="O1419" s="6" t="str">
        <f>IF(ABS(M1419)&lt;Overview!$B$6,"OK",IF(I1419=0,"REVIEW (zero base)",IF(ABS(M1419/ABS(I1419))&gt;=Overview!$B$5,"REVIEW","OK")))</f>
        <v>OK</v>
      </c>
      <c r="P1419" s="31">
        <f t="shared" si="112"/>
        <v>0</v>
      </c>
      <c r="Q1419" s="32" t="str">
        <f t="shared" si="113"/>
        <v>n/a</v>
      </c>
      <c r="R1419" s="6" t="str">
        <f>IF(ABS(P1419)&lt;Overview!$B$6,"OK",IF(J1419=0,"REVIEW (zero base)",IF(ABS(P1419/ABS(J1419))&gt;=Overview!$B$5,"REVIEW","OK")))</f>
        <v>OK</v>
      </c>
      <c r="S1419" s="33">
        <f t="shared" si="114"/>
        <v>1.4189999999999999E-3</v>
      </c>
    </row>
    <row r="1420" spans="1:19" x14ac:dyDescent="0.2">
      <c r="A1420" s="17">
        <v>1418</v>
      </c>
      <c r="B1420" s="17" t="s">
        <v>171</v>
      </c>
      <c r="C1420" s="17" t="s">
        <v>338</v>
      </c>
      <c r="D1420" s="17" t="s">
        <v>59</v>
      </c>
      <c r="E1420" s="17" t="s">
        <v>96</v>
      </c>
      <c r="F1420" s="17" t="s">
        <v>341</v>
      </c>
      <c r="G1420" s="17" t="s">
        <v>378</v>
      </c>
      <c r="H1420" s="30">
        <v>41504</v>
      </c>
      <c r="I1420" s="30">
        <v>45270</v>
      </c>
      <c r="J1420" s="30">
        <v>44720</v>
      </c>
      <c r="K1420" s="30">
        <v>47320</v>
      </c>
      <c r="L1420" s="30">
        <v>49416</v>
      </c>
      <c r="M1420" s="31">
        <f t="shared" si="110"/>
        <v>-550</v>
      </c>
      <c r="N1420" s="32">
        <f t="shared" si="111"/>
        <v>-1.2149326264634415E-2</v>
      </c>
      <c r="O1420" s="6" t="str">
        <f>IF(ABS(M1420)&lt;Overview!$B$6,"OK",IF(I1420=0,"REVIEW (zero base)",IF(ABS(M1420/ABS(I1420))&gt;=Overview!$B$5,"REVIEW","OK")))</f>
        <v>OK</v>
      </c>
      <c r="P1420" s="31">
        <f t="shared" si="112"/>
        <v>2600</v>
      </c>
      <c r="Q1420" s="32">
        <f t="shared" si="113"/>
        <v>5.8139534883720929E-2</v>
      </c>
      <c r="R1420" s="6" t="str">
        <f>IF(ABS(P1420)&lt;Overview!$B$6,"OK",IF(J1420=0,"REVIEW (zero base)",IF(ABS(P1420/ABS(J1420))&gt;=Overview!$B$5,"REVIEW","OK")))</f>
        <v>OK</v>
      </c>
      <c r="S1420" s="33">
        <f t="shared" si="114"/>
        <v>550.00142000000005</v>
      </c>
    </row>
    <row r="1421" spans="1:19" x14ac:dyDescent="0.2">
      <c r="A1421" s="17">
        <v>1419</v>
      </c>
      <c r="B1421" s="17" t="s">
        <v>171</v>
      </c>
      <c r="C1421" s="17" t="s">
        <v>338</v>
      </c>
      <c r="D1421" s="17" t="s">
        <v>59</v>
      </c>
      <c r="E1421" s="17" t="s">
        <v>96</v>
      </c>
      <c r="F1421" s="17" t="s">
        <v>341</v>
      </c>
      <c r="G1421" s="17" t="s">
        <v>344</v>
      </c>
      <c r="H1421" s="30">
        <v>132733</v>
      </c>
      <c r="I1421" s="30">
        <v>132545</v>
      </c>
      <c r="J1421" s="30">
        <v>170621</v>
      </c>
      <c r="K1421" s="30">
        <v>194940</v>
      </c>
      <c r="L1421" s="30">
        <v>198839</v>
      </c>
      <c r="M1421" s="31">
        <f t="shared" si="110"/>
        <v>38076</v>
      </c>
      <c r="N1421" s="32">
        <f t="shared" si="111"/>
        <v>0.28726847485759555</v>
      </c>
      <c r="O1421" s="6" t="str">
        <f>IF(ABS(M1421)&lt;Overview!$B$6,"OK",IF(I1421=0,"REVIEW (zero base)",IF(ABS(M1421/ABS(I1421))&gt;=Overview!$B$5,"REVIEW","OK")))</f>
        <v>OK</v>
      </c>
      <c r="P1421" s="31">
        <f t="shared" si="112"/>
        <v>24319</v>
      </c>
      <c r="Q1421" s="32">
        <f t="shared" si="113"/>
        <v>0.1425322791450056</v>
      </c>
      <c r="R1421" s="6" t="str">
        <f>IF(ABS(P1421)&lt;Overview!$B$6,"OK",IF(J1421=0,"REVIEW (zero base)",IF(ABS(P1421/ABS(J1421))&gt;=Overview!$B$5,"REVIEW","OK")))</f>
        <v>OK</v>
      </c>
      <c r="S1421" s="33">
        <f t="shared" si="114"/>
        <v>38076.001421000001</v>
      </c>
    </row>
    <row r="1422" spans="1:19" x14ac:dyDescent="0.2">
      <c r="A1422" s="17">
        <v>1420</v>
      </c>
      <c r="B1422" s="17" t="s">
        <v>171</v>
      </c>
      <c r="C1422" s="17" t="s">
        <v>338</v>
      </c>
      <c r="D1422" s="17" t="s">
        <v>59</v>
      </c>
      <c r="E1422" s="17" t="s">
        <v>96</v>
      </c>
      <c r="F1422" s="17" t="s">
        <v>364</v>
      </c>
      <c r="G1422" s="17" t="s">
        <v>379</v>
      </c>
      <c r="H1422" s="30">
        <v>601422</v>
      </c>
      <c r="I1422" s="30">
        <v>535246</v>
      </c>
      <c r="J1422" s="30">
        <v>600000</v>
      </c>
      <c r="K1422" s="30">
        <v>600000</v>
      </c>
      <c r="L1422" s="30">
        <v>604200</v>
      </c>
      <c r="M1422" s="31">
        <f t="shared" si="110"/>
        <v>64754</v>
      </c>
      <c r="N1422" s="32">
        <f t="shared" si="111"/>
        <v>0.12097988588424761</v>
      </c>
      <c r="O1422" s="6" t="str">
        <f>IF(ABS(M1422)&lt;Overview!$B$6,"OK",IF(I1422=0,"REVIEW (zero base)",IF(ABS(M1422/ABS(I1422))&gt;=Overview!$B$5,"REVIEW","OK")))</f>
        <v>OK</v>
      </c>
      <c r="P1422" s="31">
        <f t="shared" si="112"/>
        <v>0</v>
      </c>
      <c r="Q1422" s="32">
        <f t="shared" si="113"/>
        <v>0</v>
      </c>
      <c r="R1422" s="6" t="str">
        <f>IF(ABS(P1422)&lt;Overview!$B$6,"OK",IF(J1422=0,"REVIEW (zero base)",IF(ABS(P1422/ABS(J1422))&gt;=Overview!$B$5,"REVIEW","OK")))</f>
        <v>OK</v>
      </c>
      <c r="S1422" s="33">
        <f t="shared" si="114"/>
        <v>64754.001422000001</v>
      </c>
    </row>
    <row r="1423" spans="1:19" x14ac:dyDescent="0.2">
      <c r="A1423" s="17">
        <v>1421</v>
      </c>
      <c r="B1423" s="17" t="s">
        <v>171</v>
      </c>
      <c r="C1423" s="17" t="s">
        <v>338</v>
      </c>
      <c r="D1423" s="17" t="s">
        <v>59</v>
      </c>
      <c r="E1423" s="17" t="s">
        <v>96</v>
      </c>
      <c r="F1423" s="17" t="s">
        <v>364</v>
      </c>
      <c r="G1423" s="17" t="s">
        <v>383</v>
      </c>
      <c r="H1423" s="30">
        <v>99334</v>
      </c>
      <c r="I1423" s="30">
        <v>114386</v>
      </c>
      <c r="J1423" s="30">
        <v>95040</v>
      </c>
      <c r="K1423" s="30">
        <v>95040</v>
      </c>
      <c r="L1423" s="30">
        <v>95040</v>
      </c>
      <c r="M1423" s="31">
        <f t="shared" si="110"/>
        <v>-19346</v>
      </c>
      <c r="N1423" s="32">
        <f t="shared" si="111"/>
        <v>-0.16912908922420575</v>
      </c>
      <c r="O1423" s="6" t="str">
        <f>IF(ABS(M1423)&lt;Overview!$B$6,"OK",IF(I1423=0,"REVIEW (zero base)",IF(ABS(M1423/ABS(I1423))&gt;=Overview!$B$5,"REVIEW","OK")))</f>
        <v>OK</v>
      </c>
      <c r="P1423" s="31">
        <f t="shared" si="112"/>
        <v>0</v>
      </c>
      <c r="Q1423" s="32">
        <f t="shared" si="113"/>
        <v>0</v>
      </c>
      <c r="R1423" s="6" t="str">
        <f>IF(ABS(P1423)&lt;Overview!$B$6,"OK",IF(J1423=0,"REVIEW (zero base)",IF(ABS(P1423/ABS(J1423))&gt;=Overview!$B$5,"REVIEW","OK")))</f>
        <v>OK</v>
      </c>
      <c r="S1423" s="33">
        <f t="shared" si="114"/>
        <v>19346.001423000002</v>
      </c>
    </row>
    <row r="1424" spans="1:19" x14ac:dyDescent="0.2">
      <c r="A1424" s="17">
        <v>1422</v>
      </c>
      <c r="B1424" s="17" t="s">
        <v>171</v>
      </c>
      <c r="C1424" s="17" t="s">
        <v>338</v>
      </c>
      <c r="D1424" s="17" t="s">
        <v>59</v>
      </c>
      <c r="E1424" s="17" t="s">
        <v>96</v>
      </c>
      <c r="F1424" s="17" t="s">
        <v>364</v>
      </c>
      <c r="G1424" s="17" t="s">
        <v>397</v>
      </c>
      <c r="H1424" s="30">
        <v>16920</v>
      </c>
      <c r="I1424" s="30">
        <v>20484</v>
      </c>
      <c r="J1424" s="30">
        <v>20000</v>
      </c>
      <c r="K1424" s="30">
        <v>20000</v>
      </c>
      <c r="L1424" s="30">
        <v>20140</v>
      </c>
      <c r="M1424" s="31">
        <f t="shared" si="110"/>
        <v>-484</v>
      </c>
      <c r="N1424" s="32">
        <f t="shared" si="111"/>
        <v>-2.3628197617652801E-2</v>
      </c>
      <c r="O1424" s="6" t="str">
        <f>IF(ABS(M1424)&lt;Overview!$B$6,"OK",IF(I1424=0,"REVIEW (zero base)",IF(ABS(M1424/ABS(I1424))&gt;=Overview!$B$5,"REVIEW","OK")))</f>
        <v>OK</v>
      </c>
      <c r="P1424" s="31">
        <f t="shared" si="112"/>
        <v>0</v>
      </c>
      <c r="Q1424" s="32">
        <f t="shared" si="113"/>
        <v>0</v>
      </c>
      <c r="R1424" s="6" t="str">
        <f>IF(ABS(P1424)&lt;Overview!$B$6,"OK",IF(J1424=0,"REVIEW (zero base)",IF(ABS(P1424/ABS(J1424))&gt;=Overview!$B$5,"REVIEW","OK")))</f>
        <v>OK</v>
      </c>
      <c r="S1424" s="33">
        <f t="shared" si="114"/>
        <v>484.00142399999999</v>
      </c>
    </row>
    <row r="1425" spans="1:19" x14ac:dyDescent="0.2">
      <c r="A1425" s="17">
        <v>1423</v>
      </c>
      <c r="B1425" s="17" t="s">
        <v>171</v>
      </c>
      <c r="C1425" s="17" t="s">
        <v>338</v>
      </c>
      <c r="D1425" s="17" t="s">
        <v>59</v>
      </c>
      <c r="E1425" s="17" t="s">
        <v>96</v>
      </c>
      <c r="F1425" s="17" t="s">
        <v>364</v>
      </c>
      <c r="G1425" s="17" t="s">
        <v>398</v>
      </c>
      <c r="H1425" s="30">
        <v>371</v>
      </c>
      <c r="I1425" s="30">
        <v>296</v>
      </c>
      <c r="J1425" s="30">
        <v>535</v>
      </c>
      <c r="K1425" s="30">
        <v>535</v>
      </c>
      <c r="L1425" s="30">
        <v>539</v>
      </c>
      <c r="M1425" s="31">
        <f t="shared" si="110"/>
        <v>239</v>
      </c>
      <c r="N1425" s="32">
        <f t="shared" si="111"/>
        <v>0.80743243243243246</v>
      </c>
      <c r="O1425" s="6" t="str">
        <f>IF(ABS(M1425)&lt;Overview!$B$6,"OK",IF(I1425=0,"REVIEW (zero base)",IF(ABS(M1425/ABS(I1425))&gt;=Overview!$B$5,"REVIEW","OK")))</f>
        <v>OK</v>
      </c>
      <c r="P1425" s="31">
        <f t="shared" si="112"/>
        <v>0</v>
      </c>
      <c r="Q1425" s="32">
        <f t="shared" si="113"/>
        <v>0</v>
      </c>
      <c r="R1425" s="6" t="str">
        <f>IF(ABS(P1425)&lt;Overview!$B$6,"OK",IF(J1425=0,"REVIEW (zero base)",IF(ABS(P1425/ABS(J1425))&gt;=Overview!$B$5,"REVIEW","OK")))</f>
        <v>OK</v>
      </c>
      <c r="S1425" s="33">
        <f t="shared" si="114"/>
        <v>239.00142500000001</v>
      </c>
    </row>
    <row r="1426" spans="1:19" x14ac:dyDescent="0.2">
      <c r="A1426" s="17">
        <v>1424</v>
      </c>
      <c r="B1426" s="17" t="s">
        <v>171</v>
      </c>
      <c r="C1426" s="17" t="s">
        <v>338</v>
      </c>
      <c r="D1426" s="17" t="s">
        <v>59</v>
      </c>
      <c r="E1426" s="17" t="s">
        <v>96</v>
      </c>
      <c r="F1426" s="17" t="s">
        <v>364</v>
      </c>
      <c r="G1426" s="17" t="s">
        <v>399</v>
      </c>
      <c r="H1426" s="30">
        <v>1355</v>
      </c>
      <c r="I1426" s="30">
        <v>0</v>
      </c>
      <c r="J1426" s="30">
        <v>41500</v>
      </c>
      <c r="K1426" s="30">
        <v>41500</v>
      </c>
      <c r="L1426" s="30">
        <v>41791</v>
      </c>
      <c r="M1426" s="31">
        <f t="shared" si="110"/>
        <v>41500</v>
      </c>
      <c r="N1426" s="32" t="str">
        <f t="shared" si="111"/>
        <v>n/a</v>
      </c>
      <c r="O1426" s="6" t="str">
        <f>IF(ABS(M1426)&lt;Overview!$B$6,"OK",IF(I1426=0,"REVIEW (zero base)",IF(ABS(M1426/ABS(I1426))&gt;=Overview!$B$5,"REVIEW","OK")))</f>
        <v>OK</v>
      </c>
      <c r="P1426" s="31">
        <f t="shared" si="112"/>
        <v>0</v>
      </c>
      <c r="Q1426" s="32">
        <f t="shared" si="113"/>
        <v>0</v>
      </c>
      <c r="R1426" s="6" t="str">
        <f>IF(ABS(P1426)&lt;Overview!$B$6,"OK",IF(J1426=0,"REVIEW (zero base)",IF(ABS(P1426/ABS(J1426))&gt;=Overview!$B$5,"REVIEW","OK")))</f>
        <v>OK</v>
      </c>
      <c r="S1426" s="33">
        <f t="shared" si="114"/>
        <v>41500.001426000003</v>
      </c>
    </row>
    <row r="1427" spans="1:19" x14ac:dyDescent="0.2">
      <c r="A1427" s="17">
        <v>1425</v>
      </c>
      <c r="B1427" s="17" t="s">
        <v>171</v>
      </c>
      <c r="C1427" s="17" t="s">
        <v>338</v>
      </c>
      <c r="D1427" s="17" t="s">
        <v>59</v>
      </c>
      <c r="E1427" s="17" t="s">
        <v>96</v>
      </c>
      <c r="F1427" s="17" t="s">
        <v>345</v>
      </c>
      <c r="G1427" s="17" t="s">
        <v>346</v>
      </c>
      <c r="H1427" s="30">
        <v>67</v>
      </c>
      <c r="I1427" s="30">
        <v>0</v>
      </c>
      <c r="J1427" s="30">
        <v>0</v>
      </c>
      <c r="K1427" s="30">
        <v>0</v>
      </c>
      <c r="L1427" s="30">
        <v>0</v>
      </c>
      <c r="M1427" s="31">
        <f t="shared" si="110"/>
        <v>0</v>
      </c>
      <c r="N1427" s="32" t="str">
        <f t="shared" si="111"/>
        <v>n/a</v>
      </c>
      <c r="O1427" s="6" t="str">
        <f>IF(ABS(M1427)&lt;Overview!$B$6,"OK",IF(I1427=0,"REVIEW (zero base)",IF(ABS(M1427/ABS(I1427))&gt;=Overview!$B$5,"REVIEW","OK")))</f>
        <v>OK</v>
      </c>
      <c r="P1427" s="31">
        <f t="shared" si="112"/>
        <v>0</v>
      </c>
      <c r="Q1427" s="32" t="str">
        <f t="shared" si="113"/>
        <v>n/a</v>
      </c>
      <c r="R1427" s="6" t="str">
        <f>IF(ABS(P1427)&lt;Overview!$B$6,"OK",IF(J1427=0,"REVIEW (zero base)",IF(ABS(P1427/ABS(J1427))&gt;=Overview!$B$5,"REVIEW","OK")))</f>
        <v>OK</v>
      </c>
      <c r="S1427" s="33">
        <f t="shared" si="114"/>
        <v>1.4270000000000001E-3</v>
      </c>
    </row>
    <row r="1428" spans="1:19" x14ac:dyDescent="0.2">
      <c r="A1428" s="17">
        <v>1426</v>
      </c>
      <c r="B1428" s="17" t="s">
        <v>171</v>
      </c>
      <c r="C1428" s="17" t="s">
        <v>338</v>
      </c>
      <c r="D1428" s="17" t="s">
        <v>59</v>
      </c>
      <c r="E1428" s="17" t="s">
        <v>96</v>
      </c>
      <c r="F1428" s="17" t="s">
        <v>384</v>
      </c>
      <c r="G1428" s="17" t="s">
        <v>530</v>
      </c>
      <c r="H1428" s="30">
        <v>143116</v>
      </c>
      <c r="I1428" s="30">
        <v>106680</v>
      </c>
      <c r="J1428" s="30">
        <v>150465</v>
      </c>
      <c r="K1428" s="30">
        <v>157750</v>
      </c>
      <c r="L1428" s="30">
        <v>157750</v>
      </c>
      <c r="M1428" s="31">
        <f t="shared" si="110"/>
        <v>43785</v>
      </c>
      <c r="N1428" s="32">
        <f t="shared" si="111"/>
        <v>0.41043307086614172</v>
      </c>
      <c r="O1428" s="6" t="str">
        <f>IF(ABS(M1428)&lt;Overview!$B$6,"OK",IF(I1428=0,"REVIEW (zero base)",IF(ABS(M1428/ABS(I1428))&gt;=Overview!$B$5,"REVIEW","OK")))</f>
        <v>OK</v>
      </c>
      <c r="P1428" s="31">
        <f t="shared" si="112"/>
        <v>7285</v>
      </c>
      <c r="Q1428" s="32">
        <f t="shared" si="113"/>
        <v>4.8416575283288472E-2</v>
      </c>
      <c r="R1428" s="6" t="str">
        <f>IF(ABS(P1428)&lt;Overview!$B$6,"OK",IF(J1428=0,"REVIEW (zero base)",IF(ABS(P1428/ABS(J1428))&gt;=Overview!$B$5,"REVIEW","OK")))</f>
        <v>OK</v>
      </c>
      <c r="S1428" s="33">
        <f t="shared" si="114"/>
        <v>43785.001428000003</v>
      </c>
    </row>
    <row r="1429" spans="1:19" x14ac:dyDescent="0.2">
      <c r="A1429" s="17">
        <v>1427</v>
      </c>
      <c r="B1429" s="17" t="s">
        <v>171</v>
      </c>
      <c r="C1429" s="17" t="s">
        <v>338</v>
      </c>
      <c r="D1429" s="17" t="s">
        <v>59</v>
      </c>
      <c r="E1429" s="17" t="s">
        <v>96</v>
      </c>
      <c r="F1429" s="17" t="s">
        <v>384</v>
      </c>
      <c r="G1429" s="17" t="s">
        <v>531</v>
      </c>
      <c r="H1429" s="30">
        <v>300</v>
      </c>
      <c r="I1429" s="30">
        <v>0</v>
      </c>
      <c r="J1429" s="30">
        <v>350</v>
      </c>
      <c r="K1429" s="30">
        <v>12500</v>
      </c>
      <c r="L1429" s="30">
        <v>12500</v>
      </c>
      <c r="M1429" s="31">
        <f t="shared" si="110"/>
        <v>350</v>
      </c>
      <c r="N1429" s="32" t="str">
        <f t="shared" si="111"/>
        <v>n/a</v>
      </c>
      <c r="O1429" s="6" t="str">
        <f>IF(ABS(M1429)&lt;Overview!$B$6,"OK",IF(I1429=0,"REVIEW (zero base)",IF(ABS(M1429/ABS(I1429))&gt;=Overview!$B$5,"REVIEW","OK")))</f>
        <v>OK</v>
      </c>
      <c r="P1429" s="31">
        <f t="shared" si="112"/>
        <v>12150</v>
      </c>
      <c r="Q1429" s="32">
        <f t="shared" si="113"/>
        <v>34.714285714285715</v>
      </c>
      <c r="R1429" s="6" t="str">
        <f>IF(ABS(P1429)&lt;Overview!$B$6,"OK",IF(J1429=0,"REVIEW (zero base)",IF(ABS(P1429/ABS(J1429))&gt;=Overview!$B$5,"REVIEW","OK")))</f>
        <v>OK</v>
      </c>
      <c r="S1429" s="33">
        <f t="shared" si="114"/>
        <v>350.00142899999997</v>
      </c>
    </row>
    <row r="1430" spans="1:19" x14ac:dyDescent="0.2">
      <c r="A1430" s="17">
        <v>1428</v>
      </c>
      <c r="B1430" s="17" t="s">
        <v>171</v>
      </c>
      <c r="C1430" s="17" t="s">
        <v>338</v>
      </c>
      <c r="D1430" s="17" t="s">
        <v>59</v>
      </c>
      <c r="E1430" s="17" t="s">
        <v>96</v>
      </c>
      <c r="F1430" s="17" t="s">
        <v>347</v>
      </c>
      <c r="G1430" s="17" t="s">
        <v>348</v>
      </c>
      <c r="H1430" s="30">
        <v>21566</v>
      </c>
      <c r="I1430" s="30">
        <v>14194</v>
      </c>
      <c r="J1430" s="30">
        <v>20304</v>
      </c>
      <c r="K1430" s="30">
        <v>20704</v>
      </c>
      <c r="L1430" s="30">
        <v>20849</v>
      </c>
      <c r="M1430" s="31">
        <f t="shared" si="110"/>
        <v>6110</v>
      </c>
      <c r="N1430" s="32">
        <f t="shared" si="111"/>
        <v>0.43046357615894038</v>
      </c>
      <c r="O1430" s="6" t="str">
        <f>IF(ABS(M1430)&lt;Overview!$B$6,"OK",IF(I1430=0,"REVIEW (zero base)",IF(ABS(M1430/ABS(I1430))&gt;=Overview!$B$5,"REVIEW","OK")))</f>
        <v>OK</v>
      </c>
      <c r="P1430" s="31">
        <f t="shared" si="112"/>
        <v>400</v>
      </c>
      <c r="Q1430" s="32">
        <f t="shared" si="113"/>
        <v>1.9700551615445233E-2</v>
      </c>
      <c r="R1430" s="6" t="str">
        <f>IF(ABS(P1430)&lt;Overview!$B$6,"OK",IF(J1430=0,"REVIEW (zero base)",IF(ABS(P1430/ABS(J1430))&gt;=Overview!$B$5,"REVIEW","OK")))</f>
        <v>OK</v>
      </c>
      <c r="S1430" s="33">
        <f t="shared" si="114"/>
        <v>6110.0014300000003</v>
      </c>
    </row>
    <row r="1431" spans="1:19" x14ac:dyDescent="0.2">
      <c r="A1431" s="17">
        <v>1429</v>
      </c>
      <c r="B1431" s="17" t="s">
        <v>171</v>
      </c>
      <c r="C1431" s="17" t="s">
        <v>338</v>
      </c>
      <c r="D1431" s="17" t="s">
        <v>59</v>
      </c>
      <c r="E1431" s="17" t="s">
        <v>96</v>
      </c>
      <c r="F1431" s="17" t="s">
        <v>386</v>
      </c>
      <c r="G1431" s="17" t="s">
        <v>413</v>
      </c>
      <c r="H1431" s="30">
        <v>0</v>
      </c>
      <c r="I1431" s="30">
        <v>0</v>
      </c>
      <c r="J1431" s="30">
        <v>0</v>
      </c>
      <c r="K1431" s="30">
        <v>3980</v>
      </c>
      <c r="L1431" s="30">
        <v>4008</v>
      </c>
      <c r="M1431" s="31">
        <f t="shared" si="110"/>
        <v>0</v>
      </c>
      <c r="N1431" s="32" t="str">
        <f t="shared" si="111"/>
        <v>n/a</v>
      </c>
      <c r="O1431" s="6" t="str">
        <f>IF(ABS(M1431)&lt;Overview!$B$6,"OK",IF(I1431=0,"REVIEW (zero base)",IF(ABS(M1431/ABS(I1431))&gt;=Overview!$B$5,"REVIEW","OK")))</f>
        <v>OK</v>
      </c>
      <c r="P1431" s="31">
        <f t="shared" si="112"/>
        <v>3980</v>
      </c>
      <c r="Q1431" s="32" t="str">
        <f t="shared" si="113"/>
        <v>n/a</v>
      </c>
      <c r="R1431" s="6" t="str">
        <f>IF(ABS(P1431)&lt;Overview!$B$6,"OK",IF(J1431=0,"REVIEW (zero base)",IF(ABS(P1431/ABS(J1431))&gt;=Overview!$B$5,"REVIEW","OK")))</f>
        <v>OK</v>
      </c>
      <c r="S1431" s="33">
        <f t="shared" si="114"/>
        <v>1.431E-3</v>
      </c>
    </row>
    <row r="1432" spans="1:19" x14ac:dyDescent="0.2">
      <c r="A1432" s="17">
        <v>1430</v>
      </c>
      <c r="B1432" s="17" t="s">
        <v>171</v>
      </c>
      <c r="C1432" s="17" t="s">
        <v>338</v>
      </c>
      <c r="D1432" s="17" t="s">
        <v>59</v>
      </c>
      <c r="E1432" s="17" t="s">
        <v>96</v>
      </c>
      <c r="F1432" s="17" t="s">
        <v>386</v>
      </c>
      <c r="G1432" s="17" t="s">
        <v>387</v>
      </c>
      <c r="H1432" s="30">
        <v>7216</v>
      </c>
      <c r="I1432" s="30">
        <v>5991</v>
      </c>
      <c r="J1432" s="30">
        <v>7266</v>
      </c>
      <c r="K1432" s="30">
        <v>3286</v>
      </c>
      <c r="L1432" s="30">
        <v>3309</v>
      </c>
      <c r="M1432" s="31">
        <f t="shared" si="110"/>
        <v>1275</v>
      </c>
      <c r="N1432" s="32">
        <f t="shared" si="111"/>
        <v>0.2128192288432649</v>
      </c>
      <c r="O1432" s="6" t="str">
        <f>IF(ABS(M1432)&lt;Overview!$B$6,"OK",IF(I1432=0,"REVIEW (zero base)",IF(ABS(M1432/ABS(I1432))&gt;=Overview!$B$5,"REVIEW","OK")))</f>
        <v>OK</v>
      </c>
      <c r="P1432" s="31">
        <f t="shared" si="112"/>
        <v>-3980</v>
      </c>
      <c r="Q1432" s="32">
        <f t="shared" si="113"/>
        <v>-0.54775667492430502</v>
      </c>
      <c r="R1432" s="6" t="str">
        <f>IF(ABS(P1432)&lt;Overview!$B$6,"OK",IF(J1432=0,"REVIEW (zero base)",IF(ABS(P1432/ABS(J1432))&gt;=Overview!$B$5,"REVIEW","OK")))</f>
        <v>OK</v>
      </c>
      <c r="S1432" s="33">
        <f t="shared" si="114"/>
        <v>1275.001432</v>
      </c>
    </row>
    <row r="1433" spans="1:19" x14ac:dyDescent="0.2">
      <c r="A1433" s="17">
        <v>1431</v>
      </c>
      <c r="B1433" s="17" t="s">
        <v>171</v>
      </c>
      <c r="C1433" s="17" t="s">
        <v>338</v>
      </c>
      <c r="D1433" s="17" t="s">
        <v>59</v>
      </c>
      <c r="E1433" s="17" t="s">
        <v>102</v>
      </c>
      <c r="F1433" s="17" t="s">
        <v>339</v>
      </c>
      <c r="G1433" s="17" t="s">
        <v>340</v>
      </c>
      <c r="H1433" s="30">
        <v>805652</v>
      </c>
      <c r="I1433" s="30">
        <v>865930</v>
      </c>
      <c r="J1433" s="30">
        <v>922272</v>
      </c>
      <c r="K1433" s="30">
        <v>1074159</v>
      </c>
      <c r="L1433" s="30">
        <v>1084901</v>
      </c>
      <c r="M1433" s="31">
        <f t="shared" si="110"/>
        <v>56342</v>
      </c>
      <c r="N1433" s="32">
        <f t="shared" si="111"/>
        <v>6.506530550968323E-2</v>
      </c>
      <c r="O1433" s="6" t="str">
        <f>IF(ABS(M1433)&lt;Overview!$B$6,"OK",IF(I1433=0,"REVIEW (zero base)",IF(ABS(M1433/ABS(I1433))&gt;=Overview!$B$5,"REVIEW","OK")))</f>
        <v>OK</v>
      </c>
      <c r="P1433" s="31">
        <f t="shared" si="112"/>
        <v>151887</v>
      </c>
      <c r="Q1433" s="32">
        <f t="shared" si="113"/>
        <v>0.16468785781201206</v>
      </c>
      <c r="R1433" s="6" t="str">
        <f>IF(ABS(P1433)&lt;Overview!$B$6,"OK",IF(J1433=0,"REVIEW (zero base)",IF(ABS(P1433/ABS(J1433))&gt;=Overview!$B$5,"REVIEW","OK")))</f>
        <v>OK</v>
      </c>
      <c r="S1433" s="33">
        <f t="shared" si="114"/>
        <v>56342.001432999998</v>
      </c>
    </row>
    <row r="1434" spans="1:19" x14ac:dyDescent="0.2">
      <c r="A1434" s="17">
        <v>1432</v>
      </c>
      <c r="B1434" s="17" t="s">
        <v>171</v>
      </c>
      <c r="C1434" s="17" t="s">
        <v>338</v>
      </c>
      <c r="D1434" s="17" t="s">
        <v>59</v>
      </c>
      <c r="E1434" s="17" t="s">
        <v>102</v>
      </c>
      <c r="F1434" s="17" t="s">
        <v>339</v>
      </c>
      <c r="G1434" s="17" t="s">
        <v>391</v>
      </c>
      <c r="H1434" s="30">
        <v>32711</v>
      </c>
      <c r="I1434" s="30">
        <v>29049</v>
      </c>
      <c r="J1434" s="30">
        <v>0</v>
      </c>
      <c r="K1434" s="30">
        <v>0</v>
      </c>
      <c r="L1434" s="30">
        <v>0</v>
      </c>
      <c r="M1434" s="31">
        <f t="shared" si="110"/>
        <v>-29049</v>
      </c>
      <c r="N1434" s="32">
        <f t="shared" si="111"/>
        <v>-1</v>
      </c>
      <c r="O1434" s="6" t="str">
        <f>IF(ABS(M1434)&lt;Overview!$B$6,"OK",IF(I1434=0,"REVIEW (zero base)",IF(ABS(M1434/ABS(I1434))&gt;=Overview!$B$5,"REVIEW","OK")))</f>
        <v>OK</v>
      </c>
      <c r="P1434" s="31">
        <f t="shared" si="112"/>
        <v>0</v>
      </c>
      <c r="Q1434" s="32" t="str">
        <f t="shared" si="113"/>
        <v>n/a</v>
      </c>
      <c r="R1434" s="6" t="str">
        <f>IF(ABS(P1434)&lt;Overview!$B$6,"OK",IF(J1434=0,"REVIEW (zero base)",IF(ABS(P1434/ABS(J1434))&gt;=Overview!$B$5,"REVIEW","OK")))</f>
        <v>OK</v>
      </c>
      <c r="S1434" s="33">
        <f t="shared" si="114"/>
        <v>29049.001434000002</v>
      </c>
    </row>
    <row r="1435" spans="1:19" x14ac:dyDescent="0.2">
      <c r="A1435" s="17">
        <v>1433</v>
      </c>
      <c r="B1435" s="17" t="s">
        <v>171</v>
      </c>
      <c r="C1435" s="17" t="s">
        <v>338</v>
      </c>
      <c r="D1435" s="17" t="s">
        <v>59</v>
      </c>
      <c r="E1435" s="17" t="s">
        <v>102</v>
      </c>
      <c r="F1435" s="17" t="s">
        <v>339</v>
      </c>
      <c r="G1435" s="17" t="s">
        <v>392</v>
      </c>
      <c r="H1435" s="30">
        <v>59069</v>
      </c>
      <c r="I1435" s="30">
        <v>52300</v>
      </c>
      <c r="J1435" s="30">
        <v>0</v>
      </c>
      <c r="K1435" s="30">
        <v>0</v>
      </c>
      <c r="L1435" s="30">
        <v>0</v>
      </c>
      <c r="M1435" s="31">
        <f t="shared" si="110"/>
        <v>-52300</v>
      </c>
      <c r="N1435" s="32">
        <f t="shared" si="111"/>
        <v>-1</v>
      </c>
      <c r="O1435" s="6" t="str">
        <f>IF(ABS(M1435)&lt;Overview!$B$6,"OK",IF(I1435=0,"REVIEW (zero base)",IF(ABS(M1435/ABS(I1435))&gt;=Overview!$B$5,"REVIEW","OK")))</f>
        <v>OK</v>
      </c>
      <c r="P1435" s="31">
        <f t="shared" si="112"/>
        <v>0</v>
      </c>
      <c r="Q1435" s="32" t="str">
        <f t="shared" si="113"/>
        <v>n/a</v>
      </c>
      <c r="R1435" s="6" t="str">
        <f>IF(ABS(P1435)&lt;Overview!$B$6,"OK",IF(J1435=0,"REVIEW (zero base)",IF(ABS(P1435/ABS(J1435))&gt;=Overview!$B$5,"REVIEW","OK")))</f>
        <v>OK</v>
      </c>
      <c r="S1435" s="33">
        <f t="shared" si="114"/>
        <v>52300.001434999998</v>
      </c>
    </row>
    <row r="1436" spans="1:19" x14ac:dyDescent="0.2">
      <c r="A1436" s="17">
        <v>1434</v>
      </c>
      <c r="B1436" s="17" t="s">
        <v>171</v>
      </c>
      <c r="C1436" s="17" t="s">
        <v>338</v>
      </c>
      <c r="D1436" s="17" t="s">
        <v>59</v>
      </c>
      <c r="E1436" s="17" t="s">
        <v>102</v>
      </c>
      <c r="F1436" s="17" t="s">
        <v>339</v>
      </c>
      <c r="G1436" s="17" t="s">
        <v>394</v>
      </c>
      <c r="H1436" s="30">
        <v>61438</v>
      </c>
      <c r="I1436" s="30">
        <v>61773</v>
      </c>
      <c r="J1436" s="30">
        <v>0</v>
      </c>
      <c r="K1436" s="30">
        <v>0</v>
      </c>
      <c r="L1436" s="30">
        <v>0</v>
      </c>
      <c r="M1436" s="31">
        <f t="shared" si="110"/>
        <v>-61773</v>
      </c>
      <c r="N1436" s="32">
        <f t="shared" si="111"/>
        <v>-1</v>
      </c>
      <c r="O1436" s="6" t="str">
        <f>IF(ABS(M1436)&lt;Overview!$B$6,"OK",IF(I1436=0,"REVIEW (zero base)",IF(ABS(M1436/ABS(I1436))&gt;=Overview!$B$5,"REVIEW","OK")))</f>
        <v>OK</v>
      </c>
      <c r="P1436" s="31">
        <f t="shared" si="112"/>
        <v>0</v>
      </c>
      <c r="Q1436" s="32" t="str">
        <f t="shared" si="113"/>
        <v>n/a</v>
      </c>
      <c r="R1436" s="6" t="str">
        <f>IF(ABS(P1436)&lt;Overview!$B$6,"OK",IF(J1436=0,"REVIEW (zero base)",IF(ABS(P1436/ABS(J1436))&gt;=Overview!$B$5,"REVIEW","OK")))</f>
        <v>OK</v>
      </c>
      <c r="S1436" s="33">
        <f t="shared" si="114"/>
        <v>61773.001435999999</v>
      </c>
    </row>
    <row r="1437" spans="1:19" x14ac:dyDescent="0.2">
      <c r="A1437" s="17">
        <v>1435</v>
      </c>
      <c r="B1437" s="17" t="s">
        <v>171</v>
      </c>
      <c r="C1437" s="17" t="s">
        <v>338</v>
      </c>
      <c r="D1437" s="17" t="s">
        <v>59</v>
      </c>
      <c r="E1437" s="17" t="s">
        <v>102</v>
      </c>
      <c r="F1437" s="17" t="s">
        <v>339</v>
      </c>
      <c r="G1437" s="17" t="s">
        <v>395</v>
      </c>
      <c r="H1437" s="30">
        <v>22280</v>
      </c>
      <c r="I1437" s="30">
        <v>24349</v>
      </c>
      <c r="J1437" s="30">
        <v>26469</v>
      </c>
      <c r="K1437" s="30">
        <v>25421</v>
      </c>
      <c r="L1437" s="30">
        <v>25675</v>
      </c>
      <c r="M1437" s="31">
        <f t="shared" si="110"/>
        <v>2120</v>
      </c>
      <c r="N1437" s="32">
        <f t="shared" si="111"/>
        <v>8.7067230687091879E-2</v>
      </c>
      <c r="O1437" s="6" t="str">
        <f>IF(ABS(M1437)&lt;Overview!$B$6,"OK",IF(I1437=0,"REVIEW (zero base)",IF(ABS(M1437/ABS(I1437))&gt;=Overview!$B$5,"REVIEW","OK")))</f>
        <v>OK</v>
      </c>
      <c r="P1437" s="31">
        <f t="shared" si="112"/>
        <v>-1048</v>
      </c>
      <c r="Q1437" s="32">
        <f t="shared" si="113"/>
        <v>-3.9593486720314333E-2</v>
      </c>
      <c r="R1437" s="6" t="str">
        <f>IF(ABS(P1437)&lt;Overview!$B$6,"OK",IF(J1437=0,"REVIEW (zero base)",IF(ABS(P1437/ABS(J1437))&gt;=Overview!$B$5,"REVIEW","OK")))</f>
        <v>OK</v>
      </c>
      <c r="S1437" s="33">
        <f t="shared" si="114"/>
        <v>2120.0014369999999</v>
      </c>
    </row>
    <row r="1438" spans="1:19" x14ac:dyDescent="0.2">
      <c r="A1438" s="17">
        <v>1436</v>
      </c>
      <c r="B1438" s="17" t="s">
        <v>171</v>
      </c>
      <c r="C1438" s="17" t="s">
        <v>338</v>
      </c>
      <c r="D1438" s="17" t="s">
        <v>59</v>
      </c>
      <c r="E1438" s="17" t="s">
        <v>102</v>
      </c>
      <c r="F1438" s="17" t="s">
        <v>341</v>
      </c>
      <c r="G1438" s="17" t="s">
        <v>342</v>
      </c>
      <c r="H1438" s="30">
        <v>13400</v>
      </c>
      <c r="I1438" s="30">
        <v>15276</v>
      </c>
      <c r="J1438" s="30">
        <v>16164</v>
      </c>
      <c r="K1438" s="30">
        <v>16164</v>
      </c>
      <c r="L1438" s="30">
        <v>16164</v>
      </c>
      <c r="M1438" s="31">
        <f t="shared" si="110"/>
        <v>888</v>
      </c>
      <c r="N1438" s="32">
        <f t="shared" si="111"/>
        <v>5.8130400628436767E-2</v>
      </c>
      <c r="O1438" s="6" t="str">
        <f>IF(ABS(M1438)&lt;Overview!$B$6,"OK",IF(I1438=0,"REVIEW (zero base)",IF(ABS(M1438/ABS(I1438))&gt;=Overview!$B$5,"REVIEW","OK")))</f>
        <v>OK</v>
      </c>
      <c r="P1438" s="31">
        <f t="shared" si="112"/>
        <v>0</v>
      </c>
      <c r="Q1438" s="32">
        <f t="shared" si="113"/>
        <v>0</v>
      </c>
      <c r="R1438" s="6" t="str">
        <f>IF(ABS(P1438)&lt;Overview!$B$6,"OK",IF(J1438=0,"REVIEW (zero base)",IF(ABS(P1438/ABS(J1438))&gt;=Overview!$B$5,"REVIEW","OK")))</f>
        <v>OK</v>
      </c>
      <c r="S1438" s="33">
        <f t="shared" si="114"/>
        <v>888.00143800000001</v>
      </c>
    </row>
    <row r="1439" spans="1:19" x14ac:dyDescent="0.2">
      <c r="A1439" s="17">
        <v>1437</v>
      </c>
      <c r="B1439" s="17" t="s">
        <v>171</v>
      </c>
      <c r="C1439" s="17" t="s">
        <v>338</v>
      </c>
      <c r="D1439" s="17" t="s">
        <v>59</v>
      </c>
      <c r="E1439" s="17" t="s">
        <v>102</v>
      </c>
      <c r="F1439" s="17" t="s">
        <v>341</v>
      </c>
      <c r="G1439" s="17" t="s">
        <v>406</v>
      </c>
      <c r="H1439" s="30">
        <v>1500</v>
      </c>
      <c r="I1439" s="30">
        <v>3000</v>
      </c>
      <c r="J1439" s="30">
        <v>0</v>
      </c>
      <c r="K1439" s="30">
        <v>0</v>
      </c>
      <c r="L1439" s="30">
        <v>0</v>
      </c>
      <c r="M1439" s="31">
        <f t="shared" si="110"/>
        <v>-3000</v>
      </c>
      <c r="N1439" s="32">
        <f t="shared" si="111"/>
        <v>-1</v>
      </c>
      <c r="O1439" s="6" t="str">
        <f>IF(ABS(M1439)&lt;Overview!$B$6,"OK",IF(I1439=0,"REVIEW (zero base)",IF(ABS(M1439/ABS(I1439))&gt;=Overview!$B$5,"REVIEW","OK")))</f>
        <v>OK</v>
      </c>
      <c r="P1439" s="31">
        <f t="shared" si="112"/>
        <v>0</v>
      </c>
      <c r="Q1439" s="32" t="str">
        <f t="shared" si="113"/>
        <v>n/a</v>
      </c>
      <c r="R1439" s="6" t="str">
        <f>IF(ABS(P1439)&lt;Overview!$B$6,"OK",IF(J1439=0,"REVIEW (zero base)",IF(ABS(P1439/ABS(J1439))&gt;=Overview!$B$5,"REVIEW","OK")))</f>
        <v>OK</v>
      </c>
      <c r="S1439" s="33">
        <f t="shared" si="114"/>
        <v>3000.0014390000001</v>
      </c>
    </row>
    <row r="1440" spans="1:19" x14ac:dyDescent="0.2">
      <c r="A1440" s="17">
        <v>1438</v>
      </c>
      <c r="B1440" s="17" t="s">
        <v>171</v>
      </c>
      <c r="C1440" s="17" t="s">
        <v>338</v>
      </c>
      <c r="D1440" s="17" t="s">
        <v>59</v>
      </c>
      <c r="E1440" s="17" t="s">
        <v>102</v>
      </c>
      <c r="F1440" s="17" t="s">
        <v>341</v>
      </c>
      <c r="G1440" s="17" t="s">
        <v>375</v>
      </c>
      <c r="H1440" s="30">
        <v>55138</v>
      </c>
      <c r="I1440" s="30">
        <v>63466</v>
      </c>
      <c r="J1440" s="30">
        <v>68250</v>
      </c>
      <c r="K1440" s="30">
        <v>68250</v>
      </c>
      <c r="L1440" s="30">
        <v>68250</v>
      </c>
      <c r="M1440" s="31">
        <f t="shared" si="110"/>
        <v>4784</v>
      </c>
      <c r="N1440" s="32">
        <f t="shared" si="111"/>
        <v>7.5378943056124539E-2</v>
      </c>
      <c r="O1440" s="6" t="str">
        <f>IF(ABS(M1440)&lt;Overview!$B$6,"OK",IF(I1440=0,"REVIEW (zero base)",IF(ABS(M1440/ABS(I1440))&gt;=Overview!$B$5,"REVIEW","OK")))</f>
        <v>OK</v>
      </c>
      <c r="P1440" s="31">
        <f t="shared" si="112"/>
        <v>0</v>
      </c>
      <c r="Q1440" s="32">
        <f t="shared" si="113"/>
        <v>0</v>
      </c>
      <c r="R1440" s="6" t="str">
        <f>IF(ABS(P1440)&lt;Overview!$B$6,"OK",IF(J1440=0,"REVIEW (zero base)",IF(ABS(P1440/ABS(J1440))&gt;=Overview!$B$5,"REVIEW","OK")))</f>
        <v>OK</v>
      </c>
      <c r="S1440" s="33">
        <f t="shared" si="114"/>
        <v>4784.00144</v>
      </c>
    </row>
    <row r="1441" spans="1:19" x14ac:dyDescent="0.2">
      <c r="A1441" s="17">
        <v>1439</v>
      </c>
      <c r="B1441" s="17" t="s">
        <v>171</v>
      </c>
      <c r="C1441" s="17" t="s">
        <v>338</v>
      </c>
      <c r="D1441" s="17" t="s">
        <v>59</v>
      </c>
      <c r="E1441" s="17" t="s">
        <v>102</v>
      </c>
      <c r="F1441" s="17" t="s">
        <v>341</v>
      </c>
      <c r="G1441" s="17" t="s">
        <v>376</v>
      </c>
      <c r="H1441" s="30">
        <v>282965</v>
      </c>
      <c r="I1441" s="30">
        <v>303838</v>
      </c>
      <c r="J1441" s="30">
        <v>271666</v>
      </c>
      <c r="K1441" s="30">
        <v>316596</v>
      </c>
      <c r="L1441" s="30">
        <v>333154</v>
      </c>
      <c r="M1441" s="31">
        <f t="shared" si="110"/>
        <v>-32172</v>
      </c>
      <c r="N1441" s="32">
        <f t="shared" si="111"/>
        <v>-0.10588537312646872</v>
      </c>
      <c r="O1441" s="6" t="str">
        <f>IF(ABS(M1441)&lt;Overview!$B$6,"OK",IF(I1441=0,"REVIEW (zero base)",IF(ABS(M1441/ABS(I1441))&gt;=Overview!$B$5,"REVIEW","OK")))</f>
        <v>OK</v>
      </c>
      <c r="P1441" s="31">
        <f t="shared" si="112"/>
        <v>44930</v>
      </c>
      <c r="Q1441" s="32">
        <f t="shared" si="113"/>
        <v>0.16538690892492988</v>
      </c>
      <c r="R1441" s="6" t="str">
        <f>IF(ABS(P1441)&lt;Overview!$B$6,"OK",IF(J1441=0,"REVIEW (zero base)",IF(ABS(P1441/ABS(J1441))&gt;=Overview!$B$5,"REVIEW","OK")))</f>
        <v>OK</v>
      </c>
      <c r="S1441" s="33">
        <f t="shared" si="114"/>
        <v>32172.001441</v>
      </c>
    </row>
    <row r="1442" spans="1:19" x14ac:dyDescent="0.2">
      <c r="A1442" s="17">
        <v>1440</v>
      </c>
      <c r="B1442" s="17" t="s">
        <v>171</v>
      </c>
      <c r="C1442" s="17" t="s">
        <v>338</v>
      </c>
      <c r="D1442" s="17" t="s">
        <v>59</v>
      </c>
      <c r="E1442" s="17" t="s">
        <v>102</v>
      </c>
      <c r="F1442" s="17" t="s">
        <v>341</v>
      </c>
      <c r="G1442" s="17" t="s">
        <v>343</v>
      </c>
      <c r="H1442" s="30">
        <v>73323</v>
      </c>
      <c r="I1442" s="30">
        <v>76610</v>
      </c>
      <c r="J1442" s="30">
        <v>85625</v>
      </c>
      <c r="K1442" s="30">
        <v>80161</v>
      </c>
      <c r="L1442" s="30">
        <v>80963</v>
      </c>
      <c r="M1442" s="31">
        <f t="shared" si="110"/>
        <v>9015</v>
      </c>
      <c r="N1442" s="32">
        <f t="shared" si="111"/>
        <v>0.11767393290693121</v>
      </c>
      <c r="O1442" s="6" t="str">
        <f>IF(ABS(M1442)&lt;Overview!$B$6,"OK",IF(I1442=0,"REVIEW (zero base)",IF(ABS(M1442/ABS(I1442))&gt;=Overview!$B$5,"REVIEW","OK")))</f>
        <v>OK</v>
      </c>
      <c r="P1442" s="31">
        <f t="shared" si="112"/>
        <v>-5464</v>
      </c>
      <c r="Q1442" s="32">
        <f t="shared" si="113"/>
        <v>-6.3813138686131393E-2</v>
      </c>
      <c r="R1442" s="6" t="str">
        <f>IF(ABS(P1442)&lt;Overview!$B$6,"OK",IF(J1442=0,"REVIEW (zero base)",IF(ABS(P1442/ABS(J1442))&gt;=Overview!$B$5,"REVIEW","OK")))</f>
        <v>OK</v>
      </c>
      <c r="S1442" s="33">
        <f t="shared" si="114"/>
        <v>9015.0014420000007</v>
      </c>
    </row>
    <row r="1443" spans="1:19" x14ac:dyDescent="0.2">
      <c r="A1443" s="17">
        <v>1441</v>
      </c>
      <c r="B1443" s="17" t="s">
        <v>171</v>
      </c>
      <c r="C1443" s="17" t="s">
        <v>338</v>
      </c>
      <c r="D1443" s="17" t="s">
        <v>59</v>
      </c>
      <c r="E1443" s="17" t="s">
        <v>102</v>
      </c>
      <c r="F1443" s="17" t="s">
        <v>341</v>
      </c>
      <c r="G1443" s="17" t="s">
        <v>396</v>
      </c>
      <c r="H1443" s="30">
        <v>8011</v>
      </c>
      <c r="I1443" s="30">
        <v>121</v>
      </c>
      <c r="J1443" s="30">
        <v>3120</v>
      </c>
      <c r="K1443" s="30">
        <v>0</v>
      </c>
      <c r="L1443" s="30">
        <v>0</v>
      </c>
      <c r="M1443" s="31">
        <f t="shared" si="110"/>
        <v>2999</v>
      </c>
      <c r="N1443" s="32">
        <f t="shared" si="111"/>
        <v>24.785123966942148</v>
      </c>
      <c r="O1443" s="6" t="str">
        <f>IF(ABS(M1443)&lt;Overview!$B$6,"OK",IF(I1443=0,"REVIEW (zero base)",IF(ABS(M1443/ABS(I1443))&gt;=Overview!$B$5,"REVIEW","OK")))</f>
        <v>OK</v>
      </c>
      <c r="P1443" s="31">
        <f t="shared" si="112"/>
        <v>-3120</v>
      </c>
      <c r="Q1443" s="32">
        <f t="shared" si="113"/>
        <v>-1</v>
      </c>
      <c r="R1443" s="6" t="str">
        <f>IF(ABS(P1443)&lt;Overview!$B$6,"OK",IF(J1443=0,"REVIEW (zero base)",IF(ABS(P1443/ABS(J1443))&gt;=Overview!$B$5,"REVIEW","OK")))</f>
        <v>OK</v>
      </c>
      <c r="S1443" s="33">
        <f t="shared" si="114"/>
        <v>2999.0014430000001</v>
      </c>
    </row>
    <row r="1444" spans="1:19" x14ac:dyDescent="0.2">
      <c r="A1444" s="17">
        <v>1442</v>
      </c>
      <c r="B1444" s="17" t="s">
        <v>171</v>
      </c>
      <c r="C1444" s="17" t="s">
        <v>338</v>
      </c>
      <c r="D1444" s="17" t="s">
        <v>59</v>
      </c>
      <c r="E1444" s="17" t="s">
        <v>102</v>
      </c>
      <c r="F1444" s="17" t="s">
        <v>341</v>
      </c>
      <c r="G1444" s="17" t="s">
        <v>378</v>
      </c>
      <c r="H1444" s="30">
        <v>45388</v>
      </c>
      <c r="I1444" s="30">
        <v>47902</v>
      </c>
      <c r="J1444" s="30">
        <v>51598</v>
      </c>
      <c r="K1444" s="30">
        <v>54600</v>
      </c>
      <c r="L1444" s="30">
        <v>57019</v>
      </c>
      <c r="M1444" s="31">
        <f t="shared" si="110"/>
        <v>3696</v>
      </c>
      <c r="N1444" s="32">
        <f t="shared" si="111"/>
        <v>7.7157529956995527E-2</v>
      </c>
      <c r="O1444" s="6" t="str">
        <f>IF(ABS(M1444)&lt;Overview!$B$6,"OK",IF(I1444=0,"REVIEW (zero base)",IF(ABS(M1444/ABS(I1444))&gt;=Overview!$B$5,"REVIEW","OK")))</f>
        <v>OK</v>
      </c>
      <c r="P1444" s="31">
        <f t="shared" si="112"/>
        <v>3002</v>
      </c>
      <c r="Q1444" s="32">
        <f t="shared" si="113"/>
        <v>5.8180549633706731E-2</v>
      </c>
      <c r="R1444" s="6" t="str">
        <f>IF(ABS(P1444)&lt;Overview!$B$6,"OK",IF(J1444=0,"REVIEW (zero base)",IF(ABS(P1444/ABS(J1444))&gt;=Overview!$B$5,"REVIEW","OK")))</f>
        <v>OK</v>
      </c>
      <c r="S1444" s="33">
        <f t="shared" si="114"/>
        <v>3696.001444</v>
      </c>
    </row>
    <row r="1445" spans="1:19" x14ac:dyDescent="0.2">
      <c r="A1445" s="17">
        <v>1443</v>
      </c>
      <c r="B1445" s="17" t="s">
        <v>171</v>
      </c>
      <c r="C1445" s="17" t="s">
        <v>338</v>
      </c>
      <c r="D1445" s="17" t="s">
        <v>59</v>
      </c>
      <c r="E1445" s="17" t="s">
        <v>102</v>
      </c>
      <c r="F1445" s="17" t="s">
        <v>341</v>
      </c>
      <c r="G1445" s="17" t="s">
        <v>344</v>
      </c>
      <c r="H1445" s="30">
        <v>143248</v>
      </c>
      <c r="I1445" s="30">
        <v>156040</v>
      </c>
      <c r="J1445" s="30">
        <v>194576</v>
      </c>
      <c r="K1445" s="30">
        <v>229500</v>
      </c>
      <c r="L1445" s="30">
        <v>234090</v>
      </c>
      <c r="M1445" s="31">
        <f t="shared" si="110"/>
        <v>38536</v>
      </c>
      <c r="N1445" s="32">
        <f t="shared" si="111"/>
        <v>0.24696231735452448</v>
      </c>
      <c r="O1445" s="6" t="str">
        <f>IF(ABS(M1445)&lt;Overview!$B$6,"OK",IF(I1445=0,"REVIEW (zero base)",IF(ABS(M1445/ABS(I1445))&gt;=Overview!$B$5,"REVIEW","OK")))</f>
        <v>OK</v>
      </c>
      <c r="P1445" s="31">
        <f t="shared" si="112"/>
        <v>34924</v>
      </c>
      <c r="Q1445" s="32">
        <f t="shared" si="113"/>
        <v>0.17948770660307539</v>
      </c>
      <c r="R1445" s="6" t="str">
        <f>IF(ABS(P1445)&lt;Overview!$B$6,"OK",IF(J1445=0,"REVIEW (zero base)",IF(ABS(P1445/ABS(J1445))&gt;=Overview!$B$5,"REVIEW","OK")))</f>
        <v>OK</v>
      </c>
      <c r="S1445" s="33">
        <f t="shared" si="114"/>
        <v>38536.001445000002</v>
      </c>
    </row>
    <row r="1446" spans="1:19" x14ac:dyDescent="0.2">
      <c r="A1446" s="17">
        <v>1444</v>
      </c>
      <c r="B1446" s="17" t="s">
        <v>171</v>
      </c>
      <c r="C1446" s="17" t="s">
        <v>338</v>
      </c>
      <c r="D1446" s="17" t="s">
        <v>59</v>
      </c>
      <c r="E1446" s="17" t="s">
        <v>102</v>
      </c>
      <c r="F1446" s="17" t="s">
        <v>364</v>
      </c>
      <c r="G1446" s="17" t="s">
        <v>383</v>
      </c>
      <c r="H1446" s="30">
        <v>6106</v>
      </c>
      <c r="I1446" s="30">
        <v>4625</v>
      </c>
      <c r="J1446" s="30">
        <v>4000</v>
      </c>
      <c r="K1446" s="30">
        <v>4000</v>
      </c>
      <c r="L1446" s="30">
        <v>4000</v>
      </c>
      <c r="M1446" s="31">
        <f t="shared" si="110"/>
        <v>-625</v>
      </c>
      <c r="N1446" s="32">
        <f t="shared" si="111"/>
        <v>-0.13513513513513514</v>
      </c>
      <c r="O1446" s="6" t="str">
        <f>IF(ABS(M1446)&lt;Overview!$B$6,"OK",IF(I1446=0,"REVIEW (zero base)",IF(ABS(M1446/ABS(I1446))&gt;=Overview!$B$5,"REVIEW","OK")))</f>
        <v>OK</v>
      </c>
      <c r="P1446" s="31">
        <f t="shared" si="112"/>
        <v>0</v>
      </c>
      <c r="Q1446" s="32">
        <f t="shared" si="113"/>
        <v>0</v>
      </c>
      <c r="R1446" s="6" t="str">
        <f>IF(ABS(P1446)&lt;Overview!$B$6,"OK",IF(J1446=0,"REVIEW (zero base)",IF(ABS(P1446/ABS(J1446))&gt;=Overview!$B$5,"REVIEW","OK")))</f>
        <v>OK</v>
      </c>
      <c r="S1446" s="33">
        <f t="shared" si="114"/>
        <v>625.00144599999999</v>
      </c>
    </row>
    <row r="1447" spans="1:19" x14ac:dyDescent="0.2">
      <c r="A1447" s="17">
        <v>1445</v>
      </c>
      <c r="B1447" s="17" t="s">
        <v>171</v>
      </c>
      <c r="C1447" s="17" t="s">
        <v>338</v>
      </c>
      <c r="D1447" s="17" t="s">
        <v>59</v>
      </c>
      <c r="E1447" s="17" t="s">
        <v>102</v>
      </c>
      <c r="F1447" s="17" t="s">
        <v>364</v>
      </c>
      <c r="G1447" s="17" t="s">
        <v>398</v>
      </c>
      <c r="H1447" s="30">
        <v>3311</v>
      </c>
      <c r="I1447" s="30">
        <v>1774</v>
      </c>
      <c r="J1447" s="30">
        <v>5000</v>
      </c>
      <c r="K1447" s="30">
        <v>5000</v>
      </c>
      <c r="L1447" s="30">
        <v>5035</v>
      </c>
      <c r="M1447" s="31">
        <f t="shared" si="110"/>
        <v>3226</v>
      </c>
      <c r="N1447" s="32">
        <f t="shared" si="111"/>
        <v>1.818489289740699</v>
      </c>
      <c r="O1447" s="6" t="str">
        <f>IF(ABS(M1447)&lt;Overview!$B$6,"OK",IF(I1447=0,"REVIEW (zero base)",IF(ABS(M1447/ABS(I1447))&gt;=Overview!$B$5,"REVIEW","OK")))</f>
        <v>OK</v>
      </c>
      <c r="P1447" s="31">
        <f t="shared" si="112"/>
        <v>0</v>
      </c>
      <c r="Q1447" s="32">
        <f t="shared" si="113"/>
        <v>0</v>
      </c>
      <c r="R1447" s="6" t="str">
        <f>IF(ABS(P1447)&lt;Overview!$B$6,"OK",IF(J1447=0,"REVIEW (zero base)",IF(ABS(P1447/ABS(J1447))&gt;=Overview!$B$5,"REVIEW","OK")))</f>
        <v>OK</v>
      </c>
      <c r="S1447" s="33">
        <f t="shared" si="114"/>
        <v>3226.0014470000001</v>
      </c>
    </row>
    <row r="1448" spans="1:19" x14ac:dyDescent="0.2">
      <c r="A1448" s="17">
        <v>1446</v>
      </c>
      <c r="B1448" s="17" t="s">
        <v>171</v>
      </c>
      <c r="C1448" s="17" t="s">
        <v>338</v>
      </c>
      <c r="D1448" s="17" t="s">
        <v>59</v>
      </c>
      <c r="E1448" s="17" t="s">
        <v>102</v>
      </c>
      <c r="F1448" s="17" t="s">
        <v>364</v>
      </c>
      <c r="G1448" s="17" t="s">
        <v>399</v>
      </c>
      <c r="H1448" s="30">
        <v>3274</v>
      </c>
      <c r="I1448" s="30">
        <v>5338</v>
      </c>
      <c r="J1448" s="30">
        <v>5500</v>
      </c>
      <c r="K1448" s="30">
        <v>6500</v>
      </c>
      <c r="L1448" s="30">
        <v>6546</v>
      </c>
      <c r="M1448" s="31">
        <f t="shared" si="110"/>
        <v>162</v>
      </c>
      <c r="N1448" s="32">
        <f t="shared" si="111"/>
        <v>3.0348445110528286E-2</v>
      </c>
      <c r="O1448" s="6" t="str">
        <f>IF(ABS(M1448)&lt;Overview!$B$6,"OK",IF(I1448=0,"REVIEW (zero base)",IF(ABS(M1448/ABS(I1448))&gt;=Overview!$B$5,"REVIEW","OK")))</f>
        <v>OK</v>
      </c>
      <c r="P1448" s="31">
        <f t="shared" si="112"/>
        <v>1000</v>
      </c>
      <c r="Q1448" s="32">
        <f t="shared" si="113"/>
        <v>0.18181818181818182</v>
      </c>
      <c r="R1448" s="6" t="str">
        <f>IF(ABS(P1448)&lt;Overview!$B$6,"OK",IF(J1448=0,"REVIEW (zero base)",IF(ABS(P1448/ABS(J1448))&gt;=Overview!$B$5,"REVIEW","OK")))</f>
        <v>OK</v>
      </c>
      <c r="S1448" s="33">
        <f t="shared" si="114"/>
        <v>162.00144800000001</v>
      </c>
    </row>
    <row r="1449" spans="1:19" x14ac:dyDescent="0.2">
      <c r="A1449" s="17">
        <v>1447</v>
      </c>
      <c r="B1449" s="17" t="s">
        <v>171</v>
      </c>
      <c r="C1449" s="17" t="s">
        <v>338</v>
      </c>
      <c r="D1449" s="17" t="s">
        <v>59</v>
      </c>
      <c r="E1449" s="17" t="s">
        <v>102</v>
      </c>
      <c r="F1449" s="17" t="s">
        <v>404</v>
      </c>
      <c r="G1449" s="17" t="s">
        <v>405</v>
      </c>
      <c r="H1449" s="30">
        <v>133</v>
      </c>
      <c r="I1449" s="30">
        <v>0</v>
      </c>
      <c r="J1449" s="30">
        <v>1000</v>
      </c>
      <c r="K1449" s="30">
        <v>1000</v>
      </c>
      <c r="L1449" s="30">
        <v>1007</v>
      </c>
      <c r="M1449" s="31">
        <f t="shared" si="110"/>
        <v>1000</v>
      </c>
      <c r="N1449" s="32" t="str">
        <f t="shared" si="111"/>
        <v>n/a</v>
      </c>
      <c r="O1449" s="6" t="str">
        <f>IF(ABS(M1449)&lt;Overview!$B$6,"OK",IF(I1449=0,"REVIEW (zero base)",IF(ABS(M1449/ABS(I1449))&gt;=Overview!$B$5,"REVIEW","OK")))</f>
        <v>OK</v>
      </c>
      <c r="P1449" s="31">
        <f t="shared" si="112"/>
        <v>0</v>
      </c>
      <c r="Q1449" s="32">
        <f t="shared" si="113"/>
        <v>0</v>
      </c>
      <c r="R1449" s="6" t="str">
        <f>IF(ABS(P1449)&lt;Overview!$B$6,"OK",IF(J1449=0,"REVIEW (zero base)",IF(ABS(P1449/ABS(J1449))&gt;=Overview!$B$5,"REVIEW","OK")))</f>
        <v>OK</v>
      </c>
      <c r="S1449" s="33">
        <f t="shared" si="114"/>
        <v>1000.001449</v>
      </c>
    </row>
    <row r="1450" spans="1:19" x14ac:dyDescent="0.2">
      <c r="A1450" s="17">
        <v>1448</v>
      </c>
      <c r="B1450" s="17" t="s">
        <v>171</v>
      </c>
      <c r="C1450" s="17" t="s">
        <v>338</v>
      </c>
      <c r="D1450" s="17" t="s">
        <v>59</v>
      </c>
      <c r="E1450" s="17" t="s">
        <v>102</v>
      </c>
      <c r="F1450" s="17" t="s">
        <v>409</v>
      </c>
      <c r="G1450" s="17" t="s">
        <v>410</v>
      </c>
      <c r="H1450" s="30">
        <v>1127244</v>
      </c>
      <c r="I1450" s="30">
        <v>7033</v>
      </c>
      <c r="J1450" s="30">
        <v>10000</v>
      </c>
      <c r="K1450" s="30">
        <v>12950</v>
      </c>
      <c r="L1450" s="30">
        <v>13041</v>
      </c>
      <c r="M1450" s="31">
        <f t="shared" si="110"/>
        <v>2967</v>
      </c>
      <c r="N1450" s="32">
        <f t="shared" si="111"/>
        <v>0.42186833499217974</v>
      </c>
      <c r="O1450" s="6" t="str">
        <f>IF(ABS(M1450)&lt;Overview!$B$6,"OK",IF(I1450=0,"REVIEW (zero base)",IF(ABS(M1450/ABS(I1450))&gt;=Overview!$B$5,"REVIEW","OK")))</f>
        <v>OK</v>
      </c>
      <c r="P1450" s="31">
        <f t="shared" si="112"/>
        <v>2950</v>
      </c>
      <c r="Q1450" s="32">
        <f t="shared" si="113"/>
        <v>0.29499999999999998</v>
      </c>
      <c r="R1450" s="6" t="str">
        <f>IF(ABS(P1450)&lt;Overview!$B$6,"OK",IF(J1450=0,"REVIEW (zero base)",IF(ABS(P1450/ABS(J1450))&gt;=Overview!$B$5,"REVIEW","OK")))</f>
        <v>OK</v>
      </c>
      <c r="S1450" s="33">
        <f t="shared" si="114"/>
        <v>2967.0014500000002</v>
      </c>
    </row>
    <row r="1451" spans="1:19" x14ac:dyDescent="0.2">
      <c r="A1451" s="17">
        <v>1449</v>
      </c>
      <c r="B1451" s="17" t="s">
        <v>171</v>
      </c>
      <c r="C1451" s="17" t="s">
        <v>338</v>
      </c>
      <c r="D1451" s="17" t="s">
        <v>59</v>
      </c>
      <c r="E1451" s="17" t="s">
        <v>102</v>
      </c>
      <c r="F1451" s="17" t="s">
        <v>409</v>
      </c>
      <c r="G1451" s="17" t="s">
        <v>532</v>
      </c>
      <c r="H1451" s="30">
        <v>20072</v>
      </c>
      <c r="I1451" s="30">
        <v>103009</v>
      </c>
      <c r="J1451" s="30">
        <v>27580</v>
      </c>
      <c r="K1451" s="30">
        <v>554627</v>
      </c>
      <c r="L1451" s="30">
        <v>27580</v>
      </c>
      <c r="M1451" s="31">
        <f t="shared" si="110"/>
        <v>-75429</v>
      </c>
      <c r="N1451" s="32">
        <f t="shared" si="111"/>
        <v>-0.73225640478016485</v>
      </c>
      <c r="O1451" s="6" t="str">
        <f>IF(ABS(M1451)&lt;Overview!$B$6,"OK",IF(I1451=0,"REVIEW (zero base)",IF(ABS(M1451/ABS(I1451))&gt;=Overview!$B$5,"REVIEW","OK")))</f>
        <v>OK</v>
      </c>
      <c r="P1451" s="31">
        <f t="shared" si="112"/>
        <v>527047</v>
      </c>
      <c r="Q1451" s="32">
        <f t="shared" si="113"/>
        <v>19.109753444525019</v>
      </c>
      <c r="R1451" s="6" t="str">
        <f>IF(ABS(P1451)&lt;Overview!$B$6,"OK",IF(J1451=0,"REVIEW (zero base)",IF(ABS(P1451/ABS(J1451))&gt;=Overview!$B$5,"REVIEW","OK")))</f>
        <v>REVIEW</v>
      </c>
      <c r="S1451" s="33">
        <f t="shared" si="114"/>
        <v>75429.001451000004</v>
      </c>
    </row>
    <row r="1452" spans="1:19" x14ac:dyDescent="0.2">
      <c r="A1452" s="17">
        <v>1450</v>
      </c>
      <c r="B1452" s="17" t="s">
        <v>171</v>
      </c>
      <c r="C1452" s="17" t="s">
        <v>338</v>
      </c>
      <c r="D1452" s="17" t="s">
        <v>59</v>
      </c>
      <c r="E1452" s="17" t="s">
        <v>102</v>
      </c>
      <c r="F1452" s="17" t="s">
        <v>347</v>
      </c>
      <c r="G1452" s="17" t="s">
        <v>348</v>
      </c>
      <c r="H1452" s="30">
        <v>5962</v>
      </c>
      <c r="I1452" s="30">
        <v>2769</v>
      </c>
      <c r="J1452" s="30">
        <v>8000</v>
      </c>
      <c r="K1452" s="30">
        <v>6000</v>
      </c>
      <c r="L1452" s="30">
        <v>6042</v>
      </c>
      <c r="M1452" s="31">
        <f t="shared" si="110"/>
        <v>5231</v>
      </c>
      <c r="N1452" s="32">
        <f t="shared" si="111"/>
        <v>1.8891296496930299</v>
      </c>
      <c r="O1452" s="6" t="str">
        <f>IF(ABS(M1452)&lt;Overview!$B$6,"OK",IF(I1452=0,"REVIEW (zero base)",IF(ABS(M1452/ABS(I1452))&gt;=Overview!$B$5,"REVIEW","OK")))</f>
        <v>OK</v>
      </c>
      <c r="P1452" s="31">
        <f t="shared" si="112"/>
        <v>-2000</v>
      </c>
      <c r="Q1452" s="32">
        <f t="shared" si="113"/>
        <v>-0.25</v>
      </c>
      <c r="R1452" s="6" t="str">
        <f>IF(ABS(P1452)&lt;Overview!$B$6,"OK",IF(J1452=0,"REVIEW (zero base)",IF(ABS(P1452/ABS(J1452))&gt;=Overview!$B$5,"REVIEW","OK")))</f>
        <v>OK</v>
      </c>
      <c r="S1452" s="33">
        <f t="shared" si="114"/>
        <v>5231.0014520000004</v>
      </c>
    </row>
    <row r="1453" spans="1:19" x14ac:dyDescent="0.2">
      <c r="A1453" s="17">
        <v>1451</v>
      </c>
      <c r="B1453" s="17" t="s">
        <v>171</v>
      </c>
      <c r="C1453" s="17" t="s">
        <v>338</v>
      </c>
      <c r="D1453" s="17" t="s">
        <v>59</v>
      </c>
      <c r="E1453" s="17" t="s">
        <v>102</v>
      </c>
      <c r="F1453" s="17" t="s">
        <v>386</v>
      </c>
      <c r="G1453" s="17" t="s">
        <v>413</v>
      </c>
      <c r="H1453" s="30">
        <v>3623</v>
      </c>
      <c r="I1453" s="30">
        <v>1943</v>
      </c>
      <c r="J1453" s="30">
        <v>4500</v>
      </c>
      <c r="K1453" s="30">
        <v>4500</v>
      </c>
      <c r="L1453" s="30">
        <v>4532</v>
      </c>
      <c r="M1453" s="31">
        <f t="shared" si="110"/>
        <v>2557</v>
      </c>
      <c r="N1453" s="32">
        <f t="shared" si="111"/>
        <v>1.3160061760164694</v>
      </c>
      <c r="O1453" s="6" t="str">
        <f>IF(ABS(M1453)&lt;Overview!$B$6,"OK",IF(I1453=0,"REVIEW (zero base)",IF(ABS(M1453/ABS(I1453))&gt;=Overview!$B$5,"REVIEW","OK")))</f>
        <v>OK</v>
      </c>
      <c r="P1453" s="31">
        <f t="shared" si="112"/>
        <v>0</v>
      </c>
      <c r="Q1453" s="32">
        <f t="shared" si="113"/>
        <v>0</v>
      </c>
      <c r="R1453" s="6" t="str">
        <f>IF(ABS(P1453)&lt;Overview!$B$6,"OK",IF(J1453=0,"REVIEW (zero base)",IF(ABS(P1453/ABS(J1453))&gt;=Overview!$B$5,"REVIEW","OK")))</f>
        <v>OK</v>
      </c>
      <c r="S1453" s="33">
        <f t="shared" si="114"/>
        <v>2557.0014529999999</v>
      </c>
    </row>
    <row r="1454" spans="1:19" x14ac:dyDescent="0.2">
      <c r="A1454" s="17">
        <v>1452</v>
      </c>
      <c r="B1454" s="17" t="s">
        <v>171</v>
      </c>
      <c r="C1454" s="17" t="s">
        <v>338</v>
      </c>
      <c r="D1454" s="17" t="s">
        <v>59</v>
      </c>
      <c r="E1454" s="17" t="s">
        <v>142</v>
      </c>
      <c r="F1454" s="17" t="s">
        <v>339</v>
      </c>
      <c r="G1454" s="17" t="s">
        <v>340</v>
      </c>
      <c r="H1454" s="30">
        <v>14171</v>
      </c>
      <c r="I1454" s="30">
        <v>17960</v>
      </c>
      <c r="J1454" s="30">
        <v>16000</v>
      </c>
      <c r="K1454" s="30">
        <v>16000</v>
      </c>
      <c r="L1454" s="30">
        <v>16000</v>
      </c>
      <c r="M1454" s="31">
        <f t="shared" si="110"/>
        <v>-1960</v>
      </c>
      <c r="N1454" s="32">
        <f t="shared" si="111"/>
        <v>-0.10913140311804009</v>
      </c>
      <c r="O1454" s="6" t="str">
        <f>IF(ABS(M1454)&lt;Overview!$B$6,"OK",IF(I1454=0,"REVIEW (zero base)",IF(ABS(M1454/ABS(I1454))&gt;=Overview!$B$5,"REVIEW","OK")))</f>
        <v>OK</v>
      </c>
      <c r="P1454" s="31">
        <f t="shared" si="112"/>
        <v>0</v>
      </c>
      <c r="Q1454" s="32">
        <f t="shared" si="113"/>
        <v>0</v>
      </c>
      <c r="R1454" s="6" t="str">
        <f>IF(ABS(P1454)&lt;Overview!$B$6,"OK",IF(J1454=0,"REVIEW (zero base)",IF(ABS(P1454/ABS(J1454))&gt;=Overview!$B$5,"REVIEW","OK")))</f>
        <v>OK</v>
      </c>
      <c r="S1454" s="33">
        <f t="shared" si="114"/>
        <v>1960.001454</v>
      </c>
    </row>
    <row r="1455" spans="1:19" x14ac:dyDescent="0.2">
      <c r="A1455" s="17">
        <v>1453</v>
      </c>
      <c r="B1455" s="17" t="s">
        <v>171</v>
      </c>
      <c r="C1455" s="17" t="s">
        <v>338</v>
      </c>
      <c r="D1455" s="17" t="s">
        <v>59</v>
      </c>
      <c r="E1455" s="17" t="s">
        <v>142</v>
      </c>
      <c r="F1455" s="17" t="s">
        <v>341</v>
      </c>
      <c r="G1455" s="17" t="s">
        <v>343</v>
      </c>
      <c r="H1455" s="30">
        <v>1084</v>
      </c>
      <c r="I1455" s="30">
        <v>1374</v>
      </c>
      <c r="J1455" s="30">
        <v>1453</v>
      </c>
      <c r="K1455" s="30">
        <v>1224</v>
      </c>
      <c r="L1455" s="30">
        <v>1236</v>
      </c>
      <c r="M1455" s="31">
        <f t="shared" si="110"/>
        <v>79</v>
      </c>
      <c r="N1455" s="32">
        <f t="shared" si="111"/>
        <v>5.7496360989810771E-2</v>
      </c>
      <c r="O1455" s="6" t="str">
        <f>IF(ABS(M1455)&lt;Overview!$B$6,"OK",IF(I1455=0,"REVIEW (zero base)",IF(ABS(M1455/ABS(I1455))&gt;=Overview!$B$5,"REVIEW","OK")))</f>
        <v>OK</v>
      </c>
      <c r="P1455" s="31">
        <f t="shared" si="112"/>
        <v>-229</v>
      </c>
      <c r="Q1455" s="32">
        <f t="shared" si="113"/>
        <v>-0.15760495526496904</v>
      </c>
      <c r="R1455" s="6" t="str">
        <f>IF(ABS(P1455)&lt;Overview!$B$6,"OK",IF(J1455=0,"REVIEW (zero base)",IF(ABS(P1455/ABS(J1455))&gt;=Overview!$B$5,"REVIEW","OK")))</f>
        <v>OK</v>
      </c>
      <c r="S1455" s="33">
        <f t="shared" si="114"/>
        <v>79.001455000000007</v>
      </c>
    </row>
    <row r="1456" spans="1:19" x14ac:dyDescent="0.2">
      <c r="A1456" s="17">
        <v>1454</v>
      </c>
      <c r="B1456" s="17" t="s">
        <v>171</v>
      </c>
      <c r="C1456" s="17" t="s">
        <v>338</v>
      </c>
      <c r="D1456" s="17" t="s">
        <v>59</v>
      </c>
      <c r="E1456" s="17" t="s">
        <v>133</v>
      </c>
      <c r="F1456" s="17" t="s">
        <v>339</v>
      </c>
      <c r="G1456" s="17" t="s">
        <v>340</v>
      </c>
      <c r="H1456" s="30">
        <v>175891</v>
      </c>
      <c r="I1456" s="30">
        <v>228020</v>
      </c>
      <c r="J1456" s="30">
        <v>187955</v>
      </c>
      <c r="K1456" s="30">
        <v>220018</v>
      </c>
      <c r="L1456" s="30">
        <v>222218</v>
      </c>
      <c r="M1456" s="31">
        <f t="shared" si="110"/>
        <v>-40065</v>
      </c>
      <c r="N1456" s="32">
        <f t="shared" si="111"/>
        <v>-0.17570827120428031</v>
      </c>
      <c r="O1456" s="6" t="str">
        <f>IF(ABS(M1456)&lt;Overview!$B$6,"OK",IF(I1456=0,"REVIEW (zero base)",IF(ABS(M1456/ABS(I1456))&gt;=Overview!$B$5,"REVIEW","OK")))</f>
        <v>OK</v>
      </c>
      <c r="P1456" s="31">
        <f t="shared" si="112"/>
        <v>32063</v>
      </c>
      <c r="Q1456" s="32">
        <f t="shared" si="113"/>
        <v>0.1705887047431566</v>
      </c>
      <c r="R1456" s="6" t="str">
        <f>IF(ABS(P1456)&lt;Overview!$B$6,"OK",IF(J1456=0,"REVIEW (zero base)",IF(ABS(P1456/ABS(J1456))&gt;=Overview!$B$5,"REVIEW","OK")))</f>
        <v>OK</v>
      </c>
      <c r="S1456" s="33">
        <f t="shared" si="114"/>
        <v>40065.001455999998</v>
      </c>
    </row>
    <row r="1457" spans="1:19" x14ac:dyDescent="0.2">
      <c r="A1457" s="17">
        <v>1455</v>
      </c>
      <c r="B1457" s="17" t="s">
        <v>171</v>
      </c>
      <c r="C1457" s="17" t="s">
        <v>338</v>
      </c>
      <c r="D1457" s="17" t="s">
        <v>59</v>
      </c>
      <c r="E1457" s="17" t="s">
        <v>133</v>
      </c>
      <c r="F1457" s="17" t="s">
        <v>339</v>
      </c>
      <c r="G1457" s="17" t="s">
        <v>391</v>
      </c>
      <c r="H1457" s="30">
        <v>9034</v>
      </c>
      <c r="I1457" s="30">
        <v>8144</v>
      </c>
      <c r="J1457" s="30">
        <v>0</v>
      </c>
      <c r="K1457" s="30">
        <v>0</v>
      </c>
      <c r="L1457" s="30">
        <v>0</v>
      </c>
      <c r="M1457" s="31">
        <f t="shared" si="110"/>
        <v>-8144</v>
      </c>
      <c r="N1457" s="32">
        <f t="shared" si="111"/>
        <v>-1</v>
      </c>
      <c r="O1457" s="6" t="str">
        <f>IF(ABS(M1457)&lt;Overview!$B$6,"OK",IF(I1457=0,"REVIEW (zero base)",IF(ABS(M1457/ABS(I1457))&gt;=Overview!$B$5,"REVIEW","OK")))</f>
        <v>OK</v>
      </c>
      <c r="P1457" s="31">
        <f t="shared" si="112"/>
        <v>0</v>
      </c>
      <c r="Q1457" s="32" t="str">
        <f t="shared" si="113"/>
        <v>n/a</v>
      </c>
      <c r="R1457" s="6" t="str">
        <f>IF(ABS(P1457)&lt;Overview!$B$6,"OK",IF(J1457=0,"REVIEW (zero base)",IF(ABS(P1457/ABS(J1457))&gt;=Overview!$B$5,"REVIEW","OK")))</f>
        <v>OK</v>
      </c>
      <c r="S1457" s="33">
        <f t="shared" si="114"/>
        <v>8144.0014570000003</v>
      </c>
    </row>
    <row r="1458" spans="1:19" x14ac:dyDescent="0.2">
      <c r="A1458" s="17">
        <v>1456</v>
      </c>
      <c r="B1458" s="17" t="s">
        <v>171</v>
      </c>
      <c r="C1458" s="17" t="s">
        <v>338</v>
      </c>
      <c r="D1458" s="17" t="s">
        <v>59</v>
      </c>
      <c r="E1458" s="17" t="s">
        <v>133</v>
      </c>
      <c r="F1458" s="17" t="s">
        <v>339</v>
      </c>
      <c r="G1458" s="17" t="s">
        <v>392</v>
      </c>
      <c r="H1458" s="30">
        <v>17840</v>
      </c>
      <c r="I1458" s="30">
        <v>10977</v>
      </c>
      <c r="J1458" s="30">
        <v>0</v>
      </c>
      <c r="K1458" s="30">
        <v>0</v>
      </c>
      <c r="L1458" s="30">
        <v>0</v>
      </c>
      <c r="M1458" s="31">
        <f t="shared" si="110"/>
        <v>-10977</v>
      </c>
      <c r="N1458" s="32">
        <f t="shared" si="111"/>
        <v>-1</v>
      </c>
      <c r="O1458" s="6" t="str">
        <f>IF(ABS(M1458)&lt;Overview!$B$6,"OK",IF(I1458=0,"REVIEW (zero base)",IF(ABS(M1458/ABS(I1458))&gt;=Overview!$B$5,"REVIEW","OK")))</f>
        <v>OK</v>
      </c>
      <c r="P1458" s="31">
        <f t="shared" si="112"/>
        <v>0</v>
      </c>
      <c r="Q1458" s="32" t="str">
        <f t="shared" si="113"/>
        <v>n/a</v>
      </c>
      <c r="R1458" s="6" t="str">
        <f>IF(ABS(P1458)&lt;Overview!$B$6,"OK",IF(J1458=0,"REVIEW (zero base)",IF(ABS(P1458/ABS(J1458))&gt;=Overview!$B$5,"REVIEW","OK")))</f>
        <v>OK</v>
      </c>
      <c r="S1458" s="33">
        <f t="shared" si="114"/>
        <v>10977.001458000001</v>
      </c>
    </row>
    <row r="1459" spans="1:19" x14ac:dyDescent="0.2">
      <c r="A1459" s="17">
        <v>1457</v>
      </c>
      <c r="B1459" s="17" t="s">
        <v>171</v>
      </c>
      <c r="C1459" s="17" t="s">
        <v>338</v>
      </c>
      <c r="D1459" s="17" t="s">
        <v>59</v>
      </c>
      <c r="E1459" s="17" t="s">
        <v>133</v>
      </c>
      <c r="F1459" s="17" t="s">
        <v>339</v>
      </c>
      <c r="G1459" s="17" t="s">
        <v>394</v>
      </c>
      <c r="H1459" s="30">
        <v>13864</v>
      </c>
      <c r="I1459" s="30">
        <v>16015</v>
      </c>
      <c r="J1459" s="30">
        <v>0</v>
      </c>
      <c r="K1459" s="30">
        <v>0</v>
      </c>
      <c r="L1459" s="30">
        <v>0</v>
      </c>
      <c r="M1459" s="31">
        <f t="shared" si="110"/>
        <v>-16015</v>
      </c>
      <c r="N1459" s="32">
        <f t="shared" si="111"/>
        <v>-1</v>
      </c>
      <c r="O1459" s="6" t="str">
        <f>IF(ABS(M1459)&lt;Overview!$B$6,"OK",IF(I1459=0,"REVIEW (zero base)",IF(ABS(M1459/ABS(I1459))&gt;=Overview!$B$5,"REVIEW","OK")))</f>
        <v>OK</v>
      </c>
      <c r="P1459" s="31">
        <f t="shared" si="112"/>
        <v>0</v>
      </c>
      <c r="Q1459" s="32" t="str">
        <f t="shared" si="113"/>
        <v>n/a</v>
      </c>
      <c r="R1459" s="6" t="str">
        <f>IF(ABS(P1459)&lt;Overview!$B$6,"OK",IF(J1459=0,"REVIEW (zero base)",IF(ABS(P1459/ABS(J1459))&gt;=Overview!$B$5,"REVIEW","OK")))</f>
        <v>OK</v>
      </c>
      <c r="S1459" s="33">
        <f t="shared" si="114"/>
        <v>16015.001458999999</v>
      </c>
    </row>
    <row r="1460" spans="1:19" x14ac:dyDescent="0.2">
      <c r="A1460" s="17">
        <v>1458</v>
      </c>
      <c r="B1460" s="17" t="s">
        <v>171</v>
      </c>
      <c r="C1460" s="17" t="s">
        <v>338</v>
      </c>
      <c r="D1460" s="17" t="s">
        <v>59</v>
      </c>
      <c r="E1460" s="17" t="s">
        <v>133</v>
      </c>
      <c r="F1460" s="17" t="s">
        <v>339</v>
      </c>
      <c r="G1460" s="17" t="s">
        <v>395</v>
      </c>
      <c r="H1460" s="30">
        <v>8210</v>
      </c>
      <c r="I1460" s="30">
        <v>8758</v>
      </c>
      <c r="J1460" s="30">
        <v>9402</v>
      </c>
      <c r="K1460" s="30">
        <v>9591</v>
      </c>
      <c r="L1460" s="30">
        <v>9687</v>
      </c>
      <c r="M1460" s="31">
        <f t="shared" si="110"/>
        <v>644</v>
      </c>
      <c r="N1460" s="32">
        <f t="shared" si="111"/>
        <v>7.3532770038821652E-2</v>
      </c>
      <c r="O1460" s="6" t="str">
        <f>IF(ABS(M1460)&lt;Overview!$B$6,"OK",IF(I1460=0,"REVIEW (zero base)",IF(ABS(M1460/ABS(I1460))&gt;=Overview!$B$5,"REVIEW","OK")))</f>
        <v>OK</v>
      </c>
      <c r="P1460" s="31">
        <f t="shared" si="112"/>
        <v>189</v>
      </c>
      <c r="Q1460" s="32">
        <f t="shared" si="113"/>
        <v>2.0102105934907466E-2</v>
      </c>
      <c r="R1460" s="6" t="str">
        <f>IF(ABS(P1460)&lt;Overview!$B$6,"OK",IF(J1460=0,"REVIEW (zero base)",IF(ABS(P1460/ABS(J1460))&gt;=Overview!$B$5,"REVIEW","OK")))</f>
        <v>OK</v>
      </c>
      <c r="S1460" s="33">
        <f t="shared" si="114"/>
        <v>644.00145999999995</v>
      </c>
    </row>
    <row r="1461" spans="1:19" x14ac:dyDescent="0.2">
      <c r="A1461" s="17">
        <v>1459</v>
      </c>
      <c r="B1461" s="17" t="s">
        <v>171</v>
      </c>
      <c r="C1461" s="17" t="s">
        <v>338</v>
      </c>
      <c r="D1461" s="17" t="s">
        <v>59</v>
      </c>
      <c r="E1461" s="17" t="s">
        <v>133</v>
      </c>
      <c r="F1461" s="17" t="s">
        <v>341</v>
      </c>
      <c r="G1461" s="17" t="s">
        <v>342</v>
      </c>
      <c r="H1461" s="30">
        <v>5572</v>
      </c>
      <c r="I1461" s="30">
        <v>6131</v>
      </c>
      <c r="J1461" s="30">
        <v>6444</v>
      </c>
      <c r="K1461" s="30">
        <v>6444</v>
      </c>
      <c r="L1461" s="30">
        <v>6444</v>
      </c>
      <c r="M1461" s="31">
        <f t="shared" si="110"/>
        <v>313</v>
      </c>
      <c r="N1461" s="32">
        <f t="shared" si="111"/>
        <v>5.1052030663839502E-2</v>
      </c>
      <c r="O1461" s="6" t="str">
        <f>IF(ABS(M1461)&lt;Overview!$B$6,"OK",IF(I1461=0,"REVIEW (zero base)",IF(ABS(M1461/ABS(I1461))&gt;=Overview!$B$5,"REVIEW","OK")))</f>
        <v>OK</v>
      </c>
      <c r="P1461" s="31">
        <f t="shared" si="112"/>
        <v>0</v>
      </c>
      <c r="Q1461" s="32">
        <f t="shared" si="113"/>
        <v>0</v>
      </c>
      <c r="R1461" s="6" t="str">
        <f>IF(ABS(P1461)&lt;Overview!$B$6,"OK",IF(J1461=0,"REVIEW (zero base)",IF(ABS(P1461/ABS(J1461))&gt;=Overview!$B$5,"REVIEW","OK")))</f>
        <v>OK</v>
      </c>
      <c r="S1461" s="33">
        <f t="shared" si="114"/>
        <v>313.00146100000001</v>
      </c>
    </row>
    <row r="1462" spans="1:19" x14ac:dyDescent="0.2">
      <c r="A1462" s="17">
        <v>1460</v>
      </c>
      <c r="B1462" s="17" t="s">
        <v>171</v>
      </c>
      <c r="C1462" s="17" t="s">
        <v>338</v>
      </c>
      <c r="D1462" s="17" t="s">
        <v>59</v>
      </c>
      <c r="E1462" s="17" t="s">
        <v>133</v>
      </c>
      <c r="F1462" s="17" t="s">
        <v>341</v>
      </c>
      <c r="G1462" s="17" t="s">
        <v>375</v>
      </c>
      <c r="H1462" s="30">
        <v>20657</v>
      </c>
      <c r="I1462" s="30">
        <v>27025</v>
      </c>
      <c r="J1462" s="30">
        <v>22750</v>
      </c>
      <c r="K1462" s="30">
        <v>22750</v>
      </c>
      <c r="L1462" s="30">
        <v>22750</v>
      </c>
      <c r="M1462" s="31">
        <f t="shared" si="110"/>
        <v>-4275</v>
      </c>
      <c r="N1462" s="32">
        <f t="shared" si="111"/>
        <v>-0.15818686401480112</v>
      </c>
      <c r="O1462" s="6" t="str">
        <f>IF(ABS(M1462)&lt;Overview!$B$6,"OK",IF(I1462=0,"REVIEW (zero base)",IF(ABS(M1462/ABS(I1462))&gt;=Overview!$B$5,"REVIEW","OK")))</f>
        <v>OK</v>
      </c>
      <c r="P1462" s="31">
        <f t="shared" si="112"/>
        <v>0</v>
      </c>
      <c r="Q1462" s="32">
        <f t="shared" si="113"/>
        <v>0</v>
      </c>
      <c r="R1462" s="6" t="str">
        <f>IF(ABS(P1462)&lt;Overview!$B$6,"OK",IF(J1462=0,"REVIEW (zero base)",IF(ABS(P1462/ABS(J1462))&gt;=Overview!$B$5,"REVIEW","OK")))</f>
        <v>OK</v>
      </c>
      <c r="S1462" s="33">
        <f t="shared" si="114"/>
        <v>4275.0014620000002</v>
      </c>
    </row>
    <row r="1463" spans="1:19" x14ac:dyDescent="0.2">
      <c r="A1463" s="17">
        <v>1461</v>
      </c>
      <c r="B1463" s="17" t="s">
        <v>171</v>
      </c>
      <c r="C1463" s="17" t="s">
        <v>338</v>
      </c>
      <c r="D1463" s="17" t="s">
        <v>59</v>
      </c>
      <c r="E1463" s="17" t="s">
        <v>133</v>
      </c>
      <c r="F1463" s="17" t="s">
        <v>341</v>
      </c>
      <c r="G1463" s="17" t="s">
        <v>376</v>
      </c>
      <c r="H1463" s="30">
        <v>64845</v>
      </c>
      <c r="I1463" s="30">
        <v>80683</v>
      </c>
      <c r="J1463" s="30">
        <v>58363</v>
      </c>
      <c r="K1463" s="30">
        <v>84072</v>
      </c>
      <c r="L1463" s="30">
        <v>88469</v>
      </c>
      <c r="M1463" s="31">
        <f t="shared" si="110"/>
        <v>-22320</v>
      </c>
      <c r="N1463" s="32">
        <f t="shared" si="111"/>
        <v>-0.27663820135592382</v>
      </c>
      <c r="O1463" s="6" t="str">
        <f>IF(ABS(M1463)&lt;Overview!$B$6,"OK",IF(I1463=0,"REVIEW (zero base)",IF(ABS(M1463/ABS(I1463))&gt;=Overview!$B$5,"REVIEW","OK")))</f>
        <v>OK</v>
      </c>
      <c r="P1463" s="31">
        <f t="shared" si="112"/>
        <v>25709</v>
      </c>
      <c r="Q1463" s="32">
        <f t="shared" si="113"/>
        <v>0.44050168771310588</v>
      </c>
      <c r="R1463" s="6" t="str">
        <f>IF(ABS(P1463)&lt;Overview!$B$6,"OK",IF(J1463=0,"REVIEW (zero base)",IF(ABS(P1463/ABS(J1463))&gt;=Overview!$B$5,"REVIEW","OK")))</f>
        <v>OK</v>
      </c>
      <c r="S1463" s="33">
        <f t="shared" si="114"/>
        <v>22320.001463000001</v>
      </c>
    </row>
    <row r="1464" spans="1:19" x14ac:dyDescent="0.2">
      <c r="A1464" s="17">
        <v>1462</v>
      </c>
      <c r="B1464" s="17" t="s">
        <v>171</v>
      </c>
      <c r="C1464" s="17" t="s">
        <v>338</v>
      </c>
      <c r="D1464" s="17" t="s">
        <v>59</v>
      </c>
      <c r="E1464" s="17" t="s">
        <v>133</v>
      </c>
      <c r="F1464" s="17" t="s">
        <v>341</v>
      </c>
      <c r="G1464" s="17" t="s">
        <v>343</v>
      </c>
      <c r="H1464" s="30">
        <v>16362</v>
      </c>
      <c r="I1464" s="30">
        <v>19865</v>
      </c>
      <c r="J1464" s="30">
        <v>17801</v>
      </c>
      <c r="K1464" s="30">
        <v>18330</v>
      </c>
      <c r="L1464" s="30">
        <v>18513</v>
      </c>
      <c r="M1464" s="31">
        <f t="shared" si="110"/>
        <v>-2064</v>
      </c>
      <c r="N1464" s="32">
        <f t="shared" si="111"/>
        <v>-0.10390133400453058</v>
      </c>
      <c r="O1464" s="6" t="str">
        <f>IF(ABS(M1464)&lt;Overview!$B$6,"OK",IF(I1464=0,"REVIEW (zero base)",IF(ABS(M1464/ABS(I1464))&gt;=Overview!$B$5,"REVIEW","OK")))</f>
        <v>OK</v>
      </c>
      <c r="P1464" s="31">
        <f t="shared" si="112"/>
        <v>529</v>
      </c>
      <c r="Q1464" s="32">
        <f t="shared" si="113"/>
        <v>2.9717431604966014E-2</v>
      </c>
      <c r="R1464" s="6" t="str">
        <f>IF(ABS(P1464)&lt;Overview!$B$6,"OK",IF(J1464=0,"REVIEW (zero base)",IF(ABS(P1464/ABS(J1464))&gt;=Overview!$B$5,"REVIEW","OK")))</f>
        <v>OK</v>
      </c>
      <c r="S1464" s="33">
        <f t="shared" si="114"/>
        <v>2064.0014639999999</v>
      </c>
    </row>
    <row r="1465" spans="1:19" x14ac:dyDescent="0.2">
      <c r="A1465" s="17">
        <v>1463</v>
      </c>
      <c r="B1465" s="17" t="s">
        <v>171</v>
      </c>
      <c r="C1465" s="17" t="s">
        <v>338</v>
      </c>
      <c r="D1465" s="17" t="s">
        <v>59</v>
      </c>
      <c r="E1465" s="17" t="s">
        <v>133</v>
      </c>
      <c r="F1465" s="17" t="s">
        <v>341</v>
      </c>
      <c r="G1465" s="17" t="s">
        <v>378</v>
      </c>
      <c r="H1465" s="30">
        <v>17003</v>
      </c>
      <c r="I1465" s="30">
        <v>20398</v>
      </c>
      <c r="J1465" s="30">
        <v>17200</v>
      </c>
      <c r="K1465" s="30">
        <v>18200</v>
      </c>
      <c r="L1465" s="30">
        <v>19006</v>
      </c>
      <c r="M1465" s="31">
        <f t="shared" si="110"/>
        <v>-3198</v>
      </c>
      <c r="N1465" s="32">
        <f t="shared" si="111"/>
        <v>-0.15678007647808609</v>
      </c>
      <c r="O1465" s="6" t="str">
        <f>IF(ABS(M1465)&lt;Overview!$B$6,"OK",IF(I1465=0,"REVIEW (zero base)",IF(ABS(M1465/ABS(I1465))&gt;=Overview!$B$5,"REVIEW","OK")))</f>
        <v>OK</v>
      </c>
      <c r="P1465" s="31">
        <f t="shared" si="112"/>
        <v>1000</v>
      </c>
      <c r="Q1465" s="32">
        <f t="shared" si="113"/>
        <v>5.8139534883720929E-2</v>
      </c>
      <c r="R1465" s="6" t="str">
        <f>IF(ABS(P1465)&lt;Overview!$B$6,"OK",IF(J1465=0,"REVIEW (zero base)",IF(ABS(P1465/ABS(J1465))&gt;=Overview!$B$5,"REVIEW","OK")))</f>
        <v>OK</v>
      </c>
      <c r="S1465" s="33">
        <f t="shared" si="114"/>
        <v>3198.0014649999998</v>
      </c>
    </row>
    <row r="1466" spans="1:19" x14ac:dyDescent="0.2">
      <c r="A1466" s="17">
        <v>1464</v>
      </c>
      <c r="B1466" s="17" t="s">
        <v>171</v>
      </c>
      <c r="C1466" s="17" t="s">
        <v>338</v>
      </c>
      <c r="D1466" s="17" t="s">
        <v>59</v>
      </c>
      <c r="E1466" s="17" t="s">
        <v>133</v>
      </c>
      <c r="F1466" s="17" t="s">
        <v>341</v>
      </c>
      <c r="G1466" s="17" t="s">
        <v>344</v>
      </c>
      <c r="H1466" s="30">
        <v>82564</v>
      </c>
      <c r="I1466" s="30">
        <v>81138</v>
      </c>
      <c r="J1466" s="30">
        <v>102812</v>
      </c>
      <c r="K1466" s="30">
        <v>119340</v>
      </c>
      <c r="L1466" s="30">
        <v>121727</v>
      </c>
      <c r="M1466" s="31">
        <f t="shared" si="110"/>
        <v>21674</v>
      </c>
      <c r="N1466" s="32">
        <f t="shared" si="111"/>
        <v>0.26712514481500654</v>
      </c>
      <c r="O1466" s="6" t="str">
        <f>IF(ABS(M1466)&lt;Overview!$B$6,"OK",IF(I1466=0,"REVIEW (zero base)",IF(ABS(M1466/ABS(I1466))&gt;=Overview!$B$5,"REVIEW","OK")))</f>
        <v>OK</v>
      </c>
      <c r="P1466" s="31">
        <f t="shared" si="112"/>
        <v>16528</v>
      </c>
      <c r="Q1466" s="32">
        <f t="shared" si="113"/>
        <v>0.16075944442283002</v>
      </c>
      <c r="R1466" s="6" t="str">
        <f>IF(ABS(P1466)&lt;Overview!$B$6,"OK",IF(J1466=0,"REVIEW (zero base)",IF(ABS(P1466/ABS(J1466))&gt;=Overview!$B$5,"REVIEW","OK")))</f>
        <v>OK</v>
      </c>
      <c r="S1466" s="33">
        <f t="shared" si="114"/>
        <v>21674.001466000002</v>
      </c>
    </row>
    <row r="1467" spans="1:19" x14ac:dyDescent="0.2">
      <c r="A1467" s="17">
        <v>1465</v>
      </c>
      <c r="B1467" s="17" t="s">
        <v>171</v>
      </c>
      <c r="C1467" s="17" t="s">
        <v>338</v>
      </c>
      <c r="D1467" s="17" t="s">
        <v>59</v>
      </c>
      <c r="E1467" s="17" t="s">
        <v>133</v>
      </c>
      <c r="F1467" s="17" t="s">
        <v>364</v>
      </c>
      <c r="G1467" s="17" t="s">
        <v>383</v>
      </c>
      <c r="H1467" s="30">
        <v>373</v>
      </c>
      <c r="I1467" s="30">
        <v>595</v>
      </c>
      <c r="J1467" s="30">
        <v>360</v>
      </c>
      <c r="K1467" s="30">
        <v>360</v>
      </c>
      <c r="L1467" s="30">
        <v>360</v>
      </c>
      <c r="M1467" s="31">
        <f t="shared" si="110"/>
        <v>-235</v>
      </c>
      <c r="N1467" s="32">
        <f t="shared" si="111"/>
        <v>-0.3949579831932773</v>
      </c>
      <c r="O1467" s="6" t="str">
        <f>IF(ABS(M1467)&lt;Overview!$B$6,"OK",IF(I1467=0,"REVIEW (zero base)",IF(ABS(M1467/ABS(I1467))&gt;=Overview!$B$5,"REVIEW","OK")))</f>
        <v>OK</v>
      </c>
      <c r="P1467" s="31">
        <f t="shared" si="112"/>
        <v>0</v>
      </c>
      <c r="Q1467" s="32">
        <f t="shared" si="113"/>
        <v>0</v>
      </c>
      <c r="R1467" s="6" t="str">
        <f>IF(ABS(P1467)&lt;Overview!$B$6,"OK",IF(J1467=0,"REVIEW (zero base)",IF(ABS(P1467/ABS(J1467))&gt;=Overview!$B$5,"REVIEW","OK")))</f>
        <v>OK</v>
      </c>
      <c r="S1467" s="33">
        <f t="shared" si="114"/>
        <v>235.00146699999999</v>
      </c>
    </row>
    <row r="1468" spans="1:19" x14ac:dyDescent="0.2">
      <c r="A1468" s="17">
        <v>1466</v>
      </c>
      <c r="B1468" s="17" t="s">
        <v>171</v>
      </c>
      <c r="C1468" s="17" t="s">
        <v>338</v>
      </c>
      <c r="D1468" s="17" t="s">
        <v>59</v>
      </c>
      <c r="E1468" s="17" t="s">
        <v>133</v>
      </c>
      <c r="F1468" s="17" t="s">
        <v>402</v>
      </c>
      <c r="G1468" s="17" t="s">
        <v>416</v>
      </c>
      <c r="H1468" s="30">
        <v>0</v>
      </c>
      <c r="I1468" s="30">
        <v>0</v>
      </c>
      <c r="J1468" s="30">
        <v>0</v>
      </c>
      <c r="K1468" s="30">
        <v>2700</v>
      </c>
      <c r="L1468" s="30">
        <v>2719</v>
      </c>
      <c r="M1468" s="31">
        <f t="shared" si="110"/>
        <v>0</v>
      </c>
      <c r="N1468" s="32" t="str">
        <f t="shared" si="111"/>
        <v>n/a</v>
      </c>
      <c r="O1468" s="6" t="str">
        <f>IF(ABS(M1468)&lt;Overview!$B$6,"OK",IF(I1468=0,"REVIEW (zero base)",IF(ABS(M1468/ABS(I1468))&gt;=Overview!$B$5,"REVIEW","OK")))</f>
        <v>OK</v>
      </c>
      <c r="P1468" s="31">
        <f t="shared" si="112"/>
        <v>2700</v>
      </c>
      <c r="Q1468" s="32" t="str">
        <f t="shared" si="113"/>
        <v>n/a</v>
      </c>
      <c r="R1468" s="6" t="str">
        <f>IF(ABS(P1468)&lt;Overview!$B$6,"OK",IF(J1468=0,"REVIEW (zero base)",IF(ABS(P1468/ABS(J1468))&gt;=Overview!$B$5,"REVIEW","OK")))</f>
        <v>OK</v>
      </c>
      <c r="S1468" s="33">
        <f t="shared" si="114"/>
        <v>1.4679999999999999E-3</v>
      </c>
    </row>
    <row r="1469" spans="1:19" x14ac:dyDescent="0.2">
      <c r="A1469" s="17">
        <v>1467</v>
      </c>
      <c r="B1469" s="17" t="s">
        <v>171</v>
      </c>
      <c r="C1469" s="17" t="s">
        <v>338</v>
      </c>
      <c r="D1469" s="17" t="s">
        <v>59</v>
      </c>
      <c r="E1469" s="17" t="s">
        <v>133</v>
      </c>
      <c r="F1469" s="17" t="s">
        <v>420</v>
      </c>
      <c r="G1469" s="17" t="s">
        <v>421</v>
      </c>
      <c r="H1469" s="30">
        <v>2402</v>
      </c>
      <c r="I1469" s="30">
        <v>1890</v>
      </c>
      <c r="J1469" s="30">
        <v>1944</v>
      </c>
      <c r="K1469" s="30">
        <v>744</v>
      </c>
      <c r="L1469" s="30">
        <v>749</v>
      </c>
      <c r="M1469" s="31">
        <f t="shared" si="110"/>
        <v>54</v>
      </c>
      <c r="N1469" s="32">
        <f t="shared" si="111"/>
        <v>2.8571428571428571E-2</v>
      </c>
      <c r="O1469" s="6" t="str">
        <f>IF(ABS(M1469)&lt;Overview!$B$6,"OK",IF(I1469=0,"REVIEW (zero base)",IF(ABS(M1469/ABS(I1469))&gt;=Overview!$B$5,"REVIEW","OK")))</f>
        <v>OK</v>
      </c>
      <c r="P1469" s="31">
        <f t="shared" si="112"/>
        <v>-1200</v>
      </c>
      <c r="Q1469" s="32">
        <f t="shared" si="113"/>
        <v>-0.61728395061728392</v>
      </c>
      <c r="R1469" s="6" t="str">
        <f>IF(ABS(P1469)&lt;Overview!$B$6,"OK",IF(J1469=0,"REVIEW (zero base)",IF(ABS(P1469/ABS(J1469))&gt;=Overview!$B$5,"REVIEW","OK")))</f>
        <v>OK</v>
      </c>
      <c r="S1469" s="33">
        <f t="shared" si="114"/>
        <v>54.001469</v>
      </c>
    </row>
    <row r="1470" spans="1:19" x14ac:dyDescent="0.2">
      <c r="A1470" s="17">
        <v>1468</v>
      </c>
      <c r="B1470" s="17" t="s">
        <v>171</v>
      </c>
      <c r="C1470" s="17" t="s">
        <v>338</v>
      </c>
      <c r="D1470" s="17" t="s">
        <v>59</v>
      </c>
      <c r="E1470" s="17" t="s">
        <v>133</v>
      </c>
      <c r="F1470" s="17" t="s">
        <v>422</v>
      </c>
      <c r="G1470" s="17" t="s">
        <v>423</v>
      </c>
      <c r="H1470" s="30">
        <v>2478</v>
      </c>
      <c r="I1470" s="30">
        <v>2475</v>
      </c>
      <c r="J1470" s="30">
        <v>2700</v>
      </c>
      <c r="K1470" s="30">
        <v>0</v>
      </c>
      <c r="L1470" s="30">
        <v>0</v>
      </c>
      <c r="M1470" s="31">
        <f t="shared" si="110"/>
        <v>225</v>
      </c>
      <c r="N1470" s="32">
        <f t="shared" si="111"/>
        <v>9.0909090909090912E-2</v>
      </c>
      <c r="O1470" s="6" t="str">
        <f>IF(ABS(M1470)&lt;Overview!$B$6,"OK",IF(I1470=0,"REVIEW (zero base)",IF(ABS(M1470/ABS(I1470))&gt;=Overview!$B$5,"REVIEW","OK")))</f>
        <v>OK</v>
      </c>
      <c r="P1470" s="31">
        <f t="shared" si="112"/>
        <v>-2700</v>
      </c>
      <c r="Q1470" s="32">
        <f t="shared" si="113"/>
        <v>-1</v>
      </c>
      <c r="R1470" s="6" t="str">
        <f>IF(ABS(P1470)&lt;Overview!$B$6,"OK",IF(J1470=0,"REVIEW (zero base)",IF(ABS(P1470/ABS(J1470))&gt;=Overview!$B$5,"REVIEW","OK")))</f>
        <v>OK</v>
      </c>
      <c r="S1470" s="33">
        <f t="shared" si="114"/>
        <v>225.00147000000001</v>
      </c>
    </row>
    <row r="1471" spans="1:19" x14ac:dyDescent="0.2">
      <c r="A1471" s="17">
        <v>1469</v>
      </c>
      <c r="B1471" s="17" t="s">
        <v>171</v>
      </c>
      <c r="C1471" s="17" t="s">
        <v>338</v>
      </c>
      <c r="D1471" s="17" t="s">
        <v>59</v>
      </c>
      <c r="E1471" s="17" t="s">
        <v>133</v>
      </c>
      <c r="F1471" s="17" t="s">
        <v>409</v>
      </c>
      <c r="G1471" s="17" t="s">
        <v>410</v>
      </c>
      <c r="H1471" s="30">
        <v>93675</v>
      </c>
      <c r="I1471" s="30">
        <v>97298</v>
      </c>
      <c r="J1471" s="30">
        <v>77380</v>
      </c>
      <c r="K1471" s="30">
        <v>76500</v>
      </c>
      <c r="L1471" s="30">
        <v>77036</v>
      </c>
      <c r="M1471" s="31">
        <f t="shared" si="110"/>
        <v>-19918</v>
      </c>
      <c r="N1471" s="32">
        <f t="shared" si="111"/>
        <v>-0.20471129930728277</v>
      </c>
      <c r="O1471" s="6" t="str">
        <f>IF(ABS(M1471)&lt;Overview!$B$6,"OK",IF(I1471=0,"REVIEW (zero base)",IF(ABS(M1471/ABS(I1471))&gt;=Overview!$B$5,"REVIEW","OK")))</f>
        <v>OK</v>
      </c>
      <c r="P1471" s="31">
        <f t="shared" si="112"/>
        <v>-880</v>
      </c>
      <c r="Q1471" s="32">
        <f t="shared" si="113"/>
        <v>-1.1372447660894288E-2</v>
      </c>
      <c r="R1471" s="6" t="str">
        <f>IF(ABS(P1471)&lt;Overview!$B$6,"OK",IF(J1471=0,"REVIEW (zero base)",IF(ABS(P1471/ABS(J1471))&gt;=Overview!$B$5,"REVIEW","OK")))</f>
        <v>OK</v>
      </c>
      <c r="S1471" s="33">
        <f t="shared" si="114"/>
        <v>19918.001471</v>
      </c>
    </row>
    <row r="1472" spans="1:19" x14ac:dyDescent="0.2">
      <c r="A1472" s="17">
        <v>1470</v>
      </c>
      <c r="B1472" s="17" t="s">
        <v>171</v>
      </c>
      <c r="C1472" s="17" t="s">
        <v>338</v>
      </c>
      <c r="D1472" s="17" t="s">
        <v>59</v>
      </c>
      <c r="E1472" s="17" t="s">
        <v>133</v>
      </c>
      <c r="F1472" s="17" t="s">
        <v>347</v>
      </c>
      <c r="G1472" s="17" t="s">
        <v>348</v>
      </c>
      <c r="H1472" s="30">
        <v>509</v>
      </c>
      <c r="I1472" s="30">
        <v>213</v>
      </c>
      <c r="J1472" s="30">
        <v>748</v>
      </c>
      <c r="K1472" s="30">
        <v>744</v>
      </c>
      <c r="L1472" s="30">
        <v>749</v>
      </c>
      <c r="M1472" s="31">
        <f t="shared" si="110"/>
        <v>535</v>
      </c>
      <c r="N1472" s="32">
        <f t="shared" si="111"/>
        <v>2.511737089201878</v>
      </c>
      <c r="O1472" s="6" t="str">
        <f>IF(ABS(M1472)&lt;Overview!$B$6,"OK",IF(I1472=0,"REVIEW (zero base)",IF(ABS(M1472/ABS(I1472))&gt;=Overview!$B$5,"REVIEW","OK")))</f>
        <v>OK</v>
      </c>
      <c r="P1472" s="31">
        <f t="shared" si="112"/>
        <v>-4</v>
      </c>
      <c r="Q1472" s="32">
        <f t="shared" si="113"/>
        <v>-5.3475935828877002E-3</v>
      </c>
      <c r="R1472" s="6" t="str">
        <f>IF(ABS(P1472)&lt;Overview!$B$6,"OK",IF(J1472=0,"REVIEW (zero base)",IF(ABS(P1472/ABS(J1472))&gt;=Overview!$B$5,"REVIEW","OK")))</f>
        <v>OK</v>
      </c>
      <c r="S1472" s="33">
        <f t="shared" si="114"/>
        <v>535.00147200000004</v>
      </c>
    </row>
    <row r="1473" spans="1:19" x14ac:dyDescent="0.2">
      <c r="A1473" s="17">
        <v>1471</v>
      </c>
      <c r="B1473" s="17" t="s">
        <v>171</v>
      </c>
      <c r="C1473" s="17" t="s">
        <v>338</v>
      </c>
      <c r="D1473" s="17" t="s">
        <v>59</v>
      </c>
      <c r="E1473" s="17" t="s">
        <v>133</v>
      </c>
      <c r="F1473" s="17" t="s">
        <v>386</v>
      </c>
      <c r="G1473" s="17" t="s">
        <v>413</v>
      </c>
      <c r="H1473" s="30">
        <v>0</v>
      </c>
      <c r="I1473" s="30">
        <v>0</v>
      </c>
      <c r="J1473" s="30">
        <v>0</v>
      </c>
      <c r="K1473" s="30">
        <v>744</v>
      </c>
      <c r="L1473" s="30">
        <v>749</v>
      </c>
      <c r="M1473" s="31">
        <f t="shared" si="110"/>
        <v>0</v>
      </c>
      <c r="N1473" s="32" t="str">
        <f t="shared" si="111"/>
        <v>n/a</v>
      </c>
      <c r="O1473" s="6" t="str">
        <f>IF(ABS(M1473)&lt;Overview!$B$6,"OK",IF(I1473=0,"REVIEW (zero base)",IF(ABS(M1473/ABS(I1473))&gt;=Overview!$B$5,"REVIEW","OK")))</f>
        <v>OK</v>
      </c>
      <c r="P1473" s="31">
        <f t="shared" si="112"/>
        <v>744</v>
      </c>
      <c r="Q1473" s="32" t="str">
        <f t="shared" si="113"/>
        <v>n/a</v>
      </c>
      <c r="R1473" s="6" t="str">
        <f>IF(ABS(P1473)&lt;Overview!$B$6,"OK",IF(J1473=0,"REVIEW (zero base)",IF(ABS(P1473/ABS(J1473))&gt;=Overview!$B$5,"REVIEW","OK")))</f>
        <v>OK</v>
      </c>
      <c r="S1473" s="33">
        <f t="shared" si="114"/>
        <v>1.4729999999999999E-3</v>
      </c>
    </row>
    <row r="1474" spans="1:19" x14ac:dyDescent="0.2">
      <c r="A1474" s="17">
        <v>1472</v>
      </c>
      <c r="B1474" s="17" t="s">
        <v>171</v>
      </c>
      <c r="C1474" s="17" t="s">
        <v>338</v>
      </c>
      <c r="D1474" s="17" t="s">
        <v>59</v>
      </c>
      <c r="E1474" s="17" t="s">
        <v>133</v>
      </c>
      <c r="F1474" s="17" t="s">
        <v>386</v>
      </c>
      <c r="G1474" s="17" t="s">
        <v>387</v>
      </c>
      <c r="H1474" s="30">
        <v>747</v>
      </c>
      <c r="I1474" s="30">
        <v>725</v>
      </c>
      <c r="J1474" s="30">
        <v>739</v>
      </c>
      <c r="K1474" s="30">
        <v>0</v>
      </c>
      <c r="L1474" s="30">
        <v>0</v>
      </c>
      <c r="M1474" s="31">
        <f t="shared" ref="M1474:M1534" si="115">J1474-I1474</f>
        <v>14</v>
      </c>
      <c r="N1474" s="32">
        <f t="shared" ref="N1474:N1537" si="116">IF(I1474=0,"n/a",M1474/ABS(I1474))</f>
        <v>1.9310344827586208E-2</v>
      </c>
      <c r="O1474" s="6" t="str">
        <f>IF(ABS(M1474)&lt;Overview!$B$6,"OK",IF(I1474=0,"REVIEW (zero base)",IF(ABS(M1474/ABS(I1474))&gt;=Overview!$B$5,"REVIEW","OK")))</f>
        <v>OK</v>
      </c>
      <c r="P1474" s="31">
        <f t="shared" ref="P1474:P1534" si="117">K1474-J1474</f>
        <v>-739</v>
      </c>
      <c r="Q1474" s="32">
        <f t="shared" ref="Q1474:Q1537" si="118">IF(J1474=0,"n/a",P1474/ABS(J1474))</f>
        <v>-1</v>
      </c>
      <c r="R1474" s="6" t="str">
        <f>IF(ABS(P1474)&lt;Overview!$B$6,"OK",IF(J1474=0,"REVIEW (zero base)",IF(ABS(P1474/ABS(J1474))&gt;=Overview!$B$5,"REVIEW","OK")))</f>
        <v>OK</v>
      </c>
      <c r="S1474" s="33">
        <f t="shared" ref="S1474:S1534" si="119">IF(C1474="EXPENSES",ABS(M1474)+ROW()/1000000,0)</f>
        <v>14.001474</v>
      </c>
    </row>
    <row r="1475" spans="1:19" x14ac:dyDescent="0.2">
      <c r="A1475" s="17">
        <v>1473</v>
      </c>
      <c r="B1475" s="17" t="s">
        <v>171</v>
      </c>
      <c r="C1475" s="17" t="s">
        <v>338</v>
      </c>
      <c r="D1475" s="17" t="s">
        <v>60</v>
      </c>
      <c r="E1475" s="17" t="s">
        <v>86</v>
      </c>
      <c r="F1475" s="17" t="s">
        <v>339</v>
      </c>
      <c r="G1475" s="17" t="s">
        <v>340</v>
      </c>
      <c r="H1475" s="30">
        <v>1799368</v>
      </c>
      <c r="I1475" s="30">
        <v>1898977</v>
      </c>
      <c r="J1475" s="30">
        <v>2122023</v>
      </c>
      <c r="K1475" s="30">
        <v>2331546</v>
      </c>
      <c r="L1475" s="30">
        <v>2354861</v>
      </c>
      <c r="M1475" s="31">
        <f t="shared" si="115"/>
        <v>223046</v>
      </c>
      <c r="N1475" s="32">
        <f t="shared" si="116"/>
        <v>0.11745587229334531</v>
      </c>
      <c r="O1475" s="6" t="str">
        <f>IF(ABS(M1475)&lt;Overview!$B$6,"OK",IF(I1475=0,"REVIEW (zero base)",IF(ABS(M1475/ABS(I1475))&gt;=Overview!$B$5,"REVIEW","OK")))</f>
        <v>OK</v>
      </c>
      <c r="P1475" s="31">
        <f t="shared" si="117"/>
        <v>209523</v>
      </c>
      <c r="Q1475" s="32">
        <f t="shared" si="118"/>
        <v>9.8737384090558863E-2</v>
      </c>
      <c r="R1475" s="6" t="str">
        <f>IF(ABS(P1475)&lt;Overview!$B$6,"OK",IF(J1475=0,"REVIEW (zero base)",IF(ABS(P1475/ABS(J1475))&gt;=Overview!$B$5,"REVIEW","OK")))</f>
        <v>OK</v>
      </c>
      <c r="S1475" s="33">
        <f t="shared" si="119"/>
        <v>223046.001475</v>
      </c>
    </row>
    <row r="1476" spans="1:19" x14ac:dyDescent="0.2">
      <c r="A1476" s="17">
        <v>1474</v>
      </c>
      <c r="B1476" s="17" t="s">
        <v>171</v>
      </c>
      <c r="C1476" s="17" t="s">
        <v>338</v>
      </c>
      <c r="D1476" s="17" t="s">
        <v>60</v>
      </c>
      <c r="E1476" s="17" t="s">
        <v>86</v>
      </c>
      <c r="F1476" s="17" t="s">
        <v>339</v>
      </c>
      <c r="G1476" s="17" t="s">
        <v>390</v>
      </c>
      <c r="H1476" s="30">
        <v>15455</v>
      </c>
      <c r="I1476" s="30">
        <v>10511</v>
      </c>
      <c r="J1476" s="30">
        <v>9000</v>
      </c>
      <c r="K1476" s="30">
        <v>9000</v>
      </c>
      <c r="L1476" s="30">
        <v>9000</v>
      </c>
      <c r="M1476" s="31">
        <f t="shared" si="115"/>
        <v>-1511</v>
      </c>
      <c r="N1476" s="32">
        <f t="shared" si="116"/>
        <v>-0.14375416230615545</v>
      </c>
      <c r="O1476" s="6" t="str">
        <f>IF(ABS(M1476)&lt;Overview!$B$6,"OK",IF(I1476=0,"REVIEW (zero base)",IF(ABS(M1476/ABS(I1476))&gt;=Overview!$B$5,"REVIEW","OK")))</f>
        <v>OK</v>
      </c>
      <c r="P1476" s="31">
        <f t="shared" si="117"/>
        <v>0</v>
      </c>
      <c r="Q1476" s="32">
        <f t="shared" si="118"/>
        <v>0</v>
      </c>
      <c r="R1476" s="6" t="str">
        <f>IF(ABS(P1476)&lt;Overview!$B$6,"OK",IF(J1476=0,"REVIEW (zero base)",IF(ABS(P1476/ABS(J1476))&gt;=Overview!$B$5,"REVIEW","OK")))</f>
        <v>OK</v>
      </c>
      <c r="S1476" s="33">
        <f t="shared" si="119"/>
        <v>1511.0014759999999</v>
      </c>
    </row>
    <row r="1477" spans="1:19" x14ac:dyDescent="0.2">
      <c r="A1477" s="17">
        <v>1475</v>
      </c>
      <c r="B1477" s="17" t="s">
        <v>171</v>
      </c>
      <c r="C1477" s="17" t="s">
        <v>338</v>
      </c>
      <c r="D1477" s="17" t="s">
        <v>60</v>
      </c>
      <c r="E1477" s="17" t="s">
        <v>86</v>
      </c>
      <c r="F1477" s="17" t="s">
        <v>339</v>
      </c>
      <c r="G1477" s="17" t="s">
        <v>391</v>
      </c>
      <c r="H1477" s="30">
        <v>80211</v>
      </c>
      <c r="I1477" s="30">
        <v>51165</v>
      </c>
      <c r="J1477" s="30">
        <v>0</v>
      </c>
      <c r="K1477" s="30">
        <v>0</v>
      </c>
      <c r="L1477" s="30">
        <v>0</v>
      </c>
      <c r="M1477" s="31">
        <f t="shared" si="115"/>
        <v>-51165</v>
      </c>
      <c r="N1477" s="32">
        <f t="shared" si="116"/>
        <v>-1</v>
      </c>
      <c r="O1477" s="6" t="str">
        <f>IF(ABS(M1477)&lt;Overview!$B$6,"OK",IF(I1477=0,"REVIEW (zero base)",IF(ABS(M1477/ABS(I1477))&gt;=Overview!$B$5,"REVIEW","OK")))</f>
        <v>OK</v>
      </c>
      <c r="P1477" s="31">
        <f t="shared" si="117"/>
        <v>0</v>
      </c>
      <c r="Q1477" s="32" t="str">
        <f t="shared" si="118"/>
        <v>n/a</v>
      </c>
      <c r="R1477" s="6" t="str">
        <f>IF(ABS(P1477)&lt;Overview!$B$6,"OK",IF(J1477=0,"REVIEW (zero base)",IF(ABS(P1477/ABS(J1477))&gt;=Overview!$B$5,"REVIEW","OK")))</f>
        <v>OK</v>
      </c>
      <c r="S1477" s="33">
        <f t="shared" si="119"/>
        <v>51165.001476999998</v>
      </c>
    </row>
    <row r="1478" spans="1:19" x14ac:dyDescent="0.2">
      <c r="A1478" s="17">
        <v>1476</v>
      </c>
      <c r="B1478" s="17" t="s">
        <v>171</v>
      </c>
      <c r="C1478" s="17" t="s">
        <v>338</v>
      </c>
      <c r="D1478" s="17" t="s">
        <v>60</v>
      </c>
      <c r="E1478" s="17" t="s">
        <v>86</v>
      </c>
      <c r="F1478" s="17" t="s">
        <v>339</v>
      </c>
      <c r="G1478" s="17" t="s">
        <v>392</v>
      </c>
      <c r="H1478" s="30">
        <v>144387</v>
      </c>
      <c r="I1478" s="30">
        <v>136338</v>
      </c>
      <c r="J1478" s="30">
        <v>0</v>
      </c>
      <c r="K1478" s="30">
        <v>0</v>
      </c>
      <c r="L1478" s="30">
        <v>0</v>
      </c>
      <c r="M1478" s="31">
        <f t="shared" si="115"/>
        <v>-136338</v>
      </c>
      <c r="N1478" s="32">
        <f t="shared" si="116"/>
        <v>-1</v>
      </c>
      <c r="O1478" s="6" t="str">
        <f>IF(ABS(M1478)&lt;Overview!$B$6,"OK",IF(I1478=0,"REVIEW (zero base)",IF(ABS(M1478/ABS(I1478))&gt;=Overview!$B$5,"REVIEW","OK")))</f>
        <v>OK</v>
      </c>
      <c r="P1478" s="31">
        <f t="shared" si="117"/>
        <v>0</v>
      </c>
      <c r="Q1478" s="32" t="str">
        <f t="shared" si="118"/>
        <v>n/a</v>
      </c>
      <c r="R1478" s="6" t="str">
        <f>IF(ABS(P1478)&lt;Overview!$B$6,"OK",IF(J1478=0,"REVIEW (zero base)",IF(ABS(P1478/ABS(J1478))&gt;=Overview!$B$5,"REVIEW","OK")))</f>
        <v>OK</v>
      </c>
      <c r="S1478" s="33">
        <f t="shared" si="119"/>
        <v>136338.00147799999</v>
      </c>
    </row>
    <row r="1479" spans="1:19" x14ac:dyDescent="0.2">
      <c r="A1479" s="17">
        <v>1477</v>
      </c>
      <c r="B1479" s="17" t="s">
        <v>171</v>
      </c>
      <c r="C1479" s="17" t="s">
        <v>338</v>
      </c>
      <c r="D1479" s="17" t="s">
        <v>60</v>
      </c>
      <c r="E1479" s="17" t="s">
        <v>86</v>
      </c>
      <c r="F1479" s="17" t="s">
        <v>339</v>
      </c>
      <c r="G1479" s="17" t="s">
        <v>394</v>
      </c>
      <c r="H1479" s="30">
        <v>154444</v>
      </c>
      <c r="I1479" s="30">
        <v>142565</v>
      </c>
      <c r="J1479" s="30">
        <v>0</v>
      </c>
      <c r="K1479" s="30">
        <v>0</v>
      </c>
      <c r="L1479" s="30">
        <v>0</v>
      </c>
      <c r="M1479" s="31">
        <f t="shared" si="115"/>
        <v>-142565</v>
      </c>
      <c r="N1479" s="32">
        <f t="shared" si="116"/>
        <v>-1</v>
      </c>
      <c r="O1479" s="6" t="str">
        <f>IF(ABS(M1479)&lt;Overview!$B$6,"OK",IF(I1479=0,"REVIEW (zero base)",IF(ABS(M1479/ABS(I1479))&gt;=Overview!$B$5,"REVIEW","OK")))</f>
        <v>OK</v>
      </c>
      <c r="P1479" s="31">
        <f t="shared" si="117"/>
        <v>0</v>
      </c>
      <c r="Q1479" s="32" t="str">
        <f t="shared" si="118"/>
        <v>n/a</v>
      </c>
      <c r="R1479" s="6" t="str">
        <f>IF(ABS(P1479)&lt;Overview!$B$6,"OK",IF(J1479=0,"REVIEW (zero base)",IF(ABS(P1479/ABS(J1479))&gt;=Overview!$B$5,"REVIEW","OK")))</f>
        <v>OK</v>
      </c>
      <c r="S1479" s="33">
        <f t="shared" si="119"/>
        <v>142565.001479</v>
      </c>
    </row>
    <row r="1480" spans="1:19" x14ac:dyDescent="0.2">
      <c r="A1480" s="17">
        <v>1478</v>
      </c>
      <c r="B1480" s="17" t="s">
        <v>171</v>
      </c>
      <c r="C1480" s="17" t="s">
        <v>338</v>
      </c>
      <c r="D1480" s="17" t="s">
        <v>60</v>
      </c>
      <c r="E1480" s="17" t="s">
        <v>86</v>
      </c>
      <c r="F1480" s="17" t="s">
        <v>339</v>
      </c>
      <c r="G1480" s="17" t="s">
        <v>395</v>
      </c>
      <c r="H1480" s="30">
        <v>52265</v>
      </c>
      <c r="I1480" s="30">
        <v>58686</v>
      </c>
      <c r="J1480" s="30">
        <v>64872</v>
      </c>
      <c r="K1480" s="30">
        <v>59910</v>
      </c>
      <c r="L1480" s="30">
        <v>60509</v>
      </c>
      <c r="M1480" s="31">
        <f t="shared" si="115"/>
        <v>6186</v>
      </c>
      <c r="N1480" s="32">
        <f t="shared" si="116"/>
        <v>0.10540844494427973</v>
      </c>
      <c r="O1480" s="6" t="str">
        <f>IF(ABS(M1480)&lt;Overview!$B$6,"OK",IF(I1480=0,"REVIEW (zero base)",IF(ABS(M1480/ABS(I1480))&gt;=Overview!$B$5,"REVIEW","OK")))</f>
        <v>OK</v>
      </c>
      <c r="P1480" s="31">
        <f t="shared" si="117"/>
        <v>-4962</v>
      </c>
      <c r="Q1480" s="32">
        <f t="shared" si="118"/>
        <v>-7.6489086200517947E-2</v>
      </c>
      <c r="R1480" s="6" t="str">
        <f>IF(ABS(P1480)&lt;Overview!$B$6,"OK",IF(J1480=0,"REVIEW (zero base)",IF(ABS(P1480/ABS(J1480))&gt;=Overview!$B$5,"REVIEW","OK")))</f>
        <v>OK</v>
      </c>
      <c r="S1480" s="33">
        <f t="shared" si="119"/>
        <v>6186.0014799999999</v>
      </c>
    </row>
    <row r="1481" spans="1:19" x14ac:dyDescent="0.2">
      <c r="A1481" s="17">
        <v>1479</v>
      </c>
      <c r="B1481" s="17" t="s">
        <v>171</v>
      </c>
      <c r="C1481" s="17" t="s">
        <v>338</v>
      </c>
      <c r="D1481" s="17" t="s">
        <v>60</v>
      </c>
      <c r="E1481" s="17" t="s">
        <v>86</v>
      </c>
      <c r="F1481" s="17" t="s">
        <v>341</v>
      </c>
      <c r="G1481" s="17" t="s">
        <v>342</v>
      </c>
      <c r="H1481" s="30">
        <v>27086</v>
      </c>
      <c r="I1481" s="30">
        <v>23926</v>
      </c>
      <c r="J1481" s="30">
        <v>28536</v>
      </c>
      <c r="K1481" s="30">
        <v>28536</v>
      </c>
      <c r="L1481" s="30">
        <v>28536</v>
      </c>
      <c r="M1481" s="31">
        <f t="shared" si="115"/>
        <v>4610</v>
      </c>
      <c r="N1481" s="32">
        <f t="shared" si="116"/>
        <v>0.19267742205132493</v>
      </c>
      <c r="O1481" s="6" t="str">
        <f>IF(ABS(M1481)&lt;Overview!$B$6,"OK",IF(I1481=0,"REVIEW (zero base)",IF(ABS(M1481/ABS(I1481))&gt;=Overview!$B$5,"REVIEW","OK")))</f>
        <v>OK</v>
      </c>
      <c r="P1481" s="31">
        <f t="shared" si="117"/>
        <v>0</v>
      </c>
      <c r="Q1481" s="32">
        <f t="shared" si="118"/>
        <v>0</v>
      </c>
      <c r="R1481" s="6" t="str">
        <f>IF(ABS(P1481)&lt;Overview!$B$6,"OK",IF(J1481=0,"REVIEW (zero base)",IF(ABS(P1481/ABS(J1481))&gt;=Overview!$B$5,"REVIEW","OK")))</f>
        <v>OK</v>
      </c>
      <c r="S1481" s="33">
        <f t="shared" si="119"/>
        <v>4610.0014810000002</v>
      </c>
    </row>
    <row r="1482" spans="1:19" x14ac:dyDescent="0.2">
      <c r="A1482" s="17">
        <v>1480</v>
      </c>
      <c r="B1482" s="17" t="s">
        <v>171</v>
      </c>
      <c r="C1482" s="17" t="s">
        <v>338</v>
      </c>
      <c r="D1482" s="17" t="s">
        <v>60</v>
      </c>
      <c r="E1482" s="17" t="s">
        <v>86</v>
      </c>
      <c r="F1482" s="17" t="s">
        <v>341</v>
      </c>
      <c r="G1482" s="17" t="s">
        <v>406</v>
      </c>
      <c r="H1482" s="30">
        <v>2000</v>
      </c>
      <c r="I1482" s="30">
        <v>2000</v>
      </c>
      <c r="J1482" s="30">
        <v>0</v>
      </c>
      <c r="K1482" s="30">
        <v>0</v>
      </c>
      <c r="L1482" s="30">
        <v>0</v>
      </c>
      <c r="M1482" s="31">
        <f t="shared" si="115"/>
        <v>-2000</v>
      </c>
      <c r="N1482" s="32">
        <f t="shared" si="116"/>
        <v>-1</v>
      </c>
      <c r="O1482" s="6" t="str">
        <f>IF(ABS(M1482)&lt;Overview!$B$6,"OK",IF(I1482=0,"REVIEW (zero base)",IF(ABS(M1482/ABS(I1482))&gt;=Overview!$B$5,"REVIEW","OK")))</f>
        <v>OK</v>
      </c>
      <c r="P1482" s="31">
        <f t="shared" si="117"/>
        <v>0</v>
      </c>
      <c r="Q1482" s="32" t="str">
        <f t="shared" si="118"/>
        <v>n/a</v>
      </c>
      <c r="R1482" s="6" t="str">
        <f>IF(ABS(P1482)&lt;Overview!$B$6,"OK",IF(J1482=0,"REVIEW (zero base)",IF(ABS(P1482/ABS(J1482))&gt;=Overview!$B$5,"REVIEW","OK")))</f>
        <v>OK</v>
      </c>
      <c r="S1482" s="33">
        <f t="shared" si="119"/>
        <v>2000.0014819999999</v>
      </c>
    </row>
    <row r="1483" spans="1:19" x14ac:dyDescent="0.2">
      <c r="A1483" s="17">
        <v>1481</v>
      </c>
      <c r="B1483" s="17" t="s">
        <v>171</v>
      </c>
      <c r="C1483" s="17" t="s">
        <v>338</v>
      </c>
      <c r="D1483" s="17" t="s">
        <v>60</v>
      </c>
      <c r="E1483" s="17" t="s">
        <v>86</v>
      </c>
      <c r="F1483" s="17" t="s">
        <v>341</v>
      </c>
      <c r="G1483" s="17" t="s">
        <v>375</v>
      </c>
      <c r="H1483" s="30">
        <v>23358</v>
      </c>
      <c r="I1483" s="30">
        <v>27200</v>
      </c>
      <c r="J1483" s="30">
        <v>27300</v>
      </c>
      <c r="K1483" s="30">
        <v>27300</v>
      </c>
      <c r="L1483" s="30">
        <v>27300</v>
      </c>
      <c r="M1483" s="31">
        <f t="shared" si="115"/>
        <v>100</v>
      </c>
      <c r="N1483" s="32">
        <f t="shared" si="116"/>
        <v>3.6764705882352941E-3</v>
      </c>
      <c r="O1483" s="6" t="str">
        <f>IF(ABS(M1483)&lt;Overview!$B$6,"OK",IF(I1483=0,"REVIEW (zero base)",IF(ABS(M1483/ABS(I1483))&gt;=Overview!$B$5,"REVIEW","OK")))</f>
        <v>OK</v>
      </c>
      <c r="P1483" s="31">
        <f t="shared" si="117"/>
        <v>0</v>
      </c>
      <c r="Q1483" s="32">
        <f t="shared" si="118"/>
        <v>0</v>
      </c>
      <c r="R1483" s="6" t="str">
        <f>IF(ABS(P1483)&lt;Overview!$B$6,"OK",IF(J1483=0,"REVIEW (zero base)",IF(ABS(P1483/ABS(J1483))&gt;=Overview!$B$5,"REVIEW","OK")))</f>
        <v>OK</v>
      </c>
      <c r="S1483" s="33">
        <f t="shared" si="119"/>
        <v>100.00148299999999</v>
      </c>
    </row>
    <row r="1484" spans="1:19" x14ac:dyDescent="0.2">
      <c r="A1484" s="17">
        <v>1482</v>
      </c>
      <c r="B1484" s="17" t="s">
        <v>171</v>
      </c>
      <c r="C1484" s="17" t="s">
        <v>338</v>
      </c>
      <c r="D1484" s="17" t="s">
        <v>60</v>
      </c>
      <c r="E1484" s="17" t="s">
        <v>86</v>
      </c>
      <c r="F1484" s="17" t="s">
        <v>341</v>
      </c>
      <c r="G1484" s="17" t="s">
        <v>376</v>
      </c>
      <c r="H1484" s="30">
        <v>688816</v>
      </c>
      <c r="I1484" s="30">
        <v>749450</v>
      </c>
      <c r="J1484" s="30">
        <v>621156</v>
      </c>
      <c r="K1484" s="30">
        <v>780912</v>
      </c>
      <c r="L1484" s="30">
        <v>821754</v>
      </c>
      <c r="M1484" s="31">
        <f t="shared" si="115"/>
        <v>-128294</v>
      </c>
      <c r="N1484" s="32">
        <f t="shared" si="116"/>
        <v>-0.17118420174794849</v>
      </c>
      <c r="O1484" s="6" t="str">
        <f>IF(ABS(M1484)&lt;Overview!$B$6,"OK",IF(I1484=0,"REVIEW (zero base)",IF(ABS(M1484/ABS(I1484))&gt;=Overview!$B$5,"REVIEW","OK")))</f>
        <v>OK</v>
      </c>
      <c r="P1484" s="31">
        <f t="shared" si="117"/>
        <v>159756</v>
      </c>
      <c r="Q1484" s="32">
        <f t="shared" si="118"/>
        <v>0.2571914301721307</v>
      </c>
      <c r="R1484" s="6" t="str">
        <f>IF(ABS(P1484)&lt;Overview!$B$6,"OK",IF(J1484=0,"REVIEW (zero base)",IF(ABS(P1484/ABS(J1484))&gt;=Overview!$B$5,"REVIEW","OK")))</f>
        <v>OK</v>
      </c>
      <c r="S1484" s="33">
        <f t="shared" si="119"/>
        <v>128294.00148399999</v>
      </c>
    </row>
    <row r="1485" spans="1:19" x14ac:dyDescent="0.2">
      <c r="A1485" s="17">
        <v>1483</v>
      </c>
      <c r="B1485" s="17" t="s">
        <v>171</v>
      </c>
      <c r="C1485" s="17" t="s">
        <v>338</v>
      </c>
      <c r="D1485" s="17" t="s">
        <v>60</v>
      </c>
      <c r="E1485" s="17" t="s">
        <v>86</v>
      </c>
      <c r="F1485" s="17" t="s">
        <v>341</v>
      </c>
      <c r="G1485" s="17" t="s">
        <v>343</v>
      </c>
      <c r="H1485" s="30">
        <v>176951</v>
      </c>
      <c r="I1485" s="30">
        <v>189562</v>
      </c>
      <c r="J1485" s="30">
        <v>209160</v>
      </c>
      <c r="K1485" s="30">
        <v>205026</v>
      </c>
      <c r="L1485" s="30">
        <v>207076</v>
      </c>
      <c r="M1485" s="31">
        <f t="shared" si="115"/>
        <v>19598</v>
      </c>
      <c r="N1485" s="32">
        <f t="shared" si="116"/>
        <v>0.10338569966554478</v>
      </c>
      <c r="O1485" s="6" t="str">
        <f>IF(ABS(M1485)&lt;Overview!$B$6,"OK",IF(I1485=0,"REVIEW (zero base)",IF(ABS(M1485/ABS(I1485))&gt;=Overview!$B$5,"REVIEW","OK")))</f>
        <v>OK</v>
      </c>
      <c r="P1485" s="31">
        <f t="shared" si="117"/>
        <v>-4134</v>
      </c>
      <c r="Q1485" s="32">
        <f t="shared" si="118"/>
        <v>-1.9764773379231212E-2</v>
      </c>
      <c r="R1485" s="6" t="str">
        <f>IF(ABS(P1485)&lt;Overview!$B$6,"OK",IF(J1485=0,"REVIEW (zero base)",IF(ABS(P1485/ABS(J1485))&gt;=Overview!$B$5,"REVIEW","OK")))</f>
        <v>OK</v>
      </c>
      <c r="S1485" s="33">
        <f t="shared" si="119"/>
        <v>19598.001485000001</v>
      </c>
    </row>
    <row r="1486" spans="1:19" x14ac:dyDescent="0.2">
      <c r="A1486" s="17">
        <v>1484</v>
      </c>
      <c r="B1486" s="17" t="s">
        <v>171</v>
      </c>
      <c r="C1486" s="17" t="s">
        <v>338</v>
      </c>
      <c r="D1486" s="17" t="s">
        <v>60</v>
      </c>
      <c r="E1486" s="17" t="s">
        <v>86</v>
      </c>
      <c r="F1486" s="17" t="s">
        <v>341</v>
      </c>
      <c r="G1486" s="17" t="s">
        <v>439</v>
      </c>
      <c r="H1486" s="30">
        <v>0</v>
      </c>
      <c r="I1486" s="30">
        <v>0</v>
      </c>
      <c r="J1486" s="30">
        <v>0</v>
      </c>
      <c r="K1486" s="30">
        <v>0</v>
      </c>
      <c r="L1486" s="30">
        <v>0</v>
      </c>
      <c r="M1486" s="31">
        <f t="shared" si="115"/>
        <v>0</v>
      </c>
      <c r="N1486" s="32" t="str">
        <f t="shared" si="116"/>
        <v>n/a</v>
      </c>
      <c r="O1486" s="6" t="str">
        <f>IF(ABS(M1486)&lt;Overview!$B$6,"OK",IF(I1486=0,"REVIEW (zero base)",IF(ABS(M1486/ABS(I1486))&gt;=Overview!$B$5,"REVIEW","OK")))</f>
        <v>OK</v>
      </c>
      <c r="P1486" s="31">
        <f t="shared" si="117"/>
        <v>0</v>
      </c>
      <c r="Q1486" s="32" t="str">
        <f t="shared" si="118"/>
        <v>n/a</v>
      </c>
      <c r="R1486" s="6" t="str">
        <f>IF(ABS(P1486)&lt;Overview!$B$6,"OK",IF(J1486=0,"REVIEW (zero base)",IF(ABS(P1486/ABS(J1486))&gt;=Overview!$B$5,"REVIEW","OK")))</f>
        <v>OK</v>
      </c>
      <c r="S1486" s="33">
        <f t="shared" si="119"/>
        <v>1.4859999999999999E-3</v>
      </c>
    </row>
    <row r="1487" spans="1:19" x14ac:dyDescent="0.2">
      <c r="A1487" s="17">
        <v>1485</v>
      </c>
      <c r="B1487" s="17" t="s">
        <v>171</v>
      </c>
      <c r="C1487" s="17" t="s">
        <v>338</v>
      </c>
      <c r="D1487" s="17" t="s">
        <v>60</v>
      </c>
      <c r="E1487" s="17" t="s">
        <v>86</v>
      </c>
      <c r="F1487" s="17" t="s">
        <v>341</v>
      </c>
      <c r="G1487" s="17" t="s">
        <v>396</v>
      </c>
      <c r="H1487" s="30">
        <v>4518</v>
      </c>
      <c r="I1487" s="30">
        <v>3389</v>
      </c>
      <c r="J1487" s="30">
        <v>4524</v>
      </c>
      <c r="K1487" s="30">
        <v>4517</v>
      </c>
      <c r="L1487" s="30">
        <v>4517</v>
      </c>
      <c r="M1487" s="31">
        <f t="shared" si="115"/>
        <v>1135</v>
      </c>
      <c r="N1487" s="32">
        <f t="shared" si="116"/>
        <v>0.33490705222779582</v>
      </c>
      <c r="O1487" s="6" t="str">
        <f>IF(ABS(M1487)&lt;Overview!$B$6,"OK",IF(I1487=0,"REVIEW (zero base)",IF(ABS(M1487/ABS(I1487))&gt;=Overview!$B$5,"REVIEW","OK")))</f>
        <v>OK</v>
      </c>
      <c r="P1487" s="31">
        <f t="shared" si="117"/>
        <v>-7</v>
      </c>
      <c r="Q1487" s="32">
        <f t="shared" si="118"/>
        <v>-1.5473032714412025E-3</v>
      </c>
      <c r="R1487" s="6" t="str">
        <f>IF(ABS(P1487)&lt;Overview!$B$6,"OK",IF(J1487=0,"REVIEW (zero base)",IF(ABS(P1487/ABS(J1487))&gt;=Overview!$B$5,"REVIEW","OK")))</f>
        <v>OK</v>
      </c>
      <c r="S1487" s="33">
        <f t="shared" si="119"/>
        <v>1135.001487</v>
      </c>
    </row>
    <row r="1488" spans="1:19" x14ac:dyDescent="0.2">
      <c r="A1488" s="17">
        <v>1486</v>
      </c>
      <c r="B1488" s="17" t="s">
        <v>171</v>
      </c>
      <c r="C1488" s="17" t="s">
        <v>338</v>
      </c>
      <c r="D1488" s="17" t="s">
        <v>60</v>
      </c>
      <c r="E1488" s="17" t="s">
        <v>86</v>
      </c>
      <c r="F1488" s="17" t="s">
        <v>341</v>
      </c>
      <c r="G1488" s="17" t="s">
        <v>378</v>
      </c>
      <c r="H1488" s="30">
        <v>19232</v>
      </c>
      <c r="I1488" s="30">
        <v>20530</v>
      </c>
      <c r="J1488" s="30">
        <v>20642</v>
      </c>
      <c r="K1488" s="30">
        <v>21840</v>
      </c>
      <c r="L1488" s="30">
        <v>22808</v>
      </c>
      <c r="M1488" s="31">
        <f t="shared" si="115"/>
        <v>112</v>
      </c>
      <c r="N1488" s="32">
        <f t="shared" si="116"/>
        <v>5.4554310764734536E-3</v>
      </c>
      <c r="O1488" s="6" t="str">
        <f>IF(ABS(M1488)&lt;Overview!$B$6,"OK",IF(I1488=0,"REVIEW (zero base)",IF(ABS(M1488/ABS(I1488))&gt;=Overview!$B$5,"REVIEW","OK")))</f>
        <v>OK</v>
      </c>
      <c r="P1488" s="31">
        <f t="shared" si="117"/>
        <v>1198</v>
      </c>
      <c r="Q1488" s="32">
        <f t="shared" si="118"/>
        <v>5.8037011917449859E-2</v>
      </c>
      <c r="R1488" s="6" t="str">
        <f>IF(ABS(P1488)&lt;Overview!$B$6,"OK",IF(J1488=0,"REVIEW (zero base)",IF(ABS(P1488/ABS(J1488))&gt;=Overview!$B$5,"REVIEW","OK")))</f>
        <v>OK</v>
      </c>
      <c r="S1488" s="33">
        <f t="shared" si="119"/>
        <v>112.00148799999999</v>
      </c>
    </row>
    <row r="1489" spans="1:19" x14ac:dyDescent="0.2">
      <c r="A1489" s="17">
        <v>1487</v>
      </c>
      <c r="B1489" s="17" t="s">
        <v>171</v>
      </c>
      <c r="C1489" s="17" t="s">
        <v>338</v>
      </c>
      <c r="D1489" s="17" t="s">
        <v>60</v>
      </c>
      <c r="E1489" s="17" t="s">
        <v>86</v>
      </c>
      <c r="F1489" s="17" t="s">
        <v>341</v>
      </c>
      <c r="G1489" s="17" t="s">
        <v>344</v>
      </c>
      <c r="H1489" s="30">
        <v>400989</v>
      </c>
      <c r="I1489" s="30">
        <v>356322</v>
      </c>
      <c r="J1489" s="30">
        <v>448557</v>
      </c>
      <c r="K1489" s="30">
        <v>524076</v>
      </c>
      <c r="L1489" s="30">
        <v>534558</v>
      </c>
      <c r="M1489" s="31">
        <f t="shared" si="115"/>
        <v>92235</v>
      </c>
      <c r="N1489" s="32">
        <f t="shared" si="116"/>
        <v>0.25885294761479782</v>
      </c>
      <c r="O1489" s="6" t="str">
        <f>IF(ABS(M1489)&lt;Overview!$B$6,"OK",IF(I1489=0,"REVIEW (zero base)",IF(ABS(M1489/ABS(I1489))&gt;=Overview!$B$5,"REVIEW","OK")))</f>
        <v>OK</v>
      </c>
      <c r="P1489" s="31">
        <f t="shared" si="117"/>
        <v>75519</v>
      </c>
      <c r="Q1489" s="32">
        <f t="shared" si="118"/>
        <v>0.16835987399594701</v>
      </c>
      <c r="R1489" s="6" t="str">
        <f>IF(ABS(P1489)&lt;Overview!$B$6,"OK",IF(J1489=0,"REVIEW (zero base)",IF(ABS(P1489/ABS(J1489))&gt;=Overview!$B$5,"REVIEW","OK")))</f>
        <v>OK</v>
      </c>
      <c r="S1489" s="33">
        <f t="shared" si="119"/>
        <v>92235.001489000002</v>
      </c>
    </row>
    <row r="1490" spans="1:19" x14ac:dyDescent="0.2">
      <c r="A1490" s="17">
        <v>1488</v>
      </c>
      <c r="B1490" s="17" t="s">
        <v>171</v>
      </c>
      <c r="C1490" s="17" t="s">
        <v>338</v>
      </c>
      <c r="D1490" s="17" t="s">
        <v>60</v>
      </c>
      <c r="E1490" s="17" t="s">
        <v>86</v>
      </c>
      <c r="F1490" s="17" t="s">
        <v>364</v>
      </c>
      <c r="G1490" s="17" t="s">
        <v>379</v>
      </c>
      <c r="H1490" s="30">
        <v>1237214</v>
      </c>
      <c r="I1490" s="30">
        <v>1174518</v>
      </c>
      <c r="J1490" s="30">
        <v>1350000</v>
      </c>
      <c r="K1490" s="30">
        <v>1162000</v>
      </c>
      <c r="L1490" s="30">
        <v>1170134</v>
      </c>
      <c r="M1490" s="31">
        <f t="shared" si="115"/>
        <v>175482</v>
      </c>
      <c r="N1490" s="32">
        <f t="shared" si="116"/>
        <v>0.14940767191307414</v>
      </c>
      <c r="O1490" s="6" t="str">
        <f>IF(ABS(M1490)&lt;Overview!$B$6,"OK",IF(I1490=0,"REVIEW (zero base)",IF(ABS(M1490/ABS(I1490))&gt;=Overview!$B$5,"REVIEW","OK")))</f>
        <v>OK</v>
      </c>
      <c r="P1490" s="31">
        <f t="shared" si="117"/>
        <v>-188000</v>
      </c>
      <c r="Q1490" s="32">
        <f t="shared" si="118"/>
        <v>-0.13925925925925925</v>
      </c>
      <c r="R1490" s="6" t="str">
        <f>IF(ABS(P1490)&lt;Overview!$B$6,"OK",IF(J1490=0,"REVIEW (zero base)",IF(ABS(P1490/ABS(J1490))&gt;=Overview!$B$5,"REVIEW","OK")))</f>
        <v>OK</v>
      </c>
      <c r="S1490" s="33">
        <f t="shared" si="119"/>
        <v>175482.00149</v>
      </c>
    </row>
    <row r="1491" spans="1:19" x14ac:dyDescent="0.2">
      <c r="A1491" s="17">
        <v>1489</v>
      </c>
      <c r="B1491" s="17" t="s">
        <v>171</v>
      </c>
      <c r="C1491" s="17" t="s">
        <v>338</v>
      </c>
      <c r="D1491" s="17" t="s">
        <v>60</v>
      </c>
      <c r="E1491" s="17" t="s">
        <v>86</v>
      </c>
      <c r="F1491" s="17" t="s">
        <v>364</v>
      </c>
      <c r="G1491" s="17" t="s">
        <v>383</v>
      </c>
      <c r="H1491" s="30">
        <v>4474</v>
      </c>
      <c r="I1491" s="30">
        <v>2687</v>
      </c>
      <c r="J1491" s="30">
        <v>3300</v>
      </c>
      <c r="K1491" s="30">
        <v>3300</v>
      </c>
      <c r="L1491" s="30">
        <v>3300</v>
      </c>
      <c r="M1491" s="31">
        <f t="shared" si="115"/>
        <v>613</v>
      </c>
      <c r="N1491" s="32">
        <f t="shared" si="116"/>
        <v>0.22813546706363974</v>
      </c>
      <c r="O1491" s="6" t="str">
        <f>IF(ABS(M1491)&lt;Overview!$B$6,"OK",IF(I1491=0,"REVIEW (zero base)",IF(ABS(M1491/ABS(I1491))&gt;=Overview!$B$5,"REVIEW","OK")))</f>
        <v>OK</v>
      </c>
      <c r="P1491" s="31">
        <f t="shared" si="117"/>
        <v>0</v>
      </c>
      <c r="Q1491" s="32">
        <f t="shared" si="118"/>
        <v>0</v>
      </c>
      <c r="R1491" s="6" t="str">
        <f>IF(ABS(P1491)&lt;Overview!$B$6,"OK",IF(J1491=0,"REVIEW (zero base)",IF(ABS(P1491/ABS(J1491))&gt;=Overview!$B$5,"REVIEW","OK")))</f>
        <v>OK</v>
      </c>
      <c r="S1491" s="33">
        <f t="shared" si="119"/>
        <v>613.00149099999999</v>
      </c>
    </row>
    <row r="1492" spans="1:19" x14ac:dyDescent="0.2">
      <c r="A1492" s="17">
        <v>1490</v>
      </c>
      <c r="B1492" s="17" t="s">
        <v>171</v>
      </c>
      <c r="C1492" s="17" t="s">
        <v>338</v>
      </c>
      <c r="D1492" s="17" t="s">
        <v>60</v>
      </c>
      <c r="E1492" s="17" t="s">
        <v>86</v>
      </c>
      <c r="F1492" s="17" t="s">
        <v>364</v>
      </c>
      <c r="G1492" s="17" t="s">
        <v>398</v>
      </c>
      <c r="H1492" s="30">
        <v>14006</v>
      </c>
      <c r="I1492" s="30">
        <v>7739</v>
      </c>
      <c r="J1492" s="30">
        <v>12000</v>
      </c>
      <c r="K1492" s="30">
        <v>11471</v>
      </c>
      <c r="L1492" s="30">
        <v>11551</v>
      </c>
      <c r="M1492" s="31">
        <f t="shared" si="115"/>
        <v>4261</v>
      </c>
      <c r="N1492" s="32">
        <f t="shared" si="116"/>
        <v>0.55058793125726835</v>
      </c>
      <c r="O1492" s="6" t="str">
        <f>IF(ABS(M1492)&lt;Overview!$B$6,"OK",IF(I1492=0,"REVIEW (zero base)",IF(ABS(M1492/ABS(I1492))&gt;=Overview!$B$5,"REVIEW","OK")))</f>
        <v>OK</v>
      </c>
      <c r="P1492" s="31">
        <f t="shared" si="117"/>
        <v>-529</v>
      </c>
      <c r="Q1492" s="32">
        <f t="shared" si="118"/>
        <v>-4.4083333333333335E-2</v>
      </c>
      <c r="R1492" s="6" t="str">
        <f>IF(ABS(P1492)&lt;Overview!$B$6,"OK",IF(J1492=0,"REVIEW (zero base)",IF(ABS(P1492/ABS(J1492))&gt;=Overview!$B$5,"REVIEW","OK")))</f>
        <v>OK</v>
      </c>
      <c r="S1492" s="33">
        <f t="shared" si="119"/>
        <v>4261.0014920000003</v>
      </c>
    </row>
    <row r="1493" spans="1:19" x14ac:dyDescent="0.2">
      <c r="A1493" s="17">
        <v>1491</v>
      </c>
      <c r="B1493" s="17" t="s">
        <v>171</v>
      </c>
      <c r="C1493" s="17" t="s">
        <v>338</v>
      </c>
      <c r="D1493" s="17" t="s">
        <v>60</v>
      </c>
      <c r="E1493" s="17" t="s">
        <v>86</v>
      </c>
      <c r="F1493" s="17" t="s">
        <v>364</v>
      </c>
      <c r="G1493" s="17" t="s">
        <v>533</v>
      </c>
      <c r="H1493" s="30">
        <v>1807273</v>
      </c>
      <c r="I1493" s="30">
        <v>1372222</v>
      </c>
      <c r="J1493" s="30">
        <v>800040</v>
      </c>
      <c r="K1493" s="30">
        <v>800400</v>
      </c>
      <c r="L1493" s="30">
        <v>800400</v>
      </c>
      <c r="M1493" s="31">
        <f t="shared" si="115"/>
        <v>-572182</v>
      </c>
      <c r="N1493" s="32">
        <f t="shared" si="116"/>
        <v>-0.41697480436838935</v>
      </c>
      <c r="O1493" s="6" t="str">
        <f>IF(ABS(M1493)&lt;Overview!$B$6,"OK",IF(I1493=0,"REVIEW (zero base)",IF(ABS(M1493/ABS(I1493))&gt;=Overview!$B$5,"REVIEW","OK")))</f>
        <v>REVIEW</v>
      </c>
      <c r="P1493" s="31">
        <f t="shared" si="117"/>
        <v>360</v>
      </c>
      <c r="Q1493" s="32">
        <f t="shared" si="118"/>
        <v>4.4997750112494374E-4</v>
      </c>
      <c r="R1493" s="6" t="str">
        <f>IF(ABS(P1493)&lt;Overview!$B$6,"OK",IF(J1493=0,"REVIEW (zero base)",IF(ABS(P1493/ABS(J1493))&gt;=Overview!$B$5,"REVIEW","OK")))</f>
        <v>OK</v>
      </c>
      <c r="S1493" s="33">
        <f t="shared" si="119"/>
        <v>572182.00149299996</v>
      </c>
    </row>
    <row r="1494" spans="1:19" x14ac:dyDescent="0.2">
      <c r="A1494" s="17">
        <v>1492</v>
      </c>
      <c r="B1494" s="17" t="s">
        <v>171</v>
      </c>
      <c r="C1494" s="17" t="s">
        <v>338</v>
      </c>
      <c r="D1494" s="17" t="s">
        <v>60</v>
      </c>
      <c r="E1494" s="17" t="s">
        <v>86</v>
      </c>
      <c r="F1494" s="17" t="s">
        <v>414</v>
      </c>
      <c r="G1494" s="17" t="s">
        <v>415</v>
      </c>
      <c r="H1494" s="30">
        <v>513</v>
      </c>
      <c r="I1494" s="30">
        <v>2012</v>
      </c>
      <c r="J1494" s="30">
        <v>1000</v>
      </c>
      <c r="K1494" s="30">
        <v>2500</v>
      </c>
      <c r="L1494" s="30">
        <v>2518</v>
      </c>
      <c r="M1494" s="31">
        <f t="shared" si="115"/>
        <v>-1012</v>
      </c>
      <c r="N1494" s="32">
        <f t="shared" si="116"/>
        <v>-0.50298210735586479</v>
      </c>
      <c r="O1494" s="6" t="str">
        <f>IF(ABS(M1494)&lt;Overview!$B$6,"OK",IF(I1494=0,"REVIEW (zero base)",IF(ABS(M1494/ABS(I1494))&gt;=Overview!$B$5,"REVIEW","OK")))</f>
        <v>OK</v>
      </c>
      <c r="P1494" s="31">
        <f t="shared" si="117"/>
        <v>1500</v>
      </c>
      <c r="Q1494" s="32">
        <f t="shared" si="118"/>
        <v>1.5</v>
      </c>
      <c r="R1494" s="6" t="str">
        <f>IF(ABS(P1494)&lt;Overview!$B$6,"OK",IF(J1494=0,"REVIEW (zero base)",IF(ABS(P1494/ABS(J1494))&gt;=Overview!$B$5,"REVIEW","OK")))</f>
        <v>OK</v>
      </c>
      <c r="S1494" s="33">
        <f t="shared" si="119"/>
        <v>1012.001494</v>
      </c>
    </row>
    <row r="1495" spans="1:19" x14ac:dyDescent="0.2">
      <c r="A1495" s="17">
        <v>1493</v>
      </c>
      <c r="B1495" s="17" t="s">
        <v>171</v>
      </c>
      <c r="C1495" s="17" t="s">
        <v>338</v>
      </c>
      <c r="D1495" s="17" t="s">
        <v>60</v>
      </c>
      <c r="E1495" s="17" t="s">
        <v>86</v>
      </c>
      <c r="F1495" s="17" t="s">
        <v>404</v>
      </c>
      <c r="G1495" s="17" t="s">
        <v>405</v>
      </c>
      <c r="H1495" s="30">
        <v>1120</v>
      </c>
      <c r="I1495" s="30">
        <v>728</v>
      </c>
      <c r="J1495" s="30">
        <v>1200</v>
      </c>
      <c r="K1495" s="30">
        <v>1200</v>
      </c>
      <c r="L1495" s="30">
        <v>1208</v>
      </c>
      <c r="M1495" s="31">
        <f t="shared" si="115"/>
        <v>472</v>
      </c>
      <c r="N1495" s="32">
        <f t="shared" si="116"/>
        <v>0.64835164835164838</v>
      </c>
      <c r="O1495" s="6" t="str">
        <f>IF(ABS(M1495)&lt;Overview!$B$6,"OK",IF(I1495=0,"REVIEW (zero base)",IF(ABS(M1495/ABS(I1495))&gt;=Overview!$B$5,"REVIEW","OK")))</f>
        <v>OK</v>
      </c>
      <c r="P1495" s="31">
        <f t="shared" si="117"/>
        <v>0</v>
      </c>
      <c r="Q1495" s="32">
        <f t="shared" si="118"/>
        <v>0</v>
      </c>
      <c r="R1495" s="6" t="str">
        <f>IF(ABS(P1495)&lt;Overview!$B$6,"OK",IF(J1495=0,"REVIEW (zero base)",IF(ABS(P1495/ABS(J1495))&gt;=Overview!$B$5,"REVIEW","OK")))</f>
        <v>OK</v>
      </c>
      <c r="S1495" s="33">
        <f t="shared" si="119"/>
        <v>472.00149499999998</v>
      </c>
    </row>
    <row r="1496" spans="1:19" x14ac:dyDescent="0.2">
      <c r="A1496" s="17">
        <v>1494</v>
      </c>
      <c r="B1496" s="17" t="s">
        <v>171</v>
      </c>
      <c r="C1496" s="17" t="s">
        <v>338</v>
      </c>
      <c r="D1496" s="17" t="s">
        <v>60</v>
      </c>
      <c r="E1496" s="17" t="s">
        <v>86</v>
      </c>
      <c r="F1496" s="17" t="s">
        <v>420</v>
      </c>
      <c r="G1496" s="17" t="s">
        <v>421</v>
      </c>
      <c r="H1496" s="30">
        <v>201082</v>
      </c>
      <c r="I1496" s="30">
        <v>230499</v>
      </c>
      <c r="J1496" s="30">
        <v>236568</v>
      </c>
      <c r="K1496" s="30">
        <v>237454</v>
      </c>
      <c r="L1496" s="30">
        <v>239116</v>
      </c>
      <c r="M1496" s="31">
        <f t="shared" si="115"/>
        <v>6069</v>
      </c>
      <c r="N1496" s="32">
        <f t="shared" si="116"/>
        <v>2.6329832233545482E-2</v>
      </c>
      <c r="O1496" s="6" t="str">
        <f>IF(ABS(M1496)&lt;Overview!$B$6,"OK",IF(I1496=0,"REVIEW (zero base)",IF(ABS(M1496/ABS(I1496))&gt;=Overview!$B$5,"REVIEW","OK")))</f>
        <v>OK</v>
      </c>
      <c r="P1496" s="31">
        <f t="shared" si="117"/>
        <v>886</v>
      </c>
      <c r="Q1496" s="32">
        <f t="shared" si="118"/>
        <v>3.7452233607250347E-3</v>
      </c>
      <c r="R1496" s="6" t="str">
        <f>IF(ABS(P1496)&lt;Overview!$B$6,"OK",IF(J1496=0,"REVIEW (zero base)",IF(ABS(P1496/ABS(J1496))&gt;=Overview!$B$5,"REVIEW","OK")))</f>
        <v>OK</v>
      </c>
      <c r="S1496" s="33">
        <f t="shared" si="119"/>
        <v>6069.0014959999999</v>
      </c>
    </row>
    <row r="1497" spans="1:19" x14ac:dyDescent="0.2">
      <c r="A1497" s="17">
        <v>1495</v>
      </c>
      <c r="B1497" s="17" t="s">
        <v>171</v>
      </c>
      <c r="C1497" s="17" t="s">
        <v>338</v>
      </c>
      <c r="D1497" s="17" t="s">
        <v>60</v>
      </c>
      <c r="E1497" s="17" t="s">
        <v>86</v>
      </c>
      <c r="F1497" s="17" t="s">
        <v>409</v>
      </c>
      <c r="G1497" s="17" t="s">
        <v>532</v>
      </c>
      <c r="H1497" s="30">
        <v>24711</v>
      </c>
      <c r="I1497" s="30">
        <v>15119</v>
      </c>
      <c r="J1497" s="30">
        <v>30000</v>
      </c>
      <c r="K1497" s="30">
        <v>5520</v>
      </c>
      <c r="L1497" s="30">
        <v>5559</v>
      </c>
      <c r="M1497" s="31">
        <f t="shared" si="115"/>
        <v>14881</v>
      </c>
      <c r="N1497" s="32">
        <f t="shared" si="116"/>
        <v>0.98425821813612013</v>
      </c>
      <c r="O1497" s="6" t="str">
        <f>IF(ABS(M1497)&lt;Overview!$B$6,"OK",IF(I1497=0,"REVIEW (zero base)",IF(ABS(M1497/ABS(I1497))&gt;=Overview!$B$5,"REVIEW","OK")))</f>
        <v>OK</v>
      </c>
      <c r="P1497" s="31">
        <f t="shared" si="117"/>
        <v>-24480</v>
      </c>
      <c r="Q1497" s="32">
        <f t="shared" si="118"/>
        <v>-0.81599999999999995</v>
      </c>
      <c r="R1497" s="6" t="str">
        <f>IF(ABS(P1497)&lt;Overview!$B$6,"OK",IF(J1497=0,"REVIEW (zero base)",IF(ABS(P1497/ABS(J1497))&gt;=Overview!$B$5,"REVIEW","OK")))</f>
        <v>OK</v>
      </c>
      <c r="S1497" s="33">
        <f t="shared" si="119"/>
        <v>14881.001496999999</v>
      </c>
    </row>
    <row r="1498" spans="1:19" x14ac:dyDescent="0.2">
      <c r="A1498" s="17">
        <v>1496</v>
      </c>
      <c r="B1498" s="17" t="s">
        <v>171</v>
      </c>
      <c r="C1498" s="17" t="s">
        <v>338</v>
      </c>
      <c r="D1498" s="17" t="s">
        <v>60</v>
      </c>
      <c r="E1498" s="17" t="s">
        <v>86</v>
      </c>
      <c r="F1498" s="17" t="s">
        <v>347</v>
      </c>
      <c r="G1498" s="17" t="s">
        <v>348</v>
      </c>
      <c r="H1498" s="30">
        <v>4710</v>
      </c>
      <c r="I1498" s="30">
        <v>5076</v>
      </c>
      <c r="J1498" s="30">
        <v>4800</v>
      </c>
      <c r="K1498" s="30">
        <v>4800</v>
      </c>
      <c r="L1498" s="30">
        <v>4834</v>
      </c>
      <c r="M1498" s="31">
        <f t="shared" si="115"/>
        <v>-276</v>
      </c>
      <c r="N1498" s="32">
        <f t="shared" si="116"/>
        <v>-5.4373522458628844E-2</v>
      </c>
      <c r="O1498" s="6" t="str">
        <f>IF(ABS(M1498)&lt;Overview!$B$6,"OK",IF(I1498=0,"REVIEW (zero base)",IF(ABS(M1498/ABS(I1498))&gt;=Overview!$B$5,"REVIEW","OK")))</f>
        <v>OK</v>
      </c>
      <c r="P1498" s="31">
        <f t="shared" si="117"/>
        <v>0</v>
      </c>
      <c r="Q1498" s="32">
        <f t="shared" si="118"/>
        <v>0</v>
      </c>
      <c r="R1498" s="6" t="str">
        <f>IF(ABS(P1498)&lt;Overview!$B$6,"OK",IF(J1498=0,"REVIEW (zero base)",IF(ABS(P1498/ABS(J1498))&gt;=Overview!$B$5,"REVIEW","OK")))</f>
        <v>OK</v>
      </c>
      <c r="S1498" s="33">
        <f t="shared" si="119"/>
        <v>276.00149800000003</v>
      </c>
    </row>
    <row r="1499" spans="1:19" x14ac:dyDescent="0.2">
      <c r="A1499" s="17">
        <v>1497</v>
      </c>
      <c r="B1499" s="17" t="s">
        <v>171</v>
      </c>
      <c r="C1499" s="17" t="s">
        <v>338</v>
      </c>
      <c r="D1499" s="17" t="s">
        <v>60</v>
      </c>
      <c r="E1499" s="17" t="s">
        <v>86</v>
      </c>
      <c r="F1499" s="17" t="s">
        <v>386</v>
      </c>
      <c r="G1499" s="17" t="s">
        <v>387</v>
      </c>
      <c r="H1499" s="30">
        <v>5303</v>
      </c>
      <c r="I1499" s="30">
        <v>3812</v>
      </c>
      <c r="J1499" s="30">
        <v>3864</v>
      </c>
      <c r="K1499" s="30">
        <v>3864</v>
      </c>
      <c r="L1499" s="30">
        <v>3891</v>
      </c>
      <c r="M1499" s="31">
        <f t="shared" si="115"/>
        <v>52</v>
      </c>
      <c r="N1499" s="32">
        <f t="shared" si="116"/>
        <v>1.3641133263378805E-2</v>
      </c>
      <c r="O1499" s="6" t="str">
        <f>IF(ABS(M1499)&lt;Overview!$B$6,"OK",IF(I1499=0,"REVIEW (zero base)",IF(ABS(M1499/ABS(I1499))&gt;=Overview!$B$5,"REVIEW","OK")))</f>
        <v>OK</v>
      </c>
      <c r="P1499" s="31">
        <f t="shared" si="117"/>
        <v>0</v>
      </c>
      <c r="Q1499" s="32">
        <f t="shared" si="118"/>
        <v>0</v>
      </c>
      <c r="R1499" s="6" t="str">
        <f>IF(ABS(P1499)&lt;Overview!$B$6,"OK",IF(J1499=0,"REVIEW (zero base)",IF(ABS(P1499/ABS(J1499))&gt;=Overview!$B$5,"REVIEW","OK")))</f>
        <v>OK</v>
      </c>
      <c r="S1499" s="33">
        <f t="shared" si="119"/>
        <v>52.001499000000003</v>
      </c>
    </row>
    <row r="1500" spans="1:19" x14ac:dyDescent="0.2">
      <c r="A1500" s="17">
        <v>1498</v>
      </c>
      <c r="B1500" s="17" t="s">
        <v>171</v>
      </c>
      <c r="C1500" s="17" t="s">
        <v>338</v>
      </c>
      <c r="D1500" s="17" t="s">
        <v>60</v>
      </c>
      <c r="E1500" s="17" t="s">
        <v>86</v>
      </c>
      <c r="F1500" s="17" t="s">
        <v>522</v>
      </c>
      <c r="G1500" s="17" t="s">
        <v>534</v>
      </c>
      <c r="H1500" s="30">
        <v>40780</v>
      </c>
      <c r="I1500" s="30">
        <v>51767</v>
      </c>
      <c r="J1500" s="30">
        <v>48000</v>
      </c>
      <c r="K1500" s="30">
        <v>48000</v>
      </c>
      <c r="L1500" s="30">
        <v>48336</v>
      </c>
      <c r="M1500" s="31">
        <f t="shared" si="115"/>
        <v>-3767</v>
      </c>
      <c r="N1500" s="32">
        <f t="shared" si="116"/>
        <v>-7.2768365947418243E-2</v>
      </c>
      <c r="O1500" s="6" t="str">
        <f>IF(ABS(M1500)&lt;Overview!$B$6,"OK",IF(I1500=0,"REVIEW (zero base)",IF(ABS(M1500/ABS(I1500))&gt;=Overview!$B$5,"REVIEW","OK")))</f>
        <v>OK</v>
      </c>
      <c r="P1500" s="31">
        <f t="shared" si="117"/>
        <v>0</v>
      </c>
      <c r="Q1500" s="32">
        <f t="shared" si="118"/>
        <v>0</v>
      </c>
      <c r="R1500" s="6" t="str">
        <f>IF(ABS(P1500)&lt;Overview!$B$6,"OK",IF(J1500=0,"REVIEW (zero base)",IF(ABS(P1500/ABS(J1500))&gt;=Overview!$B$5,"REVIEW","OK")))</f>
        <v>OK</v>
      </c>
      <c r="S1500" s="33">
        <f t="shared" si="119"/>
        <v>3767.0014999999999</v>
      </c>
    </row>
    <row r="1501" spans="1:19" x14ac:dyDescent="0.2">
      <c r="A1501" s="17">
        <v>1499</v>
      </c>
      <c r="B1501" s="17" t="s">
        <v>171</v>
      </c>
      <c r="C1501" s="17" t="s">
        <v>338</v>
      </c>
      <c r="D1501" s="17" t="s">
        <v>66</v>
      </c>
      <c r="E1501" s="17" t="s">
        <v>92</v>
      </c>
      <c r="F1501" s="17" t="s">
        <v>339</v>
      </c>
      <c r="G1501" s="17" t="s">
        <v>340</v>
      </c>
      <c r="H1501" s="30">
        <v>1673814</v>
      </c>
      <c r="I1501" s="30">
        <v>1853395</v>
      </c>
      <c r="J1501" s="30">
        <v>2087096</v>
      </c>
      <c r="K1501" s="30">
        <v>2485954</v>
      </c>
      <c r="L1501" s="30">
        <v>2510814</v>
      </c>
      <c r="M1501" s="31">
        <f t="shared" si="115"/>
        <v>233701</v>
      </c>
      <c r="N1501" s="32">
        <f t="shared" si="116"/>
        <v>0.12609346631452012</v>
      </c>
      <c r="O1501" s="6" t="str">
        <f>IF(ABS(M1501)&lt;Overview!$B$6,"OK",IF(I1501=0,"REVIEW (zero base)",IF(ABS(M1501/ABS(I1501))&gt;=Overview!$B$5,"REVIEW","OK")))</f>
        <v>OK</v>
      </c>
      <c r="P1501" s="31">
        <f t="shared" si="117"/>
        <v>398858</v>
      </c>
      <c r="Q1501" s="32">
        <f t="shared" si="118"/>
        <v>0.19110668603648323</v>
      </c>
      <c r="R1501" s="6" t="str">
        <f>IF(ABS(P1501)&lt;Overview!$B$6,"OK",IF(J1501=0,"REVIEW (zero base)",IF(ABS(P1501/ABS(J1501))&gt;=Overview!$B$5,"REVIEW","OK")))</f>
        <v>REVIEW</v>
      </c>
      <c r="S1501" s="33">
        <f t="shared" si="119"/>
        <v>233701.00150099999</v>
      </c>
    </row>
    <row r="1502" spans="1:19" x14ac:dyDescent="0.2">
      <c r="A1502" s="17">
        <v>1500</v>
      </c>
      <c r="B1502" s="17" t="s">
        <v>171</v>
      </c>
      <c r="C1502" s="17" t="s">
        <v>338</v>
      </c>
      <c r="D1502" s="17" t="s">
        <v>66</v>
      </c>
      <c r="E1502" s="17" t="s">
        <v>92</v>
      </c>
      <c r="F1502" s="17" t="s">
        <v>339</v>
      </c>
      <c r="G1502" s="17" t="s">
        <v>389</v>
      </c>
      <c r="H1502" s="30">
        <v>1400</v>
      </c>
      <c r="I1502" s="30">
        <v>260</v>
      </c>
      <c r="J1502" s="30">
        <v>11000</v>
      </c>
      <c r="K1502" s="30">
        <v>11000</v>
      </c>
      <c r="L1502" s="30">
        <v>11000</v>
      </c>
      <c r="M1502" s="31">
        <f t="shared" si="115"/>
        <v>10740</v>
      </c>
      <c r="N1502" s="32">
        <f t="shared" si="116"/>
        <v>41.307692307692307</v>
      </c>
      <c r="O1502" s="6" t="str">
        <f>IF(ABS(M1502)&lt;Overview!$B$6,"OK",IF(I1502=0,"REVIEW (zero base)",IF(ABS(M1502/ABS(I1502))&gt;=Overview!$B$5,"REVIEW","OK")))</f>
        <v>OK</v>
      </c>
      <c r="P1502" s="31">
        <f t="shared" si="117"/>
        <v>0</v>
      </c>
      <c r="Q1502" s="32">
        <f t="shared" si="118"/>
        <v>0</v>
      </c>
      <c r="R1502" s="6" t="str">
        <f>IF(ABS(P1502)&lt;Overview!$B$6,"OK",IF(J1502=0,"REVIEW (zero base)",IF(ABS(P1502/ABS(J1502))&gt;=Overview!$B$5,"REVIEW","OK")))</f>
        <v>OK</v>
      </c>
      <c r="S1502" s="33">
        <f t="shared" si="119"/>
        <v>10740.001501999999</v>
      </c>
    </row>
    <row r="1503" spans="1:19" x14ac:dyDescent="0.2">
      <c r="A1503" s="17">
        <v>1501</v>
      </c>
      <c r="B1503" s="17" t="s">
        <v>171</v>
      </c>
      <c r="C1503" s="17" t="s">
        <v>338</v>
      </c>
      <c r="D1503" s="17" t="s">
        <v>66</v>
      </c>
      <c r="E1503" s="17" t="s">
        <v>92</v>
      </c>
      <c r="F1503" s="17" t="s">
        <v>339</v>
      </c>
      <c r="G1503" s="17" t="s">
        <v>390</v>
      </c>
      <c r="H1503" s="30">
        <v>0</v>
      </c>
      <c r="I1503" s="30">
        <v>0</v>
      </c>
      <c r="J1503" s="30">
        <v>0</v>
      </c>
      <c r="K1503" s="30">
        <v>0</v>
      </c>
      <c r="L1503" s="30">
        <v>0</v>
      </c>
      <c r="M1503" s="31">
        <f t="shared" si="115"/>
        <v>0</v>
      </c>
      <c r="N1503" s="32" t="str">
        <f t="shared" si="116"/>
        <v>n/a</v>
      </c>
      <c r="O1503" s="6" t="str">
        <f>IF(ABS(M1503)&lt;Overview!$B$6,"OK",IF(I1503=0,"REVIEW (zero base)",IF(ABS(M1503/ABS(I1503))&gt;=Overview!$B$5,"REVIEW","OK")))</f>
        <v>OK</v>
      </c>
      <c r="P1503" s="31">
        <f t="shared" si="117"/>
        <v>0</v>
      </c>
      <c r="Q1503" s="32" t="str">
        <f t="shared" si="118"/>
        <v>n/a</v>
      </c>
      <c r="R1503" s="6" t="str">
        <f>IF(ABS(P1503)&lt;Overview!$B$6,"OK",IF(J1503=0,"REVIEW (zero base)",IF(ABS(P1503/ABS(J1503))&gt;=Overview!$B$5,"REVIEW","OK")))</f>
        <v>OK</v>
      </c>
      <c r="S1503" s="33">
        <f t="shared" si="119"/>
        <v>1.503E-3</v>
      </c>
    </row>
    <row r="1504" spans="1:19" x14ac:dyDescent="0.2">
      <c r="A1504" s="17">
        <v>1502</v>
      </c>
      <c r="B1504" s="17" t="s">
        <v>171</v>
      </c>
      <c r="C1504" s="17" t="s">
        <v>338</v>
      </c>
      <c r="D1504" s="17" t="s">
        <v>66</v>
      </c>
      <c r="E1504" s="17" t="s">
        <v>92</v>
      </c>
      <c r="F1504" s="17" t="s">
        <v>339</v>
      </c>
      <c r="G1504" s="17" t="s">
        <v>391</v>
      </c>
      <c r="H1504" s="30">
        <v>42448</v>
      </c>
      <c r="I1504" s="30">
        <v>39520</v>
      </c>
      <c r="J1504" s="30">
        <v>0</v>
      </c>
      <c r="K1504" s="30">
        <v>0</v>
      </c>
      <c r="L1504" s="30">
        <v>0</v>
      </c>
      <c r="M1504" s="31">
        <f t="shared" si="115"/>
        <v>-39520</v>
      </c>
      <c r="N1504" s="32">
        <f t="shared" si="116"/>
        <v>-1</v>
      </c>
      <c r="O1504" s="6" t="str">
        <f>IF(ABS(M1504)&lt;Overview!$B$6,"OK",IF(I1504=0,"REVIEW (zero base)",IF(ABS(M1504/ABS(I1504))&gt;=Overview!$B$5,"REVIEW","OK")))</f>
        <v>OK</v>
      </c>
      <c r="P1504" s="31">
        <f t="shared" si="117"/>
        <v>0</v>
      </c>
      <c r="Q1504" s="32" t="str">
        <f t="shared" si="118"/>
        <v>n/a</v>
      </c>
      <c r="R1504" s="6" t="str">
        <f>IF(ABS(P1504)&lt;Overview!$B$6,"OK",IF(J1504=0,"REVIEW (zero base)",IF(ABS(P1504/ABS(J1504))&gt;=Overview!$B$5,"REVIEW","OK")))</f>
        <v>OK</v>
      </c>
      <c r="S1504" s="33">
        <f t="shared" si="119"/>
        <v>39520.001504</v>
      </c>
    </row>
    <row r="1505" spans="1:19" x14ac:dyDescent="0.2">
      <c r="A1505" s="17">
        <v>1503</v>
      </c>
      <c r="B1505" s="17" t="s">
        <v>171</v>
      </c>
      <c r="C1505" s="17" t="s">
        <v>338</v>
      </c>
      <c r="D1505" s="17" t="s">
        <v>66</v>
      </c>
      <c r="E1505" s="17" t="s">
        <v>92</v>
      </c>
      <c r="F1505" s="17" t="s">
        <v>339</v>
      </c>
      <c r="G1505" s="17" t="s">
        <v>392</v>
      </c>
      <c r="H1505" s="30">
        <v>51546</v>
      </c>
      <c r="I1505" s="30">
        <v>69298</v>
      </c>
      <c r="J1505" s="30">
        <v>0</v>
      </c>
      <c r="K1505" s="30">
        <v>0</v>
      </c>
      <c r="L1505" s="30">
        <v>0</v>
      </c>
      <c r="M1505" s="31">
        <f t="shared" si="115"/>
        <v>-69298</v>
      </c>
      <c r="N1505" s="32">
        <f t="shared" si="116"/>
        <v>-1</v>
      </c>
      <c r="O1505" s="6" t="str">
        <f>IF(ABS(M1505)&lt;Overview!$B$6,"OK",IF(I1505=0,"REVIEW (zero base)",IF(ABS(M1505/ABS(I1505))&gt;=Overview!$B$5,"REVIEW","OK")))</f>
        <v>OK</v>
      </c>
      <c r="P1505" s="31">
        <f t="shared" si="117"/>
        <v>0</v>
      </c>
      <c r="Q1505" s="32" t="str">
        <f t="shared" si="118"/>
        <v>n/a</v>
      </c>
      <c r="R1505" s="6" t="str">
        <f>IF(ABS(P1505)&lt;Overview!$B$6,"OK",IF(J1505=0,"REVIEW (zero base)",IF(ABS(P1505/ABS(J1505))&gt;=Overview!$B$5,"REVIEW","OK")))</f>
        <v>OK</v>
      </c>
      <c r="S1505" s="33">
        <f t="shared" si="119"/>
        <v>69298.001504999993</v>
      </c>
    </row>
    <row r="1506" spans="1:19" x14ac:dyDescent="0.2">
      <c r="A1506" s="17">
        <v>1504</v>
      </c>
      <c r="B1506" s="17" t="s">
        <v>171</v>
      </c>
      <c r="C1506" s="17" t="s">
        <v>338</v>
      </c>
      <c r="D1506" s="17" t="s">
        <v>66</v>
      </c>
      <c r="E1506" s="17" t="s">
        <v>92</v>
      </c>
      <c r="F1506" s="17" t="s">
        <v>339</v>
      </c>
      <c r="G1506" s="17" t="s">
        <v>394</v>
      </c>
      <c r="H1506" s="30">
        <v>122652</v>
      </c>
      <c r="I1506" s="30">
        <v>120954</v>
      </c>
      <c r="J1506" s="30">
        <v>0</v>
      </c>
      <c r="K1506" s="30">
        <v>0</v>
      </c>
      <c r="L1506" s="30">
        <v>0</v>
      </c>
      <c r="M1506" s="31">
        <f t="shared" si="115"/>
        <v>-120954</v>
      </c>
      <c r="N1506" s="32">
        <f t="shared" si="116"/>
        <v>-1</v>
      </c>
      <c r="O1506" s="6" t="str">
        <f>IF(ABS(M1506)&lt;Overview!$B$6,"OK",IF(I1506=0,"REVIEW (zero base)",IF(ABS(M1506/ABS(I1506))&gt;=Overview!$B$5,"REVIEW","OK")))</f>
        <v>OK</v>
      </c>
      <c r="P1506" s="31">
        <f t="shared" si="117"/>
        <v>0</v>
      </c>
      <c r="Q1506" s="32" t="str">
        <f t="shared" si="118"/>
        <v>n/a</v>
      </c>
      <c r="R1506" s="6" t="str">
        <f>IF(ABS(P1506)&lt;Overview!$B$6,"OK",IF(J1506=0,"REVIEW (zero base)",IF(ABS(P1506/ABS(J1506))&gt;=Overview!$B$5,"REVIEW","OK")))</f>
        <v>OK</v>
      </c>
      <c r="S1506" s="33">
        <f t="shared" si="119"/>
        <v>120954.001506</v>
      </c>
    </row>
    <row r="1507" spans="1:19" x14ac:dyDescent="0.2">
      <c r="A1507" s="17">
        <v>1505</v>
      </c>
      <c r="B1507" s="17" t="s">
        <v>171</v>
      </c>
      <c r="C1507" s="17" t="s">
        <v>338</v>
      </c>
      <c r="D1507" s="17" t="s">
        <v>66</v>
      </c>
      <c r="E1507" s="17" t="s">
        <v>92</v>
      </c>
      <c r="F1507" s="17" t="s">
        <v>339</v>
      </c>
      <c r="G1507" s="17" t="s">
        <v>395</v>
      </c>
      <c r="H1507" s="30">
        <v>0</v>
      </c>
      <c r="I1507" s="30">
        <v>1650</v>
      </c>
      <c r="J1507" s="30">
        <v>0</v>
      </c>
      <c r="K1507" s="30">
        <v>0</v>
      </c>
      <c r="L1507" s="30">
        <v>0</v>
      </c>
      <c r="M1507" s="31">
        <f t="shared" si="115"/>
        <v>-1650</v>
      </c>
      <c r="N1507" s="32">
        <f t="shared" si="116"/>
        <v>-1</v>
      </c>
      <c r="O1507" s="6" t="str">
        <f>IF(ABS(M1507)&lt;Overview!$B$6,"OK",IF(I1507=0,"REVIEW (zero base)",IF(ABS(M1507/ABS(I1507))&gt;=Overview!$B$5,"REVIEW","OK")))</f>
        <v>OK</v>
      </c>
      <c r="P1507" s="31">
        <f t="shared" si="117"/>
        <v>0</v>
      </c>
      <c r="Q1507" s="32" t="str">
        <f t="shared" si="118"/>
        <v>n/a</v>
      </c>
      <c r="R1507" s="6" t="str">
        <f>IF(ABS(P1507)&lt;Overview!$B$6,"OK",IF(J1507=0,"REVIEW (zero base)",IF(ABS(P1507/ABS(J1507))&gt;=Overview!$B$5,"REVIEW","OK")))</f>
        <v>OK</v>
      </c>
      <c r="S1507" s="33">
        <f t="shared" si="119"/>
        <v>1650.0015069999999</v>
      </c>
    </row>
    <row r="1508" spans="1:19" x14ac:dyDescent="0.2">
      <c r="A1508" s="17">
        <v>1506</v>
      </c>
      <c r="B1508" s="17" t="s">
        <v>171</v>
      </c>
      <c r="C1508" s="17" t="s">
        <v>338</v>
      </c>
      <c r="D1508" s="17" t="s">
        <v>66</v>
      </c>
      <c r="E1508" s="17" t="s">
        <v>92</v>
      </c>
      <c r="F1508" s="17" t="s">
        <v>341</v>
      </c>
      <c r="G1508" s="17" t="s">
        <v>342</v>
      </c>
      <c r="H1508" s="30">
        <v>12905</v>
      </c>
      <c r="I1508" s="30">
        <v>14554</v>
      </c>
      <c r="J1508" s="30">
        <v>16212</v>
      </c>
      <c r="K1508" s="30">
        <v>16212</v>
      </c>
      <c r="L1508" s="30">
        <v>16212</v>
      </c>
      <c r="M1508" s="31">
        <f t="shared" si="115"/>
        <v>1658</v>
      </c>
      <c r="N1508" s="32">
        <f t="shared" si="116"/>
        <v>0.11392057166414732</v>
      </c>
      <c r="O1508" s="6" t="str">
        <f>IF(ABS(M1508)&lt;Overview!$B$6,"OK",IF(I1508=0,"REVIEW (zero base)",IF(ABS(M1508/ABS(I1508))&gt;=Overview!$B$5,"REVIEW","OK")))</f>
        <v>OK</v>
      </c>
      <c r="P1508" s="31">
        <f t="shared" si="117"/>
        <v>0</v>
      </c>
      <c r="Q1508" s="32">
        <f t="shared" si="118"/>
        <v>0</v>
      </c>
      <c r="R1508" s="6" t="str">
        <f>IF(ABS(P1508)&lt;Overview!$B$6,"OK",IF(J1508=0,"REVIEW (zero base)",IF(ABS(P1508/ABS(J1508))&gt;=Overview!$B$5,"REVIEW","OK")))</f>
        <v>OK</v>
      </c>
      <c r="S1508" s="33">
        <f t="shared" si="119"/>
        <v>1658.0015080000001</v>
      </c>
    </row>
    <row r="1509" spans="1:19" x14ac:dyDescent="0.2">
      <c r="A1509" s="17">
        <v>1507</v>
      </c>
      <c r="B1509" s="17" t="s">
        <v>171</v>
      </c>
      <c r="C1509" s="17" t="s">
        <v>338</v>
      </c>
      <c r="D1509" s="17" t="s">
        <v>66</v>
      </c>
      <c r="E1509" s="17" t="s">
        <v>92</v>
      </c>
      <c r="F1509" s="17" t="s">
        <v>341</v>
      </c>
      <c r="G1509" s="17" t="s">
        <v>406</v>
      </c>
      <c r="H1509" s="30">
        <v>4000</v>
      </c>
      <c r="I1509" s="30">
        <v>2000</v>
      </c>
      <c r="J1509" s="30">
        <v>0</v>
      </c>
      <c r="K1509" s="30">
        <v>0</v>
      </c>
      <c r="L1509" s="30">
        <v>0</v>
      </c>
      <c r="M1509" s="31">
        <f t="shared" si="115"/>
        <v>-2000</v>
      </c>
      <c r="N1509" s="32">
        <f t="shared" si="116"/>
        <v>-1</v>
      </c>
      <c r="O1509" s="6" t="str">
        <f>IF(ABS(M1509)&lt;Overview!$B$6,"OK",IF(I1509=0,"REVIEW (zero base)",IF(ABS(M1509/ABS(I1509))&gt;=Overview!$B$5,"REVIEW","OK")))</f>
        <v>OK</v>
      </c>
      <c r="P1509" s="31">
        <f t="shared" si="117"/>
        <v>0</v>
      </c>
      <c r="Q1509" s="32" t="str">
        <f t="shared" si="118"/>
        <v>n/a</v>
      </c>
      <c r="R1509" s="6" t="str">
        <f>IF(ABS(P1509)&lt;Overview!$B$6,"OK",IF(J1509=0,"REVIEW (zero base)",IF(ABS(P1509/ABS(J1509))&gt;=Overview!$B$5,"REVIEW","OK")))</f>
        <v>OK</v>
      </c>
      <c r="S1509" s="33">
        <f t="shared" si="119"/>
        <v>2000.0015089999999</v>
      </c>
    </row>
    <row r="1510" spans="1:19" x14ac:dyDescent="0.2">
      <c r="A1510" s="17">
        <v>1508</v>
      </c>
      <c r="B1510" s="17" t="s">
        <v>171</v>
      </c>
      <c r="C1510" s="17" t="s">
        <v>338</v>
      </c>
      <c r="D1510" s="17" t="s">
        <v>66</v>
      </c>
      <c r="E1510" s="17" t="s">
        <v>92</v>
      </c>
      <c r="F1510" s="17" t="s">
        <v>341</v>
      </c>
      <c r="G1510" s="17" t="s">
        <v>376</v>
      </c>
      <c r="H1510" s="30">
        <v>519018</v>
      </c>
      <c r="I1510" s="30">
        <v>596782</v>
      </c>
      <c r="J1510" s="30">
        <v>574995</v>
      </c>
      <c r="K1510" s="30">
        <v>621840</v>
      </c>
      <c r="L1510" s="30">
        <v>654362</v>
      </c>
      <c r="M1510" s="31">
        <f t="shared" si="115"/>
        <v>-21787</v>
      </c>
      <c r="N1510" s="32">
        <f t="shared" si="116"/>
        <v>-3.6507468388791889E-2</v>
      </c>
      <c r="O1510" s="6" t="str">
        <f>IF(ABS(M1510)&lt;Overview!$B$6,"OK",IF(I1510=0,"REVIEW (zero base)",IF(ABS(M1510/ABS(I1510))&gt;=Overview!$B$5,"REVIEW","OK")))</f>
        <v>OK</v>
      </c>
      <c r="P1510" s="31">
        <f t="shared" si="117"/>
        <v>46845</v>
      </c>
      <c r="Q1510" s="32">
        <f t="shared" si="118"/>
        <v>8.1470273654553518E-2</v>
      </c>
      <c r="R1510" s="6" t="str">
        <f>IF(ABS(P1510)&lt;Overview!$B$6,"OK",IF(J1510=0,"REVIEW (zero base)",IF(ABS(P1510/ABS(J1510))&gt;=Overview!$B$5,"REVIEW","OK")))</f>
        <v>OK</v>
      </c>
      <c r="S1510" s="33">
        <f t="shared" si="119"/>
        <v>21787.001509999998</v>
      </c>
    </row>
    <row r="1511" spans="1:19" x14ac:dyDescent="0.2">
      <c r="A1511" s="17">
        <v>1509</v>
      </c>
      <c r="B1511" s="17" t="s">
        <v>171</v>
      </c>
      <c r="C1511" s="17" t="s">
        <v>338</v>
      </c>
      <c r="D1511" s="17" t="s">
        <v>66</v>
      </c>
      <c r="E1511" s="17" t="s">
        <v>92</v>
      </c>
      <c r="F1511" s="17" t="s">
        <v>341</v>
      </c>
      <c r="G1511" s="17" t="s">
        <v>343</v>
      </c>
      <c r="H1511" s="30">
        <v>140985</v>
      </c>
      <c r="I1511" s="30">
        <v>155021</v>
      </c>
      <c r="J1511" s="30">
        <v>171632</v>
      </c>
      <c r="K1511" s="30">
        <v>171632</v>
      </c>
      <c r="L1511" s="30">
        <v>173348</v>
      </c>
      <c r="M1511" s="31">
        <f t="shared" si="115"/>
        <v>16611</v>
      </c>
      <c r="N1511" s="32">
        <f t="shared" si="116"/>
        <v>0.10715322440185523</v>
      </c>
      <c r="O1511" s="6" t="str">
        <f>IF(ABS(M1511)&lt;Overview!$B$6,"OK",IF(I1511=0,"REVIEW (zero base)",IF(ABS(M1511/ABS(I1511))&gt;=Overview!$B$5,"REVIEW","OK")))</f>
        <v>OK</v>
      </c>
      <c r="P1511" s="31">
        <f t="shared" si="117"/>
        <v>0</v>
      </c>
      <c r="Q1511" s="32">
        <f t="shared" si="118"/>
        <v>0</v>
      </c>
      <c r="R1511" s="6" t="str">
        <f>IF(ABS(P1511)&lt;Overview!$B$6,"OK",IF(J1511=0,"REVIEW (zero base)",IF(ABS(P1511/ABS(J1511))&gt;=Overview!$B$5,"REVIEW","OK")))</f>
        <v>OK</v>
      </c>
      <c r="S1511" s="33">
        <f t="shared" si="119"/>
        <v>16611.001510999999</v>
      </c>
    </row>
    <row r="1512" spans="1:19" x14ac:dyDescent="0.2">
      <c r="A1512" s="17">
        <v>1510</v>
      </c>
      <c r="B1512" s="17" t="s">
        <v>171</v>
      </c>
      <c r="C1512" s="17" t="s">
        <v>338</v>
      </c>
      <c r="D1512" s="17" t="s">
        <v>66</v>
      </c>
      <c r="E1512" s="17" t="s">
        <v>92</v>
      </c>
      <c r="F1512" s="17" t="s">
        <v>341</v>
      </c>
      <c r="G1512" s="17" t="s">
        <v>344</v>
      </c>
      <c r="H1512" s="30">
        <v>250594</v>
      </c>
      <c r="I1512" s="30">
        <v>271488</v>
      </c>
      <c r="J1512" s="30">
        <v>342917</v>
      </c>
      <c r="K1512" s="30">
        <v>399300</v>
      </c>
      <c r="L1512" s="30">
        <v>407286</v>
      </c>
      <c r="M1512" s="31">
        <f t="shared" si="115"/>
        <v>71429</v>
      </c>
      <c r="N1512" s="32">
        <f t="shared" si="116"/>
        <v>0.26310186822253656</v>
      </c>
      <c r="O1512" s="6" t="str">
        <f>IF(ABS(M1512)&lt;Overview!$B$6,"OK",IF(I1512=0,"REVIEW (zero base)",IF(ABS(M1512/ABS(I1512))&gt;=Overview!$B$5,"REVIEW","OK")))</f>
        <v>OK</v>
      </c>
      <c r="P1512" s="31">
        <f t="shared" si="117"/>
        <v>56383</v>
      </c>
      <c r="Q1512" s="32">
        <f t="shared" si="118"/>
        <v>0.16442171137622225</v>
      </c>
      <c r="R1512" s="6" t="str">
        <f>IF(ABS(P1512)&lt;Overview!$B$6,"OK",IF(J1512=0,"REVIEW (zero base)",IF(ABS(P1512/ABS(J1512))&gt;=Overview!$B$5,"REVIEW","OK")))</f>
        <v>OK</v>
      </c>
      <c r="S1512" s="33">
        <f t="shared" si="119"/>
        <v>71429.001512000003</v>
      </c>
    </row>
    <row r="1513" spans="1:19" x14ac:dyDescent="0.2">
      <c r="A1513" s="17">
        <v>1511</v>
      </c>
      <c r="B1513" s="17" t="s">
        <v>171</v>
      </c>
      <c r="C1513" s="17" t="s">
        <v>338</v>
      </c>
      <c r="D1513" s="17" t="s">
        <v>66</v>
      </c>
      <c r="E1513" s="17" t="s">
        <v>92</v>
      </c>
      <c r="F1513" s="17" t="s">
        <v>364</v>
      </c>
      <c r="G1513" s="17" t="s">
        <v>383</v>
      </c>
      <c r="H1513" s="30">
        <v>2189</v>
      </c>
      <c r="I1513" s="30">
        <v>1344</v>
      </c>
      <c r="J1513" s="30">
        <v>5400</v>
      </c>
      <c r="K1513" s="30">
        <v>5400</v>
      </c>
      <c r="L1513" s="30">
        <v>5400</v>
      </c>
      <c r="M1513" s="31">
        <f t="shared" si="115"/>
        <v>4056</v>
      </c>
      <c r="N1513" s="32">
        <f t="shared" si="116"/>
        <v>3.0178571428571428</v>
      </c>
      <c r="O1513" s="6" t="str">
        <f>IF(ABS(M1513)&lt;Overview!$B$6,"OK",IF(I1513=0,"REVIEW (zero base)",IF(ABS(M1513/ABS(I1513))&gt;=Overview!$B$5,"REVIEW","OK")))</f>
        <v>OK</v>
      </c>
      <c r="P1513" s="31">
        <f t="shared" si="117"/>
        <v>0</v>
      </c>
      <c r="Q1513" s="32">
        <f t="shared" si="118"/>
        <v>0</v>
      </c>
      <c r="R1513" s="6" t="str">
        <f>IF(ABS(P1513)&lt;Overview!$B$6,"OK",IF(J1513=0,"REVIEW (zero base)",IF(ABS(P1513/ABS(J1513))&gt;=Overview!$B$5,"REVIEW","OK")))</f>
        <v>OK</v>
      </c>
      <c r="S1513" s="33">
        <f t="shared" si="119"/>
        <v>4056.0015130000002</v>
      </c>
    </row>
    <row r="1514" spans="1:19" x14ac:dyDescent="0.2">
      <c r="A1514" s="17">
        <v>1512</v>
      </c>
      <c r="B1514" s="17" t="s">
        <v>171</v>
      </c>
      <c r="C1514" s="17" t="s">
        <v>338</v>
      </c>
      <c r="D1514" s="17" t="s">
        <v>66</v>
      </c>
      <c r="E1514" s="17" t="s">
        <v>92</v>
      </c>
      <c r="F1514" s="17" t="s">
        <v>364</v>
      </c>
      <c r="G1514" s="17" t="s">
        <v>397</v>
      </c>
      <c r="H1514" s="30">
        <v>15213</v>
      </c>
      <c r="I1514" s="30">
        <v>9169</v>
      </c>
      <c r="J1514" s="30">
        <v>15930</v>
      </c>
      <c r="K1514" s="30">
        <v>15930</v>
      </c>
      <c r="L1514" s="30">
        <v>16042</v>
      </c>
      <c r="M1514" s="31">
        <f t="shared" si="115"/>
        <v>6761</v>
      </c>
      <c r="N1514" s="32">
        <f t="shared" si="116"/>
        <v>0.73737594066964773</v>
      </c>
      <c r="O1514" s="6" t="str">
        <f>IF(ABS(M1514)&lt;Overview!$B$6,"OK",IF(I1514=0,"REVIEW (zero base)",IF(ABS(M1514/ABS(I1514))&gt;=Overview!$B$5,"REVIEW","OK")))</f>
        <v>OK</v>
      </c>
      <c r="P1514" s="31">
        <f t="shared" si="117"/>
        <v>0</v>
      </c>
      <c r="Q1514" s="32">
        <f t="shared" si="118"/>
        <v>0</v>
      </c>
      <c r="R1514" s="6" t="str">
        <f>IF(ABS(P1514)&lt;Overview!$B$6,"OK",IF(J1514=0,"REVIEW (zero base)",IF(ABS(P1514/ABS(J1514))&gt;=Overview!$B$5,"REVIEW","OK")))</f>
        <v>OK</v>
      </c>
      <c r="S1514" s="33">
        <f t="shared" si="119"/>
        <v>6761.0015139999996</v>
      </c>
    </row>
    <row r="1515" spans="1:19" x14ac:dyDescent="0.2">
      <c r="A1515" s="17">
        <v>1513</v>
      </c>
      <c r="B1515" s="17" t="s">
        <v>171</v>
      </c>
      <c r="C1515" s="17" t="s">
        <v>338</v>
      </c>
      <c r="D1515" s="17" t="s">
        <v>66</v>
      </c>
      <c r="E1515" s="17" t="s">
        <v>92</v>
      </c>
      <c r="F1515" s="17" t="s">
        <v>364</v>
      </c>
      <c r="G1515" s="17" t="s">
        <v>398</v>
      </c>
      <c r="H1515" s="30">
        <v>6012</v>
      </c>
      <c r="I1515" s="30">
        <v>6459</v>
      </c>
      <c r="J1515" s="30">
        <v>6080</v>
      </c>
      <c r="K1515" s="30">
        <v>6080</v>
      </c>
      <c r="L1515" s="30">
        <v>6123</v>
      </c>
      <c r="M1515" s="31">
        <f t="shared" si="115"/>
        <v>-379</v>
      </c>
      <c r="N1515" s="32">
        <f t="shared" si="116"/>
        <v>-5.8677813903080973E-2</v>
      </c>
      <c r="O1515" s="6" t="str">
        <f>IF(ABS(M1515)&lt;Overview!$B$6,"OK",IF(I1515=0,"REVIEW (zero base)",IF(ABS(M1515/ABS(I1515))&gt;=Overview!$B$5,"REVIEW","OK")))</f>
        <v>OK</v>
      </c>
      <c r="P1515" s="31">
        <f t="shared" si="117"/>
        <v>0</v>
      </c>
      <c r="Q1515" s="32">
        <f t="shared" si="118"/>
        <v>0</v>
      </c>
      <c r="R1515" s="6" t="str">
        <f>IF(ABS(P1515)&lt;Overview!$B$6,"OK",IF(J1515=0,"REVIEW (zero base)",IF(ABS(P1515/ABS(J1515))&gt;=Overview!$B$5,"REVIEW","OK")))</f>
        <v>OK</v>
      </c>
      <c r="S1515" s="33">
        <f t="shared" si="119"/>
        <v>379.00151499999998</v>
      </c>
    </row>
    <row r="1516" spans="1:19" x14ac:dyDescent="0.2">
      <c r="A1516" s="17">
        <v>1514</v>
      </c>
      <c r="B1516" s="17" t="s">
        <v>171</v>
      </c>
      <c r="C1516" s="17" t="s">
        <v>338</v>
      </c>
      <c r="D1516" s="17" t="s">
        <v>66</v>
      </c>
      <c r="E1516" s="17" t="s">
        <v>92</v>
      </c>
      <c r="F1516" s="17" t="s">
        <v>364</v>
      </c>
      <c r="G1516" s="17" t="s">
        <v>399</v>
      </c>
      <c r="H1516" s="30">
        <v>8821</v>
      </c>
      <c r="I1516" s="30">
        <v>6867</v>
      </c>
      <c r="J1516" s="30">
        <v>13500</v>
      </c>
      <c r="K1516" s="30">
        <v>13500</v>
      </c>
      <c r="L1516" s="30">
        <v>13595</v>
      </c>
      <c r="M1516" s="31">
        <f t="shared" si="115"/>
        <v>6633</v>
      </c>
      <c r="N1516" s="32">
        <f t="shared" si="116"/>
        <v>0.96592398427260817</v>
      </c>
      <c r="O1516" s="6" t="str">
        <f>IF(ABS(M1516)&lt;Overview!$B$6,"OK",IF(I1516=0,"REVIEW (zero base)",IF(ABS(M1516/ABS(I1516))&gt;=Overview!$B$5,"REVIEW","OK")))</f>
        <v>OK</v>
      </c>
      <c r="P1516" s="31">
        <f t="shared" si="117"/>
        <v>0</v>
      </c>
      <c r="Q1516" s="32">
        <f t="shared" si="118"/>
        <v>0</v>
      </c>
      <c r="R1516" s="6" t="str">
        <f>IF(ABS(P1516)&lt;Overview!$B$6,"OK",IF(J1516=0,"REVIEW (zero base)",IF(ABS(P1516/ABS(J1516))&gt;=Overview!$B$5,"REVIEW","OK")))</f>
        <v>OK</v>
      </c>
      <c r="S1516" s="33">
        <f t="shared" si="119"/>
        <v>6633.0015160000003</v>
      </c>
    </row>
    <row r="1517" spans="1:19" x14ac:dyDescent="0.2">
      <c r="A1517" s="17">
        <v>1515</v>
      </c>
      <c r="B1517" s="17" t="s">
        <v>171</v>
      </c>
      <c r="C1517" s="17" t="s">
        <v>338</v>
      </c>
      <c r="D1517" s="17" t="s">
        <v>66</v>
      </c>
      <c r="E1517" s="17" t="s">
        <v>92</v>
      </c>
      <c r="F1517" s="17" t="s">
        <v>430</v>
      </c>
      <c r="G1517" s="17" t="s">
        <v>431</v>
      </c>
      <c r="H1517" s="30">
        <v>42</v>
      </c>
      <c r="I1517" s="30">
        <v>0</v>
      </c>
      <c r="J1517" s="30">
        <v>0</v>
      </c>
      <c r="K1517" s="30">
        <v>0</v>
      </c>
      <c r="L1517" s="30">
        <v>0</v>
      </c>
      <c r="M1517" s="31">
        <f t="shared" si="115"/>
        <v>0</v>
      </c>
      <c r="N1517" s="32" t="str">
        <f t="shared" si="116"/>
        <v>n/a</v>
      </c>
      <c r="O1517" s="6" t="str">
        <f>IF(ABS(M1517)&lt;Overview!$B$6,"OK",IF(I1517=0,"REVIEW (zero base)",IF(ABS(M1517/ABS(I1517))&gt;=Overview!$B$5,"REVIEW","OK")))</f>
        <v>OK</v>
      </c>
      <c r="P1517" s="31">
        <f t="shared" si="117"/>
        <v>0</v>
      </c>
      <c r="Q1517" s="32" t="str">
        <f t="shared" si="118"/>
        <v>n/a</v>
      </c>
      <c r="R1517" s="6" t="str">
        <f>IF(ABS(P1517)&lt;Overview!$B$6,"OK",IF(J1517=0,"REVIEW (zero base)",IF(ABS(P1517/ABS(J1517))&gt;=Overview!$B$5,"REVIEW","OK")))</f>
        <v>OK</v>
      </c>
      <c r="S1517" s="33">
        <f t="shared" si="119"/>
        <v>1.5169999999999999E-3</v>
      </c>
    </row>
    <row r="1518" spans="1:19" x14ac:dyDescent="0.2">
      <c r="A1518" s="17">
        <v>1516</v>
      </c>
      <c r="B1518" s="17" t="s">
        <v>171</v>
      </c>
      <c r="C1518" s="17" t="s">
        <v>338</v>
      </c>
      <c r="D1518" s="17" t="s">
        <v>66</v>
      </c>
      <c r="E1518" s="17" t="s">
        <v>92</v>
      </c>
      <c r="F1518" s="17" t="s">
        <v>404</v>
      </c>
      <c r="G1518" s="17" t="s">
        <v>405</v>
      </c>
      <c r="H1518" s="30">
        <v>0</v>
      </c>
      <c r="I1518" s="30">
        <v>0</v>
      </c>
      <c r="J1518" s="30">
        <v>1620</v>
      </c>
      <c r="K1518" s="30">
        <v>1620</v>
      </c>
      <c r="L1518" s="30">
        <v>1631</v>
      </c>
      <c r="M1518" s="31">
        <f t="shared" si="115"/>
        <v>1620</v>
      </c>
      <c r="N1518" s="32" t="str">
        <f t="shared" si="116"/>
        <v>n/a</v>
      </c>
      <c r="O1518" s="6" t="str">
        <f>IF(ABS(M1518)&lt;Overview!$B$6,"OK",IF(I1518=0,"REVIEW (zero base)",IF(ABS(M1518/ABS(I1518))&gt;=Overview!$B$5,"REVIEW","OK")))</f>
        <v>OK</v>
      </c>
      <c r="P1518" s="31">
        <f t="shared" si="117"/>
        <v>0</v>
      </c>
      <c r="Q1518" s="32">
        <f t="shared" si="118"/>
        <v>0</v>
      </c>
      <c r="R1518" s="6" t="str">
        <f>IF(ABS(P1518)&lt;Overview!$B$6,"OK",IF(J1518=0,"REVIEW (zero base)",IF(ABS(P1518/ABS(J1518))&gt;=Overview!$B$5,"REVIEW","OK")))</f>
        <v>OK</v>
      </c>
      <c r="S1518" s="33">
        <f t="shared" si="119"/>
        <v>1620.001518</v>
      </c>
    </row>
    <row r="1519" spans="1:19" x14ac:dyDescent="0.2">
      <c r="A1519" s="17">
        <v>1517</v>
      </c>
      <c r="B1519" s="17" t="s">
        <v>171</v>
      </c>
      <c r="C1519" s="17" t="s">
        <v>338</v>
      </c>
      <c r="D1519" s="17" t="s">
        <v>66</v>
      </c>
      <c r="E1519" s="17" t="s">
        <v>92</v>
      </c>
      <c r="F1519" s="17" t="s">
        <v>422</v>
      </c>
      <c r="G1519" s="17" t="s">
        <v>435</v>
      </c>
      <c r="H1519" s="30">
        <v>0</v>
      </c>
      <c r="I1519" s="30">
        <v>0</v>
      </c>
      <c r="J1519" s="30">
        <v>1620</v>
      </c>
      <c r="K1519" s="30">
        <v>1620</v>
      </c>
      <c r="L1519" s="30">
        <v>1631</v>
      </c>
      <c r="M1519" s="31">
        <f t="shared" si="115"/>
        <v>1620</v>
      </c>
      <c r="N1519" s="32" t="str">
        <f t="shared" si="116"/>
        <v>n/a</v>
      </c>
      <c r="O1519" s="6" t="str">
        <f>IF(ABS(M1519)&lt;Overview!$B$6,"OK",IF(I1519=0,"REVIEW (zero base)",IF(ABS(M1519/ABS(I1519))&gt;=Overview!$B$5,"REVIEW","OK")))</f>
        <v>OK</v>
      </c>
      <c r="P1519" s="31">
        <f t="shared" si="117"/>
        <v>0</v>
      </c>
      <c r="Q1519" s="32">
        <f t="shared" si="118"/>
        <v>0</v>
      </c>
      <c r="R1519" s="6" t="str">
        <f>IF(ABS(P1519)&lt;Overview!$B$6,"OK",IF(J1519=0,"REVIEW (zero base)",IF(ABS(P1519/ABS(J1519))&gt;=Overview!$B$5,"REVIEW","OK")))</f>
        <v>OK</v>
      </c>
      <c r="S1519" s="33">
        <f t="shared" si="119"/>
        <v>1620.0015189999999</v>
      </c>
    </row>
    <row r="1520" spans="1:19" x14ac:dyDescent="0.2">
      <c r="A1520" s="17">
        <v>1518</v>
      </c>
      <c r="B1520" s="17" t="s">
        <v>171</v>
      </c>
      <c r="C1520" s="17" t="s">
        <v>338</v>
      </c>
      <c r="D1520" s="17" t="s">
        <v>66</v>
      </c>
      <c r="E1520" s="17" t="s">
        <v>92</v>
      </c>
      <c r="F1520" s="17" t="s">
        <v>407</v>
      </c>
      <c r="G1520" s="17" t="s">
        <v>408</v>
      </c>
      <c r="H1520" s="30">
        <v>0</v>
      </c>
      <c r="I1520" s="30">
        <v>0</v>
      </c>
      <c r="J1520" s="30">
        <v>2000</v>
      </c>
      <c r="K1520" s="30">
        <v>2000</v>
      </c>
      <c r="L1520" s="30">
        <v>2000</v>
      </c>
      <c r="M1520" s="31">
        <f t="shared" si="115"/>
        <v>2000</v>
      </c>
      <c r="N1520" s="32" t="str">
        <f t="shared" si="116"/>
        <v>n/a</v>
      </c>
      <c r="O1520" s="6" t="str">
        <f>IF(ABS(M1520)&lt;Overview!$B$6,"OK",IF(I1520=0,"REVIEW (zero base)",IF(ABS(M1520/ABS(I1520))&gt;=Overview!$B$5,"REVIEW","OK")))</f>
        <v>OK</v>
      </c>
      <c r="P1520" s="31">
        <f t="shared" si="117"/>
        <v>0</v>
      </c>
      <c r="Q1520" s="32">
        <f t="shared" si="118"/>
        <v>0</v>
      </c>
      <c r="R1520" s="6" t="str">
        <f>IF(ABS(P1520)&lt;Overview!$B$6,"OK",IF(J1520=0,"REVIEW (zero base)",IF(ABS(P1520/ABS(J1520))&gt;=Overview!$B$5,"REVIEW","OK")))</f>
        <v>OK</v>
      </c>
      <c r="S1520" s="33">
        <f t="shared" si="119"/>
        <v>2000.00152</v>
      </c>
    </row>
    <row r="1521" spans="1:19" x14ac:dyDescent="0.2">
      <c r="A1521" s="17">
        <v>1519</v>
      </c>
      <c r="B1521" s="17" t="s">
        <v>171</v>
      </c>
      <c r="C1521" s="17" t="s">
        <v>338</v>
      </c>
      <c r="D1521" s="17" t="s">
        <v>66</v>
      </c>
      <c r="E1521" s="17" t="s">
        <v>92</v>
      </c>
      <c r="F1521" s="17" t="s">
        <v>347</v>
      </c>
      <c r="G1521" s="17" t="s">
        <v>348</v>
      </c>
      <c r="H1521" s="30">
        <v>12161</v>
      </c>
      <c r="I1521" s="30">
        <v>9059</v>
      </c>
      <c r="J1521" s="30">
        <v>9000</v>
      </c>
      <c r="K1521" s="30">
        <v>9000</v>
      </c>
      <c r="L1521" s="30">
        <v>9063</v>
      </c>
      <c r="M1521" s="31">
        <f t="shared" si="115"/>
        <v>-59</v>
      </c>
      <c r="N1521" s="32">
        <f t="shared" si="116"/>
        <v>-6.5128601390881998E-3</v>
      </c>
      <c r="O1521" s="6" t="str">
        <f>IF(ABS(M1521)&lt;Overview!$B$6,"OK",IF(I1521=0,"REVIEW (zero base)",IF(ABS(M1521/ABS(I1521))&gt;=Overview!$B$5,"REVIEW","OK")))</f>
        <v>OK</v>
      </c>
      <c r="P1521" s="31">
        <f t="shared" si="117"/>
        <v>0</v>
      </c>
      <c r="Q1521" s="32">
        <f t="shared" si="118"/>
        <v>0</v>
      </c>
      <c r="R1521" s="6" t="str">
        <f>IF(ABS(P1521)&lt;Overview!$B$6,"OK",IF(J1521=0,"REVIEW (zero base)",IF(ABS(P1521/ABS(J1521))&gt;=Overview!$B$5,"REVIEW","OK")))</f>
        <v>OK</v>
      </c>
      <c r="S1521" s="33">
        <f t="shared" si="119"/>
        <v>59.001520999999997</v>
      </c>
    </row>
    <row r="1522" spans="1:19" x14ac:dyDescent="0.2">
      <c r="A1522" s="17">
        <v>1520</v>
      </c>
      <c r="B1522" s="17" t="s">
        <v>171</v>
      </c>
      <c r="C1522" s="17" t="s">
        <v>338</v>
      </c>
      <c r="D1522" s="17" t="s">
        <v>66</v>
      </c>
      <c r="E1522" s="17" t="s">
        <v>92</v>
      </c>
      <c r="F1522" s="17" t="s">
        <v>386</v>
      </c>
      <c r="G1522" s="17" t="s">
        <v>387</v>
      </c>
      <c r="H1522" s="30">
        <v>6071</v>
      </c>
      <c r="I1522" s="30">
        <v>6608</v>
      </c>
      <c r="J1522" s="30">
        <v>6804</v>
      </c>
      <c r="K1522" s="30">
        <v>6804</v>
      </c>
      <c r="L1522" s="30">
        <v>6852</v>
      </c>
      <c r="M1522" s="31">
        <f t="shared" si="115"/>
        <v>196</v>
      </c>
      <c r="N1522" s="32">
        <f t="shared" si="116"/>
        <v>2.9661016949152543E-2</v>
      </c>
      <c r="O1522" s="6" t="str">
        <f>IF(ABS(M1522)&lt;Overview!$B$6,"OK",IF(I1522=0,"REVIEW (zero base)",IF(ABS(M1522/ABS(I1522))&gt;=Overview!$B$5,"REVIEW","OK")))</f>
        <v>OK</v>
      </c>
      <c r="P1522" s="31">
        <f t="shared" si="117"/>
        <v>0</v>
      </c>
      <c r="Q1522" s="32">
        <f t="shared" si="118"/>
        <v>0</v>
      </c>
      <c r="R1522" s="6" t="str">
        <f>IF(ABS(P1522)&lt;Overview!$B$6,"OK",IF(J1522=0,"REVIEW (zero base)",IF(ABS(P1522/ABS(J1522))&gt;=Overview!$B$5,"REVIEW","OK")))</f>
        <v>OK</v>
      </c>
      <c r="S1522" s="33">
        <f t="shared" si="119"/>
        <v>196.00152199999999</v>
      </c>
    </row>
    <row r="1523" spans="1:19" x14ac:dyDescent="0.2">
      <c r="A1523" s="17">
        <v>1521</v>
      </c>
      <c r="B1523" s="17" t="s">
        <v>171</v>
      </c>
      <c r="C1523" s="17" t="s">
        <v>338</v>
      </c>
      <c r="D1523" s="17" t="s">
        <v>66</v>
      </c>
      <c r="E1523" s="17" t="s">
        <v>92</v>
      </c>
      <c r="F1523" s="17" t="s">
        <v>349</v>
      </c>
      <c r="G1523" s="17" t="s">
        <v>363</v>
      </c>
      <c r="H1523" s="30">
        <v>8102</v>
      </c>
      <c r="I1523" s="30">
        <v>5852</v>
      </c>
      <c r="J1523" s="30">
        <v>8100</v>
      </c>
      <c r="K1523" s="30">
        <v>8100</v>
      </c>
      <c r="L1523" s="30">
        <v>8100</v>
      </c>
      <c r="M1523" s="31">
        <f t="shared" si="115"/>
        <v>2248</v>
      </c>
      <c r="N1523" s="32">
        <f t="shared" si="116"/>
        <v>0.38414217361585784</v>
      </c>
      <c r="O1523" s="6" t="str">
        <f>IF(ABS(M1523)&lt;Overview!$B$6,"OK",IF(I1523=0,"REVIEW (zero base)",IF(ABS(M1523/ABS(I1523))&gt;=Overview!$B$5,"REVIEW","OK")))</f>
        <v>OK</v>
      </c>
      <c r="P1523" s="31">
        <f t="shared" si="117"/>
        <v>0</v>
      </c>
      <c r="Q1523" s="32">
        <f t="shared" si="118"/>
        <v>0</v>
      </c>
      <c r="R1523" s="6" t="str">
        <f>IF(ABS(P1523)&lt;Overview!$B$6,"OK",IF(J1523=0,"REVIEW (zero base)",IF(ABS(P1523/ABS(J1523))&gt;=Overview!$B$5,"REVIEW","OK")))</f>
        <v>OK</v>
      </c>
      <c r="S1523" s="33">
        <f t="shared" si="119"/>
        <v>2248.0015229999999</v>
      </c>
    </row>
    <row r="1524" spans="1:19" x14ac:dyDescent="0.2">
      <c r="A1524" s="17">
        <v>1522</v>
      </c>
      <c r="B1524" s="17" t="s">
        <v>171</v>
      </c>
      <c r="C1524" s="17" t="s">
        <v>338</v>
      </c>
      <c r="D1524" s="17" t="s">
        <v>66</v>
      </c>
      <c r="E1524" s="17" t="s">
        <v>92</v>
      </c>
      <c r="F1524" s="17" t="s">
        <v>349</v>
      </c>
      <c r="G1524" s="17" t="s">
        <v>350</v>
      </c>
      <c r="H1524" s="30">
        <v>89669</v>
      </c>
      <c r="I1524" s="30">
        <v>94136</v>
      </c>
      <c r="J1524" s="30">
        <v>95000</v>
      </c>
      <c r="K1524" s="30">
        <v>200000</v>
      </c>
      <c r="L1524" s="30">
        <v>200000</v>
      </c>
      <c r="M1524" s="31">
        <f t="shared" si="115"/>
        <v>864</v>
      </c>
      <c r="N1524" s="32">
        <f t="shared" si="116"/>
        <v>9.1782102490014453E-3</v>
      </c>
      <c r="O1524" s="6" t="str">
        <f>IF(ABS(M1524)&lt;Overview!$B$6,"OK",IF(I1524=0,"REVIEW (zero base)",IF(ABS(M1524/ABS(I1524))&gt;=Overview!$B$5,"REVIEW","OK")))</f>
        <v>OK</v>
      </c>
      <c r="P1524" s="31">
        <f t="shared" si="117"/>
        <v>105000</v>
      </c>
      <c r="Q1524" s="32">
        <f t="shared" si="118"/>
        <v>1.1052631578947369</v>
      </c>
      <c r="R1524" s="6" t="str">
        <f>IF(ABS(P1524)&lt;Overview!$B$6,"OK",IF(J1524=0,"REVIEW (zero base)",IF(ABS(P1524/ABS(J1524))&gt;=Overview!$B$5,"REVIEW","OK")))</f>
        <v>OK</v>
      </c>
      <c r="S1524" s="33">
        <f t="shared" si="119"/>
        <v>864.00152400000002</v>
      </c>
    </row>
    <row r="1525" spans="1:19" x14ac:dyDescent="0.2">
      <c r="A1525" s="17">
        <v>1523</v>
      </c>
      <c r="B1525" s="17" t="s">
        <v>171</v>
      </c>
      <c r="C1525" s="17" t="s">
        <v>338</v>
      </c>
      <c r="D1525" s="17" t="s">
        <v>66</v>
      </c>
      <c r="E1525" s="17" t="s">
        <v>139</v>
      </c>
      <c r="F1525" s="17" t="s">
        <v>339</v>
      </c>
      <c r="G1525" s="17" t="s">
        <v>340</v>
      </c>
      <c r="H1525" s="30">
        <v>41093</v>
      </c>
      <c r="I1525" s="30">
        <v>44032</v>
      </c>
      <c r="J1525" s="30">
        <v>53200</v>
      </c>
      <c r="K1525" s="30">
        <v>58178</v>
      </c>
      <c r="L1525" s="30">
        <v>58760</v>
      </c>
      <c r="M1525" s="31">
        <f t="shared" si="115"/>
        <v>9168</v>
      </c>
      <c r="N1525" s="32">
        <f t="shared" si="116"/>
        <v>0.20821220930232559</v>
      </c>
      <c r="O1525" s="6" t="str">
        <f>IF(ABS(M1525)&lt;Overview!$B$6,"OK",IF(I1525=0,"REVIEW (zero base)",IF(ABS(M1525/ABS(I1525))&gt;=Overview!$B$5,"REVIEW","OK")))</f>
        <v>OK</v>
      </c>
      <c r="P1525" s="31">
        <f t="shared" si="117"/>
        <v>4978</v>
      </c>
      <c r="Q1525" s="32">
        <f t="shared" si="118"/>
        <v>9.3571428571428569E-2</v>
      </c>
      <c r="R1525" s="6" t="str">
        <f>IF(ABS(P1525)&lt;Overview!$B$6,"OK",IF(J1525=0,"REVIEW (zero base)",IF(ABS(P1525/ABS(J1525))&gt;=Overview!$B$5,"REVIEW","OK")))</f>
        <v>OK</v>
      </c>
      <c r="S1525" s="33">
        <f t="shared" si="119"/>
        <v>9168.0015249999997</v>
      </c>
    </row>
    <row r="1526" spans="1:19" x14ac:dyDescent="0.2">
      <c r="A1526" s="17">
        <v>1524</v>
      </c>
      <c r="B1526" s="17" t="s">
        <v>171</v>
      </c>
      <c r="C1526" s="17" t="s">
        <v>338</v>
      </c>
      <c r="D1526" s="17" t="s">
        <v>66</v>
      </c>
      <c r="E1526" s="17" t="s">
        <v>139</v>
      </c>
      <c r="F1526" s="17" t="s">
        <v>339</v>
      </c>
      <c r="G1526" s="17" t="s">
        <v>391</v>
      </c>
      <c r="H1526" s="30">
        <v>1397</v>
      </c>
      <c r="I1526" s="30">
        <v>4640</v>
      </c>
      <c r="J1526" s="30">
        <v>0</v>
      </c>
      <c r="K1526" s="30">
        <v>0</v>
      </c>
      <c r="L1526" s="30">
        <v>0</v>
      </c>
      <c r="M1526" s="31">
        <f t="shared" si="115"/>
        <v>-4640</v>
      </c>
      <c r="N1526" s="32">
        <f t="shared" si="116"/>
        <v>-1</v>
      </c>
      <c r="O1526" s="6" t="str">
        <f>IF(ABS(M1526)&lt;Overview!$B$6,"OK",IF(I1526=0,"REVIEW (zero base)",IF(ABS(M1526/ABS(I1526))&gt;=Overview!$B$5,"REVIEW","OK")))</f>
        <v>OK</v>
      </c>
      <c r="P1526" s="31">
        <f t="shared" si="117"/>
        <v>0</v>
      </c>
      <c r="Q1526" s="32" t="str">
        <f t="shared" si="118"/>
        <v>n/a</v>
      </c>
      <c r="R1526" s="6" t="str">
        <f>IF(ABS(P1526)&lt;Overview!$B$6,"OK",IF(J1526=0,"REVIEW (zero base)",IF(ABS(P1526/ABS(J1526))&gt;=Overview!$B$5,"REVIEW","OK")))</f>
        <v>OK</v>
      </c>
      <c r="S1526" s="33">
        <f t="shared" si="119"/>
        <v>4640.001526</v>
      </c>
    </row>
    <row r="1527" spans="1:19" x14ac:dyDescent="0.2">
      <c r="A1527" s="17">
        <v>1525</v>
      </c>
      <c r="B1527" s="17" t="s">
        <v>171</v>
      </c>
      <c r="C1527" s="17" t="s">
        <v>338</v>
      </c>
      <c r="D1527" s="17" t="s">
        <v>66</v>
      </c>
      <c r="E1527" s="17" t="s">
        <v>139</v>
      </c>
      <c r="F1527" s="17" t="s">
        <v>339</v>
      </c>
      <c r="G1527" s="17" t="s">
        <v>392</v>
      </c>
      <c r="H1527" s="30">
        <v>4242</v>
      </c>
      <c r="I1527" s="30">
        <v>1687</v>
      </c>
      <c r="J1527" s="30">
        <v>0</v>
      </c>
      <c r="K1527" s="30">
        <v>0</v>
      </c>
      <c r="L1527" s="30">
        <v>0</v>
      </c>
      <c r="M1527" s="31">
        <f t="shared" si="115"/>
        <v>-1687</v>
      </c>
      <c r="N1527" s="32">
        <f t="shared" si="116"/>
        <v>-1</v>
      </c>
      <c r="O1527" s="6" t="str">
        <f>IF(ABS(M1527)&lt;Overview!$B$6,"OK",IF(I1527=0,"REVIEW (zero base)",IF(ABS(M1527/ABS(I1527))&gt;=Overview!$B$5,"REVIEW","OK")))</f>
        <v>OK</v>
      </c>
      <c r="P1527" s="31">
        <f t="shared" si="117"/>
        <v>0</v>
      </c>
      <c r="Q1527" s="32" t="str">
        <f t="shared" si="118"/>
        <v>n/a</v>
      </c>
      <c r="R1527" s="6" t="str">
        <f>IF(ABS(P1527)&lt;Overview!$B$6,"OK",IF(J1527=0,"REVIEW (zero base)",IF(ABS(P1527/ABS(J1527))&gt;=Overview!$B$5,"REVIEW","OK")))</f>
        <v>OK</v>
      </c>
      <c r="S1527" s="33">
        <f t="shared" si="119"/>
        <v>1687.0015269999999</v>
      </c>
    </row>
    <row r="1528" spans="1:19" x14ac:dyDescent="0.2">
      <c r="A1528" s="17">
        <v>1526</v>
      </c>
      <c r="B1528" s="17" t="s">
        <v>171</v>
      </c>
      <c r="C1528" s="17" t="s">
        <v>338</v>
      </c>
      <c r="D1528" s="17" t="s">
        <v>66</v>
      </c>
      <c r="E1528" s="17" t="s">
        <v>139</v>
      </c>
      <c r="F1528" s="17" t="s">
        <v>339</v>
      </c>
      <c r="G1528" s="17" t="s">
        <v>394</v>
      </c>
      <c r="H1528" s="30">
        <v>3655</v>
      </c>
      <c r="I1528" s="30">
        <v>3164</v>
      </c>
      <c r="J1528" s="30">
        <v>0</v>
      </c>
      <c r="K1528" s="30">
        <v>0</v>
      </c>
      <c r="L1528" s="30">
        <v>0</v>
      </c>
      <c r="M1528" s="31">
        <f t="shared" si="115"/>
        <v>-3164</v>
      </c>
      <c r="N1528" s="32">
        <f t="shared" si="116"/>
        <v>-1</v>
      </c>
      <c r="O1528" s="6" t="str">
        <f>IF(ABS(M1528)&lt;Overview!$B$6,"OK",IF(I1528=0,"REVIEW (zero base)",IF(ABS(M1528/ABS(I1528))&gt;=Overview!$B$5,"REVIEW","OK")))</f>
        <v>OK</v>
      </c>
      <c r="P1528" s="31">
        <f t="shared" si="117"/>
        <v>0</v>
      </c>
      <c r="Q1528" s="32" t="str">
        <f t="shared" si="118"/>
        <v>n/a</v>
      </c>
      <c r="R1528" s="6" t="str">
        <f>IF(ABS(P1528)&lt;Overview!$B$6,"OK",IF(J1528=0,"REVIEW (zero base)",IF(ABS(P1528/ABS(J1528))&gt;=Overview!$B$5,"REVIEW","OK")))</f>
        <v>OK</v>
      </c>
      <c r="S1528" s="33">
        <f t="shared" si="119"/>
        <v>3164.0015279999998</v>
      </c>
    </row>
    <row r="1529" spans="1:19" x14ac:dyDescent="0.2">
      <c r="A1529" s="17">
        <v>1527</v>
      </c>
      <c r="B1529" s="17" t="s">
        <v>171</v>
      </c>
      <c r="C1529" s="17" t="s">
        <v>338</v>
      </c>
      <c r="D1529" s="17" t="s">
        <v>66</v>
      </c>
      <c r="E1529" s="17" t="s">
        <v>139</v>
      </c>
      <c r="F1529" s="17" t="s">
        <v>339</v>
      </c>
      <c r="G1529" s="17" t="s">
        <v>395</v>
      </c>
      <c r="H1529" s="30">
        <v>1482</v>
      </c>
      <c r="I1529" s="30">
        <v>1613</v>
      </c>
      <c r="J1529" s="30">
        <v>1645</v>
      </c>
      <c r="K1529" s="30">
        <v>1695</v>
      </c>
      <c r="L1529" s="30">
        <v>1712</v>
      </c>
      <c r="M1529" s="31">
        <f t="shared" si="115"/>
        <v>32</v>
      </c>
      <c r="N1529" s="32">
        <f t="shared" si="116"/>
        <v>1.9838809671419714E-2</v>
      </c>
      <c r="O1529" s="6" t="str">
        <f>IF(ABS(M1529)&lt;Overview!$B$6,"OK",IF(I1529=0,"REVIEW (zero base)",IF(ABS(M1529/ABS(I1529))&gt;=Overview!$B$5,"REVIEW","OK")))</f>
        <v>OK</v>
      </c>
      <c r="P1529" s="31">
        <f t="shared" si="117"/>
        <v>50</v>
      </c>
      <c r="Q1529" s="32">
        <f t="shared" si="118"/>
        <v>3.0395136778115502E-2</v>
      </c>
      <c r="R1529" s="6" t="str">
        <f>IF(ABS(P1529)&lt;Overview!$B$6,"OK",IF(J1529=0,"REVIEW (zero base)",IF(ABS(P1529/ABS(J1529))&gt;=Overview!$B$5,"REVIEW","OK")))</f>
        <v>OK</v>
      </c>
      <c r="S1529" s="33">
        <f t="shared" si="119"/>
        <v>32.001528999999998</v>
      </c>
    </row>
    <row r="1530" spans="1:19" x14ac:dyDescent="0.2">
      <c r="A1530" s="17">
        <v>1528</v>
      </c>
      <c r="B1530" s="17" t="s">
        <v>171</v>
      </c>
      <c r="C1530" s="17" t="s">
        <v>338</v>
      </c>
      <c r="D1530" s="17" t="s">
        <v>66</v>
      </c>
      <c r="E1530" s="17" t="s">
        <v>139</v>
      </c>
      <c r="F1530" s="17" t="s">
        <v>341</v>
      </c>
      <c r="G1530" s="17" t="s">
        <v>342</v>
      </c>
      <c r="H1530" s="30">
        <v>1280</v>
      </c>
      <c r="I1530" s="30">
        <v>1197</v>
      </c>
      <c r="J1530" s="30">
        <v>1476</v>
      </c>
      <c r="K1530" s="30">
        <v>1476</v>
      </c>
      <c r="L1530" s="30">
        <v>1476</v>
      </c>
      <c r="M1530" s="31">
        <f t="shared" si="115"/>
        <v>279</v>
      </c>
      <c r="N1530" s="32">
        <f t="shared" si="116"/>
        <v>0.23308270676691728</v>
      </c>
      <c r="O1530" s="6" t="str">
        <f>IF(ABS(M1530)&lt;Overview!$B$6,"OK",IF(I1530=0,"REVIEW (zero base)",IF(ABS(M1530/ABS(I1530))&gt;=Overview!$B$5,"REVIEW","OK")))</f>
        <v>OK</v>
      </c>
      <c r="P1530" s="31">
        <f t="shared" si="117"/>
        <v>0</v>
      </c>
      <c r="Q1530" s="32">
        <f t="shared" si="118"/>
        <v>0</v>
      </c>
      <c r="R1530" s="6" t="str">
        <f>IF(ABS(P1530)&lt;Overview!$B$6,"OK",IF(J1530=0,"REVIEW (zero base)",IF(ABS(P1530/ABS(J1530))&gt;=Overview!$B$5,"REVIEW","OK")))</f>
        <v>OK</v>
      </c>
      <c r="S1530" s="33">
        <f t="shared" si="119"/>
        <v>279.00153</v>
      </c>
    </row>
    <row r="1531" spans="1:19" x14ac:dyDescent="0.2">
      <c r="A1531" s="17">
        <v>1529</v>
      </c>
      <c r="B1531" s="17" t="s">
        <v>171</v>
      </c>
      <c r="C1531" s="17" t="s">
        <v>338</v>
      </c>
      <c r="D1531" s="17" t="s">
        <v>66</v>
      </c>
      <c r="E1531" s="17" t="s">
        <v>139</v>
      </c>
      <c r="F1531" s="17" t="s">
        <v>341</v>
      </c>
      <c r="G1531" s="17" t="s">
        <v>376</v>
      </c>
      <c r="H1531" s="30">
        <v>14961</v>
      </c>
      <c r="I1531" s="30">
        <v>16050</v>
      </c>
      <c r="J1531" s="30">
        <v>14963</v>
      </c>
      <c r="K1531" s="30">
        <v>16728</v>
      </c>
      <c r="L1531" s="30">
        <v>17603</v>
      </c>
      <c r="M1531" s="31">
        <f t="shared" si="115"/>
        <v>-1087</v>
      </c>
      <c r="N1531" s="32">
        <f t="shared" si="116"/>
        <v>-6.7725856697819317E-2</v>
      </c>
      <c r="O1531" s="6" t="str">
        <f>IF(ABS(M1531)&lt;Overview!$B$6,"OK",IF(I1531=0,"REVIEW (zero base)",IF(ABS(M1531/ABS(I1531))&gt;=Overview!$B$5,"REVIEW","OK")))</f>
        <v>OK</v>
      </c>
      <c r="P1531" s="31">
        <f t="shared" si="117"/>
        <v>1765</v>
      </c>
      <c r="Q1531" s="32">
        <f t="shared" si="118"/>
        <v>0.11795762881775045</v>
      </c>
      <c r="R1531" s="6" t="str">
        <f>IF(ABS(P1531)&lt;Overview!$B$6,"OK",IF(J1531=0,"REVIEW (zero base)",IF(ABS(P1531/ABS(J1531))&gt;=Overview!$B$5,"REVIEW","OK")))</f>
        <v>OK</v>
      </c>
      <c r="S1531" s="33">
        <f t="shared" si="119"/>
        <v>1087.0015310000001</v>
      </c>
    </row>
    <row r="1532" spans="1:19" x14ac:dyDescent="0.2">
      <c r="A1532" s="17">
        <v>1530</v>
      </c>
      <c r="B1532" s="17" t="s">
        <v>171</v>
      </c>
      <c r="C1532" s="17" t="s">
        <v>338</v>
      </c>
      <c r="D1532" s="17" t="s">
        <v>66</v>
      </c>
      <c r="E1532" s="17" t="s">
        <v>139</v>
      </c>
      <c r="F1532" s="17" t="s">
        <v>341</v>
      </c>
      <c r="G1532" s="17" t="s">
        <v>343</v>
      </c>
      <c r="H1532" s="30">
        <v>3650</v>
      </c>
      <c r="I1532" s="30">
        <v>3896</v>
      </c>
      <c r="J1532" s="30">
        <v>4404</v>
      </c>
      <c r="K1532" s="30">
        <v>4321</v>
      </c>
      <c r="L1532" s="30">
        <v>4364</v>
      </c>
      <c r="M1532" s="31">
        <f t="shared" si="115"/>
        <v>508</v>
      </c>
      <c r="N1532" s="32">
        <f t="shared" si="116"/>
        <v>0.13039014373716631</v>
      </c>
      <c r="O1532" s="6" t="str">
        <f>IF(ABS(M1532)&lt;Overview!$B$6,"OK",IF(I1532=0,"REVIEW (zero base)",IF(ABS(M1532/ABS(I1532))&gt;=Overview!$B$5,"REVIEW","OK")))</f>
        <v>OK</v>
      </c>
      <c r="P1532" s="31">
        <f t="shared" si="117"/>
        <v>-83</v>
      </c>
      <c r="Q1532" s="32">
        <f t="shared" si="118"/>
        <v>-1.8846503178928248E-2</v>
      </c>
      <c r="R1532" s="6" t="str">
        <f>IF(ABS(P1532)&lt;Overview!$B$6,"OK",IF(J1532=0,"REVIEW (zero base)",IF(ABS(P1532/ABS(J1532))&gt;=Overview!$B$5,"REVIEW","OK")))</f>
        <v>OK</v>
      </c>
      <c r="S1532" s="33">
        <f t="shared" si="119"/>
        <v>508.001532</v>
      </c>
    </row>
    <row r="1533" spans="1:19" x14ac:dyDescent="0.2">
      <c r="A1533" s="17">
        <v>1531</v>
      </c>
      <c r="B1533" s="17" t="s">
        <v>171</v>
      </c>
      <c r="C1533" s="17" t="s">
        <v>338</v>
      </c>
      <c r="D1533" s="17" t="s">
        <v>66</v>
      </c>
      <c r="E1533" s="17" t="s">
        <v>139</v>
      </c>
      <c r="F1533" s="17" t="s">
        <v>341</v>
      </c>
      <c r="G1533" s="17" t="s">
        <v>344</v>
      </c>
      <c r="H1533" s="30">
        <v>19524</v>
      </c>
      <c r="I1533" s="30">
        <v>18407</v>
      </c>
      <c r="J1533" s="30">
        <v>23397</v>
      </c>
      <c r="K1533" s="30">
        <v>27072</v>
      </c>
      <c r="L1533" s="30">
        <v>27613</v>
      </c>
      <c r="M1533" s="31">
        <f t="shared" si="115"/>
        <v>4990</v>
      </c>
      <c r="N1533" s="32">
        <f t="shared" si="116"/>
        <v>0.27109251915032323</v>
      </c>
      <c r="O1533" s="6" t="str">
        <f>IF(ABS(M1533)&lt;Overview!$B$6,"OK",IF(I1533=0,"REVIEW (zero base)",IF(ABS(M1533/ABS(I1533))&gt;=Overview!$B$5,"REVIEW","OK")))</f>
        <v>OK</v>
      </c>
      <c r="P1533" s="31">
        <f t="shared" si="117"/>
        <v>3675</v>
      </c>
      <c r="Q1533" s="32">
        <f t="shared" si="118"/>
        <v>0.15707141941274522</v>
      </c>
      <c r="R1533" s="6" t="str">
        <f>IF(ABS(P1533)&lt;Overview!$B$6,"OK",IF(J1533=0,"REVIEW (zero base)",IF(ABS(P1533/ABS(J1533))&gt;=Overview!$B$5,"REVIEW","OK")))</f>
        <v>OK</v>
      </c>
      <c r="S1533" s="33">
        <f t="shared" si="119"/>
        <v>4990.0015329999997</v>
      </c>
    </row>
    <row r="1534" spans="1:19" x14ac:dyDescent="0.2">
      <c r="A1534" s="17">
        <v>1532</v>
      </c>
      <c r="B1534" s="17" t="s">
        <v>171</v>
      </c>
      <c r="C1534" s="17" t="s">
        <v>338</v>
      </c>
      <c r="D1534" s="17" t="s">
        <v>66</v>
      </c>
      <c r="E1534" s="17" t="s">
        <v>139</v>
      </c>
      <c r="F1534" s="17" t="s">
        <v>364</v>
      </c>
      <c r="G1534" s="17" t="s">
        <v>383</v>
      </c>
      <c r="H1534" s="30">
        <v>0</v>
      </c>
      <c r="I1534" s="30">
        <v>0</v>
      </c>
      <c r="J1534" s="30">
        <v>0</v>
      </c>
      <c r="K1534" s="30">
        <v>0</v>
      </c>
      <c r="L1534" s="30">
        <v>0</v>
      </c>
      <c r="M1534" s="31">
        <f t="shared" si="115"/>
        <v>0</v>
      </c>
      <c r="N1534" s="32" t="str">
        <f t="shared" si="116"/>
        <v>n/a</v>
      </c>
      <c r="O1534" s="6" t="str">
        <f>IF(ABS(M1534)&lt;Overview!$B$6,"OK",IF(I1534=0,"REVIEW (zero base)",IF(ABS(M1534/ABS(I1534))&gt;=Overview!$B$5,"REVIEW","OK")))</f>
        <v>OK</v>
      </c>
      <c r="P1534" s="31">
        <f t="shared" si="117"/>
        <v>0</v>
      </c>
      <c r="Q1534" s="32" t="str">
        <f t="shared" si="118"/>
        <v>n/a</v>
      </c>
      <c r="R1534" s="6" t="str">
        <f>IF(ABS(P1534)&lt;Overview!$B$6,"OK",IF(J1534=0,"REVIEW (zero base)",IF(ABS(P1534/ABS(J1534))&gt;=Overview!$B$5,"REVIEW","OK")))</f>
        <v>OK</v>
      </c>
      <c r="S1534" s="33">
        <f t="shared" si="119"/>
        <v>1.534E-3</v>
      </c>
    </row>
  </sheetData>
  <autoFilter ref="A1:S1534" xr:uid="{00000000-0009-0000-0000-000004000000}"/>
  <conditionalFormatting sqref="O2:O1534">
    <cfRule type="expression" dxfId="1" priority="2">
      <formula>LEFT(O2,6)="REVIEW"</formula>
    </cfRule>
  </conditionalFormatting>
  <conditionalFormatting sqref="R2:R1534">
    <cfRule type="expression" dxfId="0" priority="3">
      <formula>LEFT(R2,6)="REVIEW"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Division Summary</vt:lpstr>
      <vt:lpstr>Department Summary</vt:lpstr>
      <vt:lpstr>Top Variances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Drumil Sanjay Gandhi</cp:lastModifiedBy>
  <cp:revision>1</cp:revision>
  <dcterms:created xsi:type="dcterms:W3CDTF">2026-10-24T19:00:29Z</dcterms:created>
  <dcterms:modified xsi:type="dcterms:W3CDTF">2026-10-24T19:20:01Z</dcterms:modified>
  <dc:language>en-US</dc:language>
</cp:coreProperties>
</file>